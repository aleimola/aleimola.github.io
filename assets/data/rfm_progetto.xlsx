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esktop\ANALISI RFM+FOTO ANALISI RFM\"/>
    </mc:Choice>
  </mc:AlternateContent>
  <xr:revisionPtr revIDLastSave="0" documentId="13_ncr:1_{0FF1DCAF-7116-4851-9387-DF9BA413BA7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rivatiOK " sheetId="4" r:id="rId1"/>
    <sheet name="privati" sheetId="1" r:id="rId2"/>
    <sheet name="famiglieOK" sheetId="2" r:id="rId3"/>
    <sheet name="Foglio3" sheetId="3" r:id="rId4"/>
  </sheets>
  <definedNames>
    <definedName name="_xlchart.v1.0" hidden="1">'privatiOK '!$E$1</definedName>
    <definedName name="_xlchart.v1.1" hidden="1">'privatiOK '!$E$2:$E$1001</definedName>
    <definedName name="_xlchart.v1.10" hidden="1">famiglieOK!$D$1</definedName>
    <definedName name="_xlchart.v1.11" hidden="1">famiglieOK!$D$2:$D$401</definedName>
    <definedName name="_xlchart.v1.2" hidden="1">'privatiOK '!$C$1</definedName>
    <definedName name="_xlchart.v1.3" hidden="1">'privatiOK '!$C$2:$C$1001</definedName>
    <definedName name="_xlchart.v1.4" hidden="1">'privatiOK '!$D$1</definedName>
    <definedName name="_xlchart.v1.5" hidden="1">'privatiOK '!$D$2:$D$1001</definedName>
    <definedName name="_xlchart.v1.6" hidden="1">famiglieOK!$E$1</definedName>
    <definedName name="_xlchart.v1.7" hidden="1">famiglieOK!$E$2:$E$401</definedName>
    <definedName name="_xlchart.v1.8" hidden="1">famiglieOK!$C$1</definedName>
    <definedName name="_xlchart.v1.9" hidden="1">famiglieOK!$C$2:$C$401</definedName>
  </definedNames>
  <calcPr calcId="191029"/>
</workbook>
</file>

<file path=xl/calcChain.xml><?xml version="1.0" encoding="utf-8"?>
<calcChain xmlns="http://schemas.openxmlformats.org/spreadsheetml/2006/main">
  <c r="E2" i="2" l="1"/>
  <c r="D2" i="2"/>
  <c r="C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2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2" i="3"/>
  <c r="E1001" i="4"/>
  <c r="D1001" i="4"/>
  <c r="E1000" i="4"/>
  <c r="D1000" i="4"/>
  <c r="E999" i="4"/>
  <c r="D999" i="4"/>
  <c r="E998" i="4"/>
  <c r="D998" i="4"/>
  <c r="E997" i="4"/>
  <c r="D997" i="4"/>
  <c r="E996" i="4"/>
  <c r="D996" i="4"/>
  <c r="E995" i="4"/>
  <c r="D995" i="4"/>
  <c r="E994" i="4"/>
  <c r="D994" i="4"/>
  <c r="E993" i="4"/>
  <c r="D993" i="4"/>
  <c r="E992" i="4"/>
  <c r="D992" i="4"/>
  <c r="E991" i="4"/>
  <c r="D991" i="4"/>
  <c r="E990" i="4"/>
  <c r="D990" i="4"/>
  <c r="E989" i="4"/>
  <c r="D989" i="4"/>
  <c r="E988" i="4"/>
  <c r="D988" i="4"/>
  <c r="E987" i="4"/>
  <c r="D987" i="4"/>
  <c r="E986" i="4"/>
  <c r="D986" i="4"/>
  <c r="E985" i="4"/>
  <c r="D985" i="4"/>
  <c r="E984" i="4"/>
  <c r="D984" i="4"/>
  <c r="E983" i="4"/>
  <c r="D983" i="4"/>
  <c r="E982" i="4"/>
  <c r="D982" i="4"/>
  <c r="E981" i="4"/>
  <c r="D981" i="4"/>
  <c r="E980" i="4"/>
  <c r="D980" i="4"/>
  <c r="E979" i="4"/>
  <c r="D979" i="4"/>
  <c r="E978" i="4"/>
  <c r="D978" i="4"/>
  <c r="E977" i="4"/>
  <c r="D977" i="4"/>
  <c r="E976" i="4"/>
  <c r="D976" i="4"/>
  <c r="E975" i="4"/>
  <c r="D975" i="4"/>
  <c r="E974" i="4"/>
  <c r="D974" i="4"/>
  <c r="E973" i="4"/>
  <c r="D973" i="4"/>
  <c r="E972" i="4"/>
  <c r="D972" i="4"/>
  <c r="E971" i="4"/>
  <c r="D971" i="4"/>
  <c r="E970" i="4"/>
  <c r="D970" i="4"/>
  <c r="E969" i="4"/>
  <c r="D969" i="4"/>
  <c r="E968" i="4"/>
  <c r="D968" i="4"/>
  <c r="E967" i="4"/>
  <c r="D967" i="4"/>
  <c r="E966" i="4"/>
  <c r="D966" i="4"/>
  <c r="E965" i="4"/>
  <c r="D965" i="4"/>
  <c r="E964" i="4"/>
  <c r="D964" i="4"/>
  <c r="E963" i="4"/>
  <c r="D963" i="4"/>
  <c r="E962" i="4"/>
  <c r="D962" i="4"/>
  <c r="E961" i="4"/>
  <c r="D961" i="4"/>
  <c r="E960" i="4"/>
  <c r="D960" i="4"/>
  <c r="E959" i="4"/>
  <c r="D959" i="4"/>
  <c r="E958" i="4"/>
  <c r="D958" i="4"/>
  <c r="E957" i="4"/>
  <c r="D957" i="4"/>
  <c r="E956" i="4"/>
  <c r="D956" i="4"/>
  <c r="E955" i="4"/>
  <c r="D955" i="4"/>
  <c r="E954" i="4"/>
  <c r="D954" i="4"/>
  <c r="E953" i="4"/>
  <c r="D953" i="4"/>
  <c r="E952" i="4"/>
  <c r="D952" i="4"/>
  <c r="E951" i="4"/>
  <c r="D951" i="4"/>
  <c r="E950" i="4"/>
  <c r="D950" i="4"/>
  <c r="E949" i="4"/>
  <c r="D949" i="4"/>
  <c r="E948" i="4"/>
  <c r="D948" i="4"/>
  <c r="E947" i="4"/>
  <c r="D947" i="4"/>
  <c r="E946" i="4"/>
  <c r="D946" i="4"/>
  <c r="E945" i="4"/>
  <c r="D945" i="4"/>
  <c r="E944" i="4"/>
  <c r="D944" i="4"/>
  <c r="E943" i="4"/>
  <c r="D943" i="4"/>
  <c r="E942" i="4"/>
  <c r="D942" i="4"/>
  <c r="E941" i="4"/>
  <c r="D941" i="4"/>
  <c r="E940" i="4"/>
  <c r="D940" i="4"/>
  <c r="E939" i="4"/>
  <c r="D939" i="4"/>
  <c r="E938" i="4"/>
  <c r="D938" i="4"/>
  <c r="E937" i="4"/>
  <c r="D937" i="4"/>
  <c r="E936" i="4"/>
  <c r="D936" i="4"/>
  <c r="E935" i="4"/>
  <c r="D935" i="4"/>
  <c r="E934" i="4"/>
  <c r="D934" i="4"/>
  <c r="E933" i="4"/>
  <c r="D933" i="4"/>
  <c r="E932" i="4"/>
  <c r="D932" i="4"/>
  <c r="E931" i="4"/>
  <c r="D931" i="4"/>
  <c r="E930" i="4"/>
  <c r="D930" i="4"/>
  <c r="E929" i="4"/>
  <c r="D929" i="4"/>
  <c r="E928" i="4"/>
  <c r="D928" i="4"/>
  <c r="E927" i="4"/>
  <c r="D927" i="4"/>
  <c r="E926" i="4"/>
  <c r="D926" i="4"/>
  <c r="E925" i="4"/>
  <c r="D925" i="4"/>
  <c r="E924" i="4"/>
  <c r="D924" i="4"/>
  <c r="E923" i="4"/>
  <c r="D923" i="4"/>
  <c r="E922" i="4"/>
  <c r="D922" i="4"/>
  <c r="E921" i="4"/>
  <c r="D921" i="4"/>
  <c r="E920" i="4"/>
  <c r="D920" i="4"/>
  <c r="E919" i="4"/>
  <c r="D919" i="4"/>
  <c r="E918" i="4"/>
  <c r="D918" i="4"/>
  <c r="E917" i="4"/>
  <c r="D917" i="4"/>
  <c r="E916" i="4"/>
  <c r="D916" i="4"/>
  <c r="E915" i="4"/>
  <c r="D915" i="4"/>
  <c r="E914" i="4"/>
  <c r="D914" i="4"/>
  <c r="E913" i="4"/>
  <c r="D913" i="4"/>
  <c r="E912" i="4"/>
  <c r="D912" i="4"/>
  <c r="E911" i="4"/>
  <c r="D911" i="4"/>
  <c r="E910" i="4"/>
  <c r="D910" i="4"/>
  <c r="E909" i="4"/>
  <c r="D909" i="4"/>
  <c r="E908" i="4"/>
  <c r="D908" i="4"/>
  <c r="E907" i="4"/>
  <c r="D907" i="4"/>
  <c r="E906" i="4"/>
  <c r="D906" i="4"/>
  <c r="E905" i="4"/>
  <c r="D905" i="4"/>
  <c r="E904" i="4"/>
  <c r="D904" i="4"/>
  <c r="E903" i="4"/>
  <c r="D903" i="4"/>
  <c r="E902" i="4"/>
  <c r="D902" i="4"/>
  <c r="E901" i="4"/>
  <c r="D901" i="4"/>
  <c r="E900" i="4"/>
  <c r="D900" i="4"/>
  <c r="E899" i="4"/>
  <c r="D899" i="4"/>
  <c r="E898" i="4"/>
  <c r="D898" i="4"/>
  <c r="E897" i="4"/>
  <c r="D897" i="4"/>
  <c r="E896" i="4"/>
  <c r="D896" i="4"/>
  <c r="E895" i="4"/>
  <c r="D895" i="4"/>
  <c r="E894" i="4"/>
  <c r="D894" i="4"/>
  <c r="E893" i="4"/>
  <c r="D893" i="4"/>
  <c r="E892" i="4"/>
  <c r="D892" i="4"/>
  <c r="E891" i="4"/>
  <c r="D891" i="4"/>
  <c r="E890" i="4"/>
  <c r="D890" i="4"/>
  <c r="E889" i="4"/>
  <c r="D889" i="4"/>
  <c r="E888" i="4"/>
  <c r="D888" i="4"/>
  <c r="E887" i="4"/>
  <c r="D887" i="4"/>
  <c r="E886" i="4"/>
  <c r="D886" i="4"/>
  <c r="E885" i="4"/>
  <c r="D885" i="4"/>
  <c r="E884" i="4"/>
  <c r="D884" i="4"/>
  <c r="E883" i="4"/>
  <c r="D883" i="4"/>
  <c r="E882" i="4"/>
  <c r="D882" i="4"/>
  <c r="E881" i="4"/>
  <c r="D881" i="4"/>
  <c r="E880" i="4"/>
  <c r="D880" i="4"/>
  <c r="E879" i="4"/>
  <c r="D879" i="4"/>
  <c r="E878" i="4"/>
  <c r="D878" i="4"/>
  <c r="E877" i="4"/>
  <c r="D877" i="4"/>
  <c r="E876" i="4"/>
  <c r="D876" i="4"/>
  <c r="E875" i="4"/>
  <c r="D875" i="4"/>
  <c r="E874" i="4"/>
  <c r="D874" i="4"/>
  <c r="E873" i="4"/>
  <c r="D873" i="4"/>
  <c r="E872" i="4"/>
  <c r="D872" i="4"/>
  <c r="E871" i="4"/>
  <c r="D871" i="4"/>
  <c r="E870" i="4"/>
  <c r="D870" i="4"/>
  <c r="E869" i="4"/>
  <c r="D869" i="4"/>
  <c r="E868" i="4"/>
  <c r="D868" i="4"/>
  <c r="E867" i="4"/>
  <c r="D867" i="4"/>
  <c r="E866" i="4"/>
  <c r="D866" i="4"/>
  <c r="E865" i="4"/>
  <c r="D865" i="4"/>
  <c r="E864" i="4"/>
  <c r="D864" i="4"/>
  <c r="E863" i="4"/>
  <c r="D863" i="4"/>
  <c r="E862" i="4"/>
  <c r="D862" i="4"/>
  <c r="E861" i="4"/>
  <c r="D861" i="4"/>
  <c r="E860" i="4"/>
  <c r="D860" i="4"/>
  <c r="E859" i="4"/>
  <c r="D859" i="4"/>
  <c r="E858" i="4"/>
  <c r="D858" i="4"/>
  <c r="E857" i="4"/>
  <c r="D857" i="4"/>
  <c r="E856" i="4"/>
  <c r="D856" i="4"/>
  <c r="E855" i="4"/>
  <c r="D855" i="4"/>
  <c r="E854" i="4"/>
  <c r="D854" i="4"/>
  <c r="E853" i="4"/>
  <c r="D853" i="4"/>
  <c r="E852" i="4"/>
  <c r="D852" i="4"/>
  <c r="E851" i="4"/>
  <c r="D851" i="4"/>
  <c r="E850" i="4"/>
  <c r="D850" i="4"/>
  <c r="E849" i="4"/>
  <c r="D849" i="4"/>
  <c r="E848" i="4"/>
  <c r="D848" i="4"/>
  <c r="E847" i="4"/>
  <c r="D847" i="4"/>
  <c r="E846" i="4"/>
  <c r="D846" i="4"/>
  <c r="E845" i="4"/>
  <c r="D845" i="4"/>
  <c r="E844" i="4"/>
  <c r="D844" i="4"/>
  <c r="E843" i="4"/>
  <c r="D843" i="4"/>
  <c r="E842" i="4"/>
  <c r="D842" i="4"/>
  <c r="E841" i="4"/>
  <c r="D841" i="4"/>
  <c r="E840" i="4"/>
  <c r="D840" i="4"/>
  <c r="E839" i="4"/>
  <c r="D839" i="4"/>
  <c r="E838" i="4"/>
  <c r="D838" i="4"/>
  <c r="E837" i="4"/>
  <c r="D837" i="4"/>
  <c r="E836" i="4"/>
  <c r="D836" i="4"/>
  <c r="E835" i="4"/>
  <c r="D835" i="4"/>
  <c r="E834" i="4"/>
  <c r="D834" i="4"/>
  <c r="E833" i="4"/>
  <c r="D833" i="4"/>
  <c r="E832" i="4"/>
  <c r="D832" i="4"/>
  <c r="E831" i="4"/>
  <c r="D831" i="4"/>
  <c r="E830" i="4"/>
  <c r="D830" i="4"/>
  <c r="E829" i="4"/>
  <c r="D829" i="4"/>
  <c r="E828" i="4"/>
  <c r="D828" i="4"/>
  <c r="E827" i="4"/>
  <c r="D827" i="4"/>
  <c r="E826" i="4"/>
  <c r="D826" i="4"/>
  <c r="E825" i="4"/>
  <c r="D825" i="4"/>
  <c r="E824" i="4"/>
  <c r="D824" i="4"/>
  <c r="E823" i="4"/>
  <c r="D823" i="4"/>
  <c r="E822" i="4"/>
  <c r="D822" i="4"/>
  <c r="E821" i="4"/>
  <c r="D821" i="4"/>
  <c r="E820" i="4"/>
  <c r="D820" i="4"/>
  <c r="E819" i="4"/>
  <c r="D819" i="4"/>
  <c r="E818" i="4"/>
  <c r="D818" i="4"/>
  <c r="E817" i="4"/>
  <c r="D817" i="4"/>
  <c r="E816" i="4"/>
  <c r="D816" i="4"/>
  <c r="E815" i="4"/>
  <c r="D815" i="4"/>
  <c r="E814" i="4"/>
  <c r="D814" i="4"/>
  <c r="E813" i="4"/>
  <c r="D813" i="4"/>
  <c r="E812" i="4"/>
  <c r="D812" i="4"/>
  <c r="E811" i="4"/>
  <c r="D811" i="4"/>
  <c r="E810" i="4"/>
  <c r="D810" i="4"/>
  <c r="E809" i="4"/>
  <c r="D809" i="4"/>
  <c r="E808" i="4"/>
  <c r="D808" i="4"/>
  <c r="E807" i="4"/>
  <c r="D807" i="4"/>
  <c r="E806" i="4"/>
  <c r="D806" i="4"/>
  <c r="E805" i="4"/>
  <c r="D805" i="4"/>
  <c r="E804" i="4"/>
  <c r="D804" i="4"/>
  <c r="E803" i="4"/>
  <c r="D803" i="4"/>
  <c r="E802" i="4"/>
  <c r="D802" i="4"/>
  <c r="E801" i="4"/>
  <c r="D801" i="4"/>
  <c r="E800" i="4"/>
  <c r="D800" i="4"/>
  <c r="E799" i="4"/>
  <c r="D799" i="4"/>
  <c r="E798" i="4"/>
  <c r="D798" i="4"/>
  <c r="E797" i="4"/>
  <c r="D797" i="4"/>
  <c r="E796" i="4"/>
  <c r="D796" i="4"/>
  <c r="E795" i="4"/>
  <c r="D795" i="4"/>
  <c r="E794" i="4"/>
  <c r="D794" i="4"/>
  <c r="E793" i="4"/>
  <c r="D793" i="4"/>
  <c r="E792" i="4"/>
  <c r="D792" i="4"/>
  <c r="E791" i="4"/>
  <c r="D791" i="4"/>
  <c r="E790" i="4"/>
  <c r="D790" i="4"/>
  <c r="E789" i="4"/>
  <c r="D789" i="4"/>
  <c r="E788" i="4"/>
  <c r="D788" i="4"/>
  <c r="E787" i="4"/>
  <c r="D787" i="4"/>
  <c r="E786" i="4"/>
  <c r="D786" i="4"/>
  <c r="E785" i="4"/>
  <c r="D785" i="4"/>
  <c r="E784" i="4"/>
  <c r="D784" i="4"/>
  <c r="E783" i="4"/>
  <c r="D783" i="4"/>
  <c r="E782" i="4"/>
  <c r="D782" i="4"/>
  <c r="E781" i="4"/>
  <c r="D781" i="4"/>
  <c r="E780" i="4"/>
  <c r="D780" i="4"/>
  <c r="E779" i="4"/>
  <c r="D779" i="4"/>
  <c r="E778" i="4"/>
  <c r="D778" i="4"/>
  <c r="E777" i="4"/>
  <c r="D777" i="4"/>
  <c r="E776" i="4"/>
  <c r="D776" i="4"/>
  <c r="E775" i="4"/>
  <c r="D775" i="4"/>
  <c r="E774" i="4"/>
  <c r="D774" i="4"/>
  <c r="E773" i="4"/>
  <c r="D773" i="4"/>
  <c r="E772" i="4"/>
  <c r="D772" i="4"/>
  <c r="E771" i="4"/>
  <c r="D771" i="4"/>
  <c r="E770" i="4"/>
  <c r="D770" i="4"/>
  <c r="E769" i="4"/>
  <c r="D769" i="4"/>
  <c r="E768" i="4"/>
  <c r="D768" i="4"/>
  <c r="E767" i="4"/>
  <c r="D767" i="4"/>
  <c r="E766" i="4"/>
  <c r="D766" i="4"/>
  <c r="E765" i="4"/>
  <c r="D765" i="4"/>
  <c r="E764" i="4"/>
  <c r="D764" i="4"/>
  <c r="E763" i="4"/>
  <c r="D763" i="4"/>
  <c r="E762" i="4"/>
  <c r="D762" i="4"/>
  <c r="E761" i="4"/>
  <c r="D761" i="4"/>
  <c r="E760" i="4"/>
  <c r="D760" i="4"/>
  <c r="E759" i="4"/>
  <c r="D759" i="4"/>
  <c r="E758" i="4"/>
  <c r="D758" i="4"/>
  <c r="E757" i="4"/>
  <c r="D757" i="4"/>
  <c r="E756" i="4"/>
  <c r="D756" i="4"/>
  <c r="E755" i="4"/>
  <c r="D755" i="4"/>
  <c r="E754" i="4"/>
  <c r="D754" i="4"/>
  <c r="E753" i="4"/>
  <c r="D753" i="4"/>
  <c r="E752" i="4"/>
  <c r="D752" i="4"/>
  <c r="E751" i="4"/>
  <c r="D751" i="4"/>
  <c r="E750" i="4"/>
  <c r="D750" i="4"/>
  <c r="E749" i="4"/>
  <c r="D749" i="4"/>
  <c r="E748" i="4"/>
  <c r="D748" i="4"/>
  <c r="E747" i="4"/>
  <c r="D747" i="4"/>
  <c r="E746" i="4"/>
  <c r="D746" i="4"/>
  <c r="E745" i="4"/>
  <c r="D745" i="4"/>
  <c r="E744" i="4"/>
  <c r="D744" i="4"/>
  <c r="E743" i="4"/>
  <c r="D743" i="4"/>
  <c r="E742" i="4"/>
  <c r="D742" i="4"/>
  <c r="E741" i="4"/>
  <c r="D741" i="4"/>
  <c r="E740" i="4"/>
  <c r="D740" i="4"/>
  <c r="E739" i="4"/>
  <c r="D739" i="4"/>
  <c r="E738" i="4"/>
  <c r="D738" i="4"/>
  <c r="E737" i="4"/>
  <c r="D737" i="4"/>
  <c r="E736" i="4"/>
  <c r="D736" i="4"/>
  <c r="E735" i="4"/>
  <c r="D735" i="4"/>
  <c r="E734" i="4"/>
  <c r="D734" i="4"/>
  <c r="E733" i="4"/>
  <c r="D733" i="4"/>
  <c r="E732" i="4"/>
  <c r="D732" i="4"/>
  <c r="E731" i="4"/>
  <c r="D731" i="4"/>
  <c r="E730" i="4"/>
  <c r="D730" i="4"/>
  <c r="E729" i="4"/>
  <c r="D729" i="4"/>
  <c r="E728" i="4"/>
  <c r="D728" i="4"/>
  <c r="E727" i="4"/>
  <c r="D727" i="4"/>
  <c r="E726" i="4"/>
  <c r="D726" i="4"/>
  <c r="E725" i="4"/>
  <c r="D725" i="4"/>
  <c r="E724" i="4"/>
  <c r="D724" i="4"/>
  <c r="E723" i="4"/>
  <c r="D723" i="4"/>
  <c r="E722" i="4"/>
  <c r="D722" i="4"/>
  <c r="E721" i="4"/>
  <c r="D721" i="4"/>
  <c r="E720" i="4"/>
  <c r="D720" i="4"/>
  <c r="E719" i="4"/>
  <c r="D719" i="4"/>
  <c r="E718" i="4"/>
  <c r="D718" i="4"/>
  <c r="E717" i="4"/>
  <c r="D717" i="4"/>
  <c r="E716" i="4"/>
  <c r="D716" i="4"/>
  <c r="E715" i="4"/>
  <c r="D715" i="4"/>
  <c r="E714" i="4"/>
  <c r="D714" i="4"/>
  <c r="E713" i="4"/>
  <c r="D713" i="4"/>
  <c r="E712" i="4"/>
  <c r="D712" i="4"/>
  <c r="E711" i="4"/>
  <c r="D711" i="4"/>
  <c r="E710" i="4"/>
  <c r="D710" i="4"/>
  <c r="E709" i="4"/>
  <c r="D709" i="4"/>
  <c r="E708" i="4"/>
  <c r="D708" i="4"/>
  <c r="E707" i="4"/>
  <c r="D707" i="4"/>
  <c r="E706" i="4"/>
  <c r="D706" i="4"/>
  <c r="E705" i="4"/>
  <c r="D705" i="4"/>
  <c r="E704" i="4"/>
  <c r="D704" i="4"/>
  <c r="E703" i="4"/>
  <c r="D703" i="4"/>
  <c r="E702" i="4"/>
  <c r="D702" i="4"/>
  <c r="E701" i="4"/>
  <c r="D701" i="4"/>
  <c r="E700" i="4"/>
  <c r="D700" i="4"/>
  <c r="E699" i="4"/>
  <c r="D699" i="4"/>
  <c r="E698" i="4"/>
  <c r="D698" i="4"/>
  <c r="E697" i="4"/>
  <c r="D697" i="4"/>
  <c r="E696" i="4"/>
  <c r="D696" i="4"/>
  <c r="E695" i="4"/>
  <c r="D695" i="4"/>
  <c r="E694" i="4"/>
  <c r="D694" i="4"/>
  <c r="E693" i="4"/>
  <c r="D693" i="4"/>
  <c r="E692" i="4"/>
  <c r="D692" i="4"/>
  <c r="E691" i="4"/>
  <c r="D691" i="4"/>
  <c r="E690" i="4"/>
  <c r="D690" i="4"/>
  <c r="E689" i="4"/>
  <c r="D689" i="4"/>
  <c r="E688" i="4"/>
  <c r="D688" i="4"/>
  <c r="E687" i="4"/>
  <c r="D687" i="4"/>
  <c r="E686" i="4"/>
  <c r="D686" i="4"/>
  <c r="E685" i="4"/>
  <c r="D685" i="4"/>
  <c r="E684" i="4"/>
  <c r="D684" i="4"/>
  <c r="E683" i="4"/>
  <c r="D683" i="4"/>
  <c r="E682" i="4"/>
  <c r="D682" i="4"/>
  <c r="E681" i="4"/>
  <c r="D681" i="4"/>
  <c r="E680" i="4"/>
  <c r="D680" i="4"/>
  <c r="E679" i="4"/>
  <c r="D679" i="4"/>
  <c r="E678" i="4"/>
  <c r="D678" i="4"/>
  <c r="E677" i="4"/>
  <c r="D677" i="4"/>
  <c r="E676" i="4"/>
  <c r="D676" i="4"/>
  <c r="E675" i="4"/>
  <c r="D675" i="4"/>
  <c r="E674" i="4"/>
  <c r="D674" i="4"/>
  <c r="E673" i="4"/>
  <c r="D673" i="4"/>
  <c r="E672" i="4"/>
  <c r="D672" i="4"/>
  <c r="E671" i="4"/>
  <c r="D671" i="4"/>
  <c r="E670" i="4"/>
  <c r="D670" i="4"/>
  <c r="E669" i="4"/>
  <c r="D669" i="4"/>
  <c r="E668" i="4"/>
  <c r="D668" i="4"/>
  <c r="E667" i="4"/>
  <c r="D667" i="4"/>
  <c r="E666" i="4"/>
  <c r="D666" i="4"/>
  <c r="E665" i="4"/>
  <c r="D665" i="4"/>
  <c r="E664" i="4"/>
  <c r="D664" i="4"/>
  <c r="E663" i="4"/>
  <c r="D663" i="4"/>
  <c r="E662" i="4"/>
  <c r="D662" i="4"/>
  <c r="E661" i="4"/>
  <c r="D661" i="4"/>
  <c r="E660" i="4"/>
  <c r="D660" i="4"/>
  <c r="E659" i="4"/>
  <c r="D659" i="4"/>
  <c r="E658" i="4"/>
  <c r="D658" i="4"/>
  <c r="E657" i="4"/>
  <c r="D657" i="4"/>
  <c r="E656" i="4"/>
  <c r="D656" i="4"/>
  <c r="E655" i="4"/>
  <c r="D655" i="4"/>
  <c r="E654" i="4"/>
  <c r="D654" i="4"/>
  <c r="E653" i="4"/>
  <c r="D653" i="4"/>
  <c r="E652" i="4"/>
  <c r="D652" i="4"/>
  <c r="E651" i="4"/>
  <c r="D651" i="4"/>
  <c r="E650" i="4"/>
  <c r="D650" i="4"/>
  <c r="E649" i="4"/>
  <c r="D649" i="4"/>
  <c r="E648" i="4"/>
  <c r="D648" i="4"/>
  <c r="E647" i="4"/>
  <c r="D647" i="4"/>
  <c r="E646" i="4"/>
  <c r="D646" i="4"/>
  <c r="E645" i="4"/>
  <c r="D645" i="4"/>
  <c r="E644" i="4"/>
  <c r="D644" i="4"/>
  <c r="E643" i="4"/>
  <c r="D643" i="4"/>
  <c r="E642" i="4"/>
  <c r="D642" i="4"/>
  <c r="E641" i="4"/>
  <c r="D641" i="4"/>
  <c r="E640" i="4"/>
  <c r="D640" i="4"/>
  <c r="E639" i="4"/>
  <c r="D639" i="4"/>
  <c r="E638" i="4"/>
  <c r="D638" i="4"/>
  <c r="E637" i="4"/>
  <c r="D637" i="4"/>
  <c r="E636" i="4"/>
  <c r="D636" i="4"/>
  <c r="E635" i="4"/>
  <c r="D635" i="4"/>
  <c r="E634" i="4"/>
  <c r="D634" i="4"/>
  <c r="E633" i="4"/>
  <c r="D633" i="4"/>
  <c r="E632" i="4"/>
  <c r="D632" i="4"/>
  <c r="E631" i="4"/>
  <c r="D631" i="4"/>
  <c r="E630" i="4"/>
  <c r="D630" i="4"/>
  <c r="E629" i="4"/>
  <c r="D629" i="4"/>
  <c r="E628" i="4"/>
  <c r="D628" i="4"/>
  <c r="E627" i="4"/>
  <c r="D627" i="4"/>
  <c r="E626" i="4"/>
  <c r="D626" i="4"/>
  <c r="E625" i="4"/>
  <c r="D625" i="4"/>
  <c r="E624" i="4"/>
  <c r="D624" i="4"/>
  <c r="E623" i="4"/>
  <c r="D623" i="4"/>
  <c r="E622" i="4"/>
  <c r="D622" i="4"/>
  <c r="E621" i="4"/>
  <c r="D621" i="4"/>
  <c r="E620" i="4"/>
  <c r="D620" i="4"/>
  <c r="E619" i="4"/>
  <c r="D619" i="4"/>
  <c r="E618" i="4"/>
  <c r="D618" i="4"/>
  <c r="E617" i="4"/>
  <c r="D617" i="4"/>
  <c r="E616" i="4"/>
  <c r="D616" i="4"/>
  <c r="E615" i="4"/>
  <c r="D615" i="4"/>
  <c r="E614" i="4"/>
  <c r="D614" i="4"/>
  <c r="E613" i="4"/>
  <c r="D613" i="4"/>
  <c r="E612" i="4"/>
  <c r="D612" i="4"/>
  <c r="E611" i="4"/>
  <c r="D611" i="4"/>
  <c r="E610" i="4"/>
  <c r="D610" i="4"/>
  <c r="E609" i="4"/>
  <c r="D609" i="4"/>
  <c r="E608" i="4"/>
  <c r="D608" i="4"/>
  <c r="E607" i="4"/>
  <c r="D607" i="4"/>
  <c r="E606" i="4"/>
  <c r="D606" i="4"/>
  <c r="E605" i="4"/>
  <c r="D605" i="4"/>
  <c r="E604" i="4"/>
  <c r="D604" i="4"/>
  <c r="E603" i="4"/>
  <c r="D603" i="4"/>
  <c r="E602" i="4"/>
  <c r="D602" i="4"/>
  <c r="E601" i="4"/>
  <c r="D601" i="4"/>
  <c r="E600" i="4"/>
  <c r="D600" i="4"/>
  <c r="E599" i="4"/>
  <c r="D599" i="4"/>
  <c r="E598" i="4"/>
  <c r="D598" i="4"/>
  <c r="E597" i="4"/>
  <c r="D597" i="4"/>
  <c r="E596" i="4"/>
  <c r="D596" i="4"/>
  <c r="E595" i="4"/>
  <c r="D595" i="4"/>
  <c r="E594" i="4"/>
  <c r="D594" i="4"/>
  <c r="E593" i="4"/>
  <c r="D593" i="4"/>
  <c r="E592" i="4"/>
  <c r="D592" i="4"/>
  <c r="E591" i="4"/>
  <c r="D591" i="4"/>
  <c r="E590" i="4"/>
  <c r="D590" i="4"/>
  <c r="E589" i="4"/>
  <c r="D589" i="4"/>
  <c r="E588" i="4"/>
  <c r="D588" i="4"/>
  <c r="E587" i="4"/>
  <c r="D587" i="4"/>
  <c r="E586" i="4"/>
  <c r="D586" i="4"/>
  <c r="E585" i="4"/>
  <c r="D585" i="4"/>
  <c r="E584" i="4"/>
  <c r="D584" i="4"/>
  <c r="E583" i="4"/>
  <c r="D583" i="4"/>
  <c r="E582" i="4"/>
  <c r="D582" i="4"/>
  <c r="E581" i="4"/>
  <c r="D581" i="4"/>
  <c r="E580" i="4"/>
  <c r="D580" i="4"/>
  <c r="E579" i="4"/>
  <c r="D579" i="4"/>
  <c r="E578" i="4"/>
  <c r="D578" i="4"/>
  <c r="E577" i="4"/>
  <c r="D577" i="4"/>
  <c r="E576" i="4"/>
  <c r="D576" i="4"/>
  <c r="E575" i="4"/>
  <c r="D575" i="4"/>
  <c r="E574" i="4"/>
  <c r="D574" i="4"/>
  <c r="E573" i="4"/>
  <c r="D573" i="4"/>
  <c r="E572" i="4"/>
  <c r="D572" i="4"/>
  <c r="E571" i="4"/>
  <c r="D571" i="4"/>
  <c r="E570" i="4"/>
  <c r="D570" i="4"/>
  <c r="E569" i="4"/>
  <c r="D569" i="4"/>
  <c r="E568" i="4"/>
  <c r="D568" i="4"/>
  <c r="E567" i="4"/>
  <c r="D567" i="4"/>
  <c r="E566" i="4"/>
  <c r="D566" i="4"/>
  <c r="E565" i="4"/>
  <c r="D565" i="4"/>
  <c r="E564" i="4"/>
  <c r="D564" i="4"/>
  <c r="E563" i="4"/>
  <c r="D563" i="4"/>
  <c r="E562" i="4"/>
  <c r="D562" i="4"/>
  <c r="E561" i="4"/>
  <c r="D561" i="4"/>
  <c r="E560" i="4"/>
  <c r="D560" i="4"/>
  <c r="E559" i="4"/>
  <c r="D559" i="4"/>
  <c r="E558" i="4"/>
  <c r="D558" i="4"/>
  <c r="E557" i="4"/>
  <c r="D557" i="4"/>
  <c r="E556" i="4"/>
  <c r="D556" i="4"/>
  <c r="E555" i="4"/>
  <c r="D555" i="4"/>
  <c r="E554" i="4"/>
  <c r="D554" i="4"/>
  <c r="E553" i="4"/>
  <c r="D553" i="4"/>
  <c r="E552" i="4"/>
  <c r="D552" i="4"/>
  <c r="E551" i="4"/>
  <c r="D551" i="4"/>
  <c r="E550" i="4"/>
  <c r="D550" i="4"/>
  <c r="E549" i="4"/>
  <c r="D549" i="4"/>
  <c r="E548" i="4"/>
  <c r="D548" i="4"/>
  <c r="E547" i="4"/>
  <c r="D547" i="4"/>
  <c r="E546" i="4"/>
  <c r="D546" i="4"/>
  <c r="E545" i="4"/>
  <c r="D545" i="4"/>
  <c r="E544" i="4"/>
  <c r="D544" i="4"/>
  <c r="E543" i="4"/>
  <c r="D543" i="4"/>
  <c r="E542" i="4"/>
  <c r="D542" i="4"/>
  <c r="E541" i="4"/>
  <c r="D541" i="4"/>
  <c r="E540" i="4"/>
  <c r="D540" i="4"/>
  <c r="E539" i="4"/>
  <c r="D539" i="4"/>
  <c r="E538" i="4"/>
  <c r="D538" i="4"/>
  <c r="E537" i="4"/>
  <c r="D537" i="4"/>
  <c r="E536" i="4"/>
  <c r="D536" i="4"/>
  <c r="E535" i="4"/>
  <c r="D535" i="4"/>
  <c r="E534" i="4"/>
  <c r="D534" i="4"/>
  <c r="E533" i="4"/>
  <c r="D533" i="4"/>
  <c r="E532" i="4"/>
  <c r="D532" i="4"/>
  <c r="E531" i="4"/>
  <c r="D531" i="4"/>
  <c r="E530" i="4"/>
  <c r="D530" i="4"/>
  <c r="E529" i="4"/>
  <c r="D529" i="4"/>
  <c r="E528" i="4"/>
  <c r="D528" i="4"/>
  <c r="E527" i="4"/>
  <c r="D527" i="4"/>
  <c r="E526" i="4"/>
  <c r="D526" i="4"/>
  <c r="E525" i="4"/>
  <c r="D525" i="4"/>
  <c r="E524" i="4"/>
  <c r="D524" i="4"/>
  <c r="E523" i="4"/>
  <c r="D523" i="4"/>
  <c r="E522" i="4"/>
  <c r="D522" i="4"/>
  <c r="E521" i="4"/>
  <c r="D521" i="4"/>
  <c r="E520" i="4"/>
  <c r="D520" i="4"/>
  <c r="E519" i="4"/>
  <c r="D519" i="4"/>
  <c r="E518" i="4"/>
  <c r="D518" i="4"/>
  <c r="E517" i="4"/>
  <c r="D517" i="4"/>
  <c r="E516" i="4"/>
  <c r="D516" i="4"/>
  <c r="E515" i="4"/>
  <c r="D515" i="4"/>
  <c r="E514" i="4"/>
  <c r="D514" i="4"/>
  <c r="E513" i="4"/>
  <c r="D513" i="4"/>
  <c r="E512" i="4"/>
  <c r="D512" i="4"/>
  <c r="E511" i="4"/>
  <c r="D511" i="4"/>
  <c r="E510" i="4"/>
  <c r="D510" i="4"/>
  <c r="E509" i="4"/>
  <c r="D509" i="4"/>
  <c r="E508" i="4"/>
  <c r="D508" i="4"/>
  <c r="E507" i="4"/>
  <c r="D507" i="4"/>
  <c r="E506" i="4"/>
  <c r="D506" i="4"/>
  <c r="E505" i="4"/>
  <c r="D505" i="4"/>
  <c r="E504" i="4"/>
  <c r="D504" i="4"/>
  <c r="E503" i="4"/>
  <c r="D503" i="4"/>
  <c r="E502" i="4"/>
  <c r="D502" i="4"/>
  <c r="E501" i="4"/>
  <c r="D501" i="4"/>
  <c r="E500" i="4"/>
  <c r="D500" i="4"/>
  <c r="E499" i="4"/>
  <c r="D499" i="4"/>
  <c r="E498" i="4"/>
  <c r="D498" i="4"/>
  <c r="E497" i="4"/>
  <c r="D497" i="4"/>
  <c r="E496" i="4"/>
  <c r="D496" i="4"/>
  <c r="E495" i="4"/>
  <c r="D495" i="4"/>
  <c r="E494" i="4"/>
  <c r="D494" i="4"/>
  <c r="E493" i="4"/>
  <c r="D493" i="4"/>
  <c r="E492" i="4"/>
  <c r="D492" i="4"/>
  <c r="E491" i="4"/>
  <c r="D491" i="4"/>
  <c r="E490" i="4"/>
  <c r="D490" i="4"/>
  <c r="E489" i="4"/>
  <c r="D489" i="4"/>
  <c r="E488" i="4"/>
  <c r="D488" i="4"/>
  <c r="E487" i="4"/>
  <c r="D487" i="4"/>
  <c r="E486" i="4"/>
  <c r="D486" i="4"/>
  <c r="E485" i="4"/>
  <c r="D485" i="4"/>
  <c r="E484" i="4"/>
  <c r="D484" i="4"/>
  <c r="E483" i="4"/>
  <c r="D483" i="4"/>
  <c r="E482" i="4"/>
  <c r="D482" i="4"/>
  <c r="E481" i="4"/>
  <c r="D481" i="4"/>
  <c r="E480" i="4"/>
  <c r="D480" i="4"/>
  <c r="E479" i="4"/>
  <c r="D479" i="4"/>
  <c r="E478" i="4"/>
  <c r="D478" i="4"/>
  <c r="E477" i="4"/>
  <c r="D477" i="4"/>
  <c r="E476" i="4"/>
  <c r="D476" i="4"/>
  <c r="E475" i="4"/>
  <c r="D475" i="4"/>
  <c r="E474" i="4"/>
  <c r="D474" i="4"/>
  <c r="E473" i="4"/>
  <c r="D473" i="4"/>
  <c r="E472" i="4"/>
  <c r="D472" i="4"/>
  <c r="E471" i="4"/>
  <c r="D471" i="4"/>
  <c r="E470" i="4"/>
  <c r="D470" i="4"/>
  <c r="E469" i="4"/>
  <c r="D469" i="4"/>
  <c r="E468" i="4"/>
  <c r="D468" i="4"/>
  <c r="E467" i="4"/>
  <c r="D467" i="4"/>
  <c r="E466" i="4"/>
  <c r="D466" i="4"/>
  <c r="E465" i="4"/>
  <c r="D465" i="4"/>
  <c r="E464" i="4"/>
  <c r="D464" i="4"/>
  <c r="E463" i="4"/>
  <c r="D463" i="4"/>
  <c r="E462" i="4"/>
  <c r="D462" i="4"/>
  <c r="E461" i="4"/>
  <c r="D461" i="4"/>
  <c r="E460" i="4"/>
  <c r="D460" i="4"/>
  <c r="E459" i="4"/>
  <c r="D459" i="4"/>
  <c r="E458" i="4"/>
  <c r="D458" i="4"/>
  <c r="E457" i="4"/>
  <c r="D457" i="4"/>
  <c r="E456" i="4"/>
  <c r="D456" i="4"/>
  <c r="E455" i="4"/>
  <c r="D455" i="4"/>
  <c r="E454" i="4"/>
  <c r="D454" i="4"/>
  <c r="E453" i="4"/>
  <c r="D453" i="4"/>
  <c r="E452" i="4"/>
  <c r="D452" i="4"/>
  <c r="E451" i="4"/>
  <c r="D451" i="4"/>
  <c r="E450" i="4"/>
  <c r="D450" i="4"/>
  <c r="E449" i="4"/>
  <c r="D449" i="4"/>
  <c r="E448" i="4"/>
  <c r="D448" i="4"/>
  <c r="E447" i="4"/>
  <c r="D447" i="4"/>
  <c r="E446" i="4"/>
  <c r="D446" i="4"/>
  <c r="E445" i="4"/>
  <c r="D445" i="4"/>
  <c r="E444" i="4"/>
  <c r="D444" i="4"/>
  <c r="E443" i="4"/>
  <c r="D443" i="4"/>
  <c r="E442" i="4"/>
  <c r="D442" i="4"/>
  <c r="E441" i="4"/>
  <c r="D441" i="4"/>
  <c r="E440" i="4"/>
  <c r="D440" i="4"/>
  <c r="E439" i="4"/>
  <c r="D439" i="4"/>
  <c r="E438" i="4"/>
  <c r="D438" i="4"/>
  <c r="E437" i="4"/>
  <c r="D437" i="4"/>
  <c r="E436" i="4"/>
  <c r="D436" i="4"/>
  <c r="E435" i="4"/>
  <c r="D435" i="4"/>
  <c r="E434" i="4"/>
  <c r="D434" i="4"/>
  <c r="E433" i="4"/>
  <c r="D433" i="4"/>
  <c r="E432" i="4"/>
  <c r="D432" i="4"/>
  <c r="E431" i="4"/>
  <c r="D431" i="4"/>
  <c r="E430" i="4"/>
  <c r="D430" i="4"/>
  <c r="E429" i="4"/>
  <c r="D429" i="4"/>
  <c r="E428" i="4"/>
  <c r="D428" i="4"/>
  <c r="E427" i="4"/>
  <c r="D427" i="4"/>
  <c r="E426" i="4"/>
  <c r="D426" i="4"/>
  <c r="E425" i="4"/>
  <c r="D425" i="4"/>
  <c r="E424" i="4"/>
  <c r="D424" i="4"/>
  <c r="E423" i="4"/>
  <c r="D423" i="4"/>
  <c r="E422" i="4"/>
  <c r="D422" i="4"/>
  <c r="E421" i="4"/>
  <c r="D421" i="4"/>
  <c r="E420" i="4"/>
  <c r="D420" i="4"/>
  <c r="E419" i="4"/>
  <c r="D419" i="4"/>
  <c r="E418" i="4"/>
  <c r="D418" i="4"/>
  <c r="E417" i="4"/>
  <c r="D417" i="4"/>
  <c r="E416" i="4"/>
  <c r="D416" i="4"/>
  <c r="E415" i="4"/>
  <c r="D415" i="4"/>
  <c r="E414" i="4"/>
  <c r="D414" i="4"/>
  <c r="E413" i="4"/>
  <c r="D413" i="4"/>
  <c r="E412" i="4"/>
  <c r="D412" i="4"/>
  <c r="E411" i="4"/>
  <c r="D411" i="4"/>
  <c r="E410" i="4"/>
  <c r="D410" i="4"/>
  <c r="E409" i="4"/>
  <c r="D409" i="4"/>
  <c r="E408" i="4"/>
  <c r="D408" i="4"/>
  <c r="E407" i="4"/>
  <c r="D407" i="4"/>
  <c r="E406" i="4"/>
  <c r="D406" i="4"/>
  <c r="E405" i="4"/>
  <c r="D405" i="4"/>
  <c r="E404" i="4"/>
  <c r="D404" i="4"/>
  <c r="E403" i="4"/>
  <c r="D403" i="4"/>
  <c r="E402" i="4"/>
  <c r="D402" i="4"/>
  <c r="E401" i="4"/>
  <c r="D401" i="4"/>
  <c r="E400" i="4"/>
  <c r="D400" i="4"/>
  <c r="E399" i="4"/>
  <c r="D399" i="4"/>
  <c r="E398" i="4"/>
  <c r="D398" i="4"/>
  <c r="E397" i="4"/>
  <c r="D397" i="4"/>
  <c r="E396" i="4"/>
  <c r="D396" i="4"/>
  <c r="E395" i="4"/>
  <c r="D395" i="4"/>
  <c r="E394" i="4"/>
  <c r="D394" i="4"/>
  <c r="E393" i="4"/>
  <c r="D393" i="4"/>
  <c r="E392" i="4"/>
  <c r="D392" i="4"/>
  <c r="E391" i="4"/>
  <c r="D391" i="4"/>
  <c r="E390" i="4"/>
  <c r="D390" i="4"/>
  <c r="E389" i="4"/>
  <c r="D389" i="4"/>
  <c r="E388" i="4"/>
  <c r="D388" i="4"/>
  <c r="E387" i="4"/>
  <c r="D387" i="4"/>
  <c r="E386" i="4"/>
  <c r="D386" i="4"/>
  <c r="E385" i="4"/>
  <c r="D385" i="4"/>
  <c r="E384" i="4"/>
  <c r="D384" i="4"/>
  <c r="E383" i="4"/>
  <c r="D383" i="4"/>
  <c r="E382" i="4"/>
  <c r="D382" i="4"/>
  <c r="E381" i="4"/>
  <c r="D381" i="4"/>
  <c r="E380" i="4"/>
  <c r="D380" i="4"/>
  <c r="E379" i="4"/>
  <c r="D379" i="4"/>
  <c r="E378" i="4"/>
  <c r="D378" i="4"/>
  <c r="E377" i="4"/>
  <c r="D377" i="4"/>
  <c r="E376" i="4"/>
  <c r="D376" i="4"/>
  <c r="E375" i="4"/>
  <c r="D375" i="4"/>
  <c r="E374" i="4"/>
  <c r="D374" i="4"/>
  <c r="E373" i="4"/>
  <c r="D373" i="4"/>
  <c r="E372" i="4"/>
  <c r="D372" i="4"/>
  <c r="E371" i="4"/>
  <c r="D371" i="4"/>
  <c r="E370" i="4"/>
  <c r="D370" i="4"/>
  <c r="E369" i="4"/>
  <c r="D369" i="4"/>
  <c r="E368" i="4"/>
  <c r="D368" i="4"/>
  <c r="E367" i="4"/>
  <c r="D367" i="4"/>
  <c r="E366" i="4"/>
  <c r="D366" i="4"/>
  <c r="E365" i="4"/>
  <c r="D365" i="4"/>
  <c r="E364" i="4"/>
  <c r="D364" i="4"/>
  <c r="E363" i="4"/>
  <c r="D363" i="4"/>
  <c r="E362" i="4"/>
  <c r="D362" i="4"/>
  <c r="E361" i="4"/>
  <c r="D361" i="4"/>
  <c r="E360" i="4"/>
  <c r="D360" i="4"/>
  <c r="E359" i="4"/>
  <c r="D359" i="4"/>
  <c r="E358" i="4"/>
  <c r="D358" i="4"/>
  <c r="E357" i="4"/>
  <c r="D357" i="4"/>
  <c r="E356" i="4"/>
  <c r="D356" i="4"/>
  <c r="E355" i="4"/>
  <c r="D355" i="4"/>
  <c r="E354" i="4"/>
  <c r="D354" i="4"/>
  <c r="E353" i="4"/>
  <c r="D353" i="4"/>
  <c r="E352" i="4"/>
  <c r="D352" i="4"/>
  <c r="E351" i="4"/>
  <c r="D351" i="4"/>
  <c r="E350" i="4"/>
  <c r="D350" i="4"/>
  <c r="E349" i="4"/>
  <c r="D349" i="4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M17" i="4" s="1"/>
  <c r="D4" i="4"/>
  <c r="E3" i="4"/>
  <c r="D3" i="4"/>
  <c r="E2" i="4"/>
  <c r="D2" i="4"/>
  <c r="M29" i="4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2" i="3"/>
  <c r="M19" i="4" l="1"/>
  <c r="M16" i="2"/>
  <c r="M17" i="2"/>
  <c r="M15" i="2"/>
  <c r="G116" i="2" s="1"/>
  <c r="M14" i="2"/>
  <c r="G342" i="2" s="1"/>
  <c r="M13" i="2"/>
  <c r="M19" i="2"/>
  <c r="G376" i="2"/>
  <c r="G15" i="2"/>
  <c r="M26" i="2"/>
  <c r="M25" i="2"/>
  <c r="M24" i="2"/>
  <c r="H353" i="2" s="1"/>
  <c r="M23" i="2"/>
  <c r="M29" i="2"/>
  <c r="M27" i="2"/>
  <c r="G202" i="2"/>
  <c r="G194" i="2"/>
  <c r="G6" i="2"/>
  <c r="G11" i="2"/>
  <c r="M9" i="4"/>
  <c r="M6" i="4"/>
  <c r="M4" i="4"/>
  <c r="F27" i="4" s="1"/>
  <c r="M7" i="4"/>
  <c r="M5" i="4"/>
  <c r="M3" i="4"/>
  <c r="M13" i="4"/>
  <c r="M15" i="4"/>
  <c r="M23" i="4"/>
  <c r="M25" i="4"/>
  <c r="M27" i="4"/>
  <c r="H266" i="4"/>
  <c r="H318" i="4"/>
  <c r="G327" i="4"/>
  <c r="H330" i="4"/>
  <c r="H358" i="4"/>
  <c r="H366" i="4"/>
  <c r="H370" i="4"/>
  <c r="G387" i="4"/>
  <c r="H398" i="4"/>
  <c r="G399" i="4"/>
  <c r="G415" i="4"/>
  <c r="G423" i="4"/>
  <c r="G427" i="4"/>
  <c r="H446" i="4"/>
  <c r="H465" i="4"/>
  <c r="M14" i="4"/>
  <c r="M16" i="4"/>
  <c r="G203" i="4" s="1"/>
  <c r="M24" i="4"/>
  <c r="H363" i="4" s="1"/>
  <c r="M26" i="4"/>
  <c r="H254" i="4" s="1"/>
  <c r="G220" i="4"/>
  <c r="G230" i="4"/>
  <c r="G232" i="4"/>
  <c r="G236" i="4"/>
  <c r="G252" i="4"/>
  <c r="G258" i="4"/>
  <c r="G266" i="4"/>
  <c r="G270" i="4"/>
  <c r="H277" i="4"/>
  <c r="G280" i="4"/>
  <c r="H285" i="4"/>
  <c r="G292" i="4"/>
  <c r="H293" i="4"/>
  <c r="H303" i="4"/>
  <c r="G308" i="4"/>
  <c r="H309" i="4"/>
  <c r="G316" i="4"/>
  <c r="H317" i="4"/>
  <c r="G318" i="4"/>
  <c r="H327" i="4"/>
  <c r="G330" i="4"/>
  <c r="H333" i="4"/>
  <c r="H357" i="4"/>
  <c r="G358" i="4"/>
  <c r="H361" i="4"/>
  <c r="G366" i="4"/>
  <c r="G368" i="4"/>
  <c r="G370" i="4"/>
  <c r="G372" i="4"/>
  <c r="G380" i="4"/>
  <c r="H381" i="4"/>
  <c r="G386" i="4"/>
  <c r="H391" i="4"/>
  <c r="H393" i="4"/>
  <c r="G394" i="4"/>
  <c r="G396" i="4"/>
  <c r="H397" i="4"/>
  <c r="H403" i="4"/>
  <c r="G410" i="4"/>
  <c r="G418" i="4"/>
  <c r="G420" i="4"/>
  <c r="H421" i="4"/>
  <c r="G422" i="4"/>
  <c r="H427" i="4"/>
  <c r="H431" i="4"/>
  <c r="G452" i="4"/>
  <c r="G454" i="4"/>
  <c r="H463" i="4"/>
  <c r="G465" i="4"/>
  <c r="G468" i="4"/>
  <c r="G470" i="4"/>
  <c r="G481" i="4"/>
  <c r="G483" i="4"/>
  <c r="G489" i="4"/>
  <c r="G495" i="4"/>
  <c r="H510" i="4"/>
  <c r="H512" i="4"/>
  <c r="H514" i="4"/>
  <c r="H524" i="4"/>
  <c r="H528" i="4"/>
  <c r="G537" i="4"/>
  <c r="H538" i="4"/>
  <c r="H546" i="4"/>
  <c r="H548" i="4"/>
  <c r="G551" i="4"/>
  <c r="H552" i="4"/>
  <c r="G573" i="4"/>
  <c r="H574" i="4"/>
  <c r="H582" i="4"/>
  <c r="H584" i="4"/>
  <c r="H586" i="4"/>
  <c r="H594" i="4"/>
  <c r="G595" i="4"/>
  <c r="H596" i="4"/>
  <c r="G603" i="4"/>
  <c r="H604" i="4"/>
  <c r="G609" i="4"/>
  <c r="H618" i="4"/>
  <c r="G619" i="4"/>
  <c r="H620" i="4"/>
  <c r="H622" i="4"/>
  <c r="G631" i="4"/>
  <c r="H632" i="4"/>
  <c r="H642" i="4"/>
  <c r="H644" i="4"/>
  <c r="H648" i="4"/>
  <c r="H658" i="4"/>
  <c r="G488" i="4"/>
  <c r="G500" i="4"/>
  <c r="G502" i="4"/>
  <c r="G512" i="4"/>
  <c r="G514" i="4"/>
  <c r="H527" i="4"/>
  <c r="H529" i="4"/>
  <c r="H531" i="4"/>
  <c r="G538" i="4"/>
  <c r="H539" i="4"/>
  <c r="G542" i="4"/>
  <c r="G550" i="4"/>
  <c r="H551" i="4"/>
  <c r="G552" i="4"/>
  <c r="H559" i="4"/>
  <c r="G562" i="4"/>
  <c r="G564" i="4"/>
  <c r="H565" i="4"/>
  <c r="G572" i="4"/>
  <c r="G574" i="4"/>
  <c r="H575" i="4"/>
  <c r="H577" i="4"/>
  <c r="G584" i="4"/>
  <c r="G594" i="4"/>
  <c r="H595" i="4"/>
  <c r="H599" i="4"/>
  <c r="H605" i="4"/>
  <c r="H609" i="4"/>
  <c r="H611" i="4"/>
  <c r="G618" i="4"/>
  <c r="H623" i="4"/>
  <c r="H631" i="4"/>
  <c r="G632" i="4"/>
  <c r="G642" i="4"/>
  <c r="G656" i="4"/>
  <c r="G669" i="4"/>
  <c r="H670" i="4"/>
  <c r="G681" i="4"/>
  <c r="G691" i="4"/>
  <c r="G693" i="4"/>
  <c r="H694" i="4"/>
  <c r="G701" i="4"/>
  <c r="G703" i="4"/>
  <c r="H706" i="4"/>
  <c r="G715" i="4"/>
  <c r="H716" i="4"/>
  <c r="H724" i="4"/>
  <c r="G725" i="4"/>
  <c r="H728" i="4"/>
  <c r="H730" i="4"/>
  <c r="G739" i="4"/>
  <c r="H740" i="4"/>
  <c r="H744" i="4"/>
  <c r="G749" i="4"/>
  <c r="H752" i="4"/>
  <c r="G753" i="4"/>
  <c r="H754" i="4"/>
  <c r="H762" i="4"/>
  <c r="G767" i="4"/>
  <c r="H770" i="4"/>
  <c r="G653" i="4"/>
  <c r="G657" i="4"/>
  <c r="G659" i="4"/>
  <c r="H671" i="4"/>
  <c r="H675" i="4"/>
  <c r="G696" i="4"/>
  <c r="G698" i="4"/>
  <c r="H703" i="4"/>
  <c r="G708" i="4"/>
  <c r="H715" i="4"/>
  <c r="G716" i="4"/>
  <c r="H725" i="4"/>
  <c r="G728" i="4"/>
  <c r="G732" i="4"/>
  <c r="H735" i="4"/>
  <c r="G736" i="4"/>
  <c r="G744" i="4"/>
  <c r="H751" i="4"/>
  <c r="G752" i="4"/>
  <c r="H753" i="4"/>
  <c r="G756" i="4"/>
  <c r="H759" i="4"/>
  <c r="G760" i="4"/>
  <c r="G764" i="4"/>
  <c r="G766" i="4"/>
  <c r="H767" i="4"/>
  <c r="H777" i="4"/>
  <c r="G775" i="4"/>
  <c r="G777" i="4"/>
  <c r="G779" i="4"/>
  <c r="G789" i="4"/>
  <c r="H798" i="4"/>
  <c r="G803" i="4"/>
  <c r="G805" i="4"/>
  <c r="G809" i="4"/>
  <c r="H810" i="4"/>
  <c r="G811" i="4"/>
  <c r="H816" i="4"/>
  <c r="G825" i="4"/>
  <c r="H826" i="4"/>
  <c r="H830" i="4"/>
  <c r="G831" i="4"/>
  <c r="H832" i="4"/>
  <c r="G835" i="4"/>
  <c r="H836" i="4"/>
  <c r="G837" i="4"/>
  <c r="H838" i="4"/>
  <c r="G841" i="4"/>
  <c r="H842" i="4"/>
  <c r="G843" i="4"/>
  <c r="H848" i="4"/>
  <c r="G849" i="4"/>
  <c r="G776" i="4"/>
  <c r="G778" i="4"/>
  <c r="G782" i="4"/>
  <c r="H795" i="4"/>
  <c r="H801" i="4"/>
  <c r="G802" i="4"/>
  <c r="H805" i="4"/>
  <c r="G808" i="4"/>
  <c r="G812" i="4"/>
  <c r="G814" i="4"/>
  <c r="G818" i="4"/>
  <c r="H821" i="4"/>
  <c r="G824" i="4"/>
  <c r="H825" i="4"/>
  <c r="G826" i="4"/>
  <c r="G830" i="4"/>
  <c r="H831" i="4"/>
  <c r="G832" i="4"/>
  <c r="G836" i="4"/>
  <c r="H837" i="4"/>
  <c r="H839" i="4"/>
  <c r="G842" i="4"/>
  <c r="G846" i="4"/>
  <c r="H849" i="4"/>
  <c r="G850" i="4"/>
  <c r="H861" i="4"/>
  <c r="G853" i="4"/>
  <c r="G857" i="4"/>
  <c r="G865" i="4"/>
  <c r="H866" i="4"/>
  <c r="G871" i="4"/>
  <c r="H872" i="4"/>
  <c r="G873" i="4"/>
  <c r="G877" i="4"/>
  <c r="H878" i="4"/>
  <c r="G879" i="4"/>
  <c r="G883" i="4"/>
  <c r="H884" i="4"/>
  <c r="H890" i="4"/>
  <c r="H892" i="4"/>
  <c r="G893" i="4"/>
  <c r="G899" i="4"/>
  <c r="H900" i="4"/>
  <c r="H904" i="4"/>
  <c r="H906" i="4"/>
  <c r="G910" i="4"/>
  <c r="G911" i="4"/>
  <c r="G854" i="4"/>
  <c r="G856" i="4"/>
  <c r="G860" i="4"/>
  <c r="G862" i="4"/>
  <c r="G866" i="4"/>
  <c r="G868" i="4"/>
  <c r="H869" i="4"/>
  <c r="H871" i="4"/>
  <c r="G872" i="4"/>
  <c r="H873" i="4"/>
  <c r="G874" i="4"/>
  <c r="H877" i="4"/>
  <c r="G878" i="4"/>
  <c r="H879" i="4"/>
  <c r="G882" i="4"/>
  <c r="G884" i="4"/>
  <c r="G888" i="4"/>
  <c r="G890" i="4"/>
  <c r="G894" i="4"/>
  <c r="H895" i="4"/>
  <c r="H897" i="4"/>
  <c r="H899" i="4"/>
  <c r="G900" i="4"/>
  <c r="H901" i="4"/>
  <c r="G902" i="4"/>
  <c r="G904" i="4"/>
  <c r="G906" i="4"/>
  <c r="G908" i="4"/>
  <c r="H915" i="4"/>
  <c r="G921" i="4"/>
  <c r="H922" i="4"/>
  <c r="H924" i="4"/>
  <c r="H926" i="4"/>
  <c r="G927" i="4"/>
  <c r="H928" i="4"/>
  <c r="G929" i="4"/>
  <c r="H932" i="4"/>
  <c r="H936" i="4"/>
  <c r="G939" i="4"/>
  <c r="H940" i="4"/>
  <c r="H942" i="4"/>
  <c r="H948" i="4"/>
  <c r="H950" i="4"/>
  <c r="G951" i="4"/>
  <c r="H952" i="4"/>
  <c r="G953" i="4"/>
  <c r="H956" i="4"/>
  <c r="G957" i="4"/>
  <c r="H961" i="4"/>
  <c r="G914" i="4"/>
  <c r="G916" i="4"/>
  <c r="G920" i="4"/>
  <c r="G922" i="4"/>
  <c r="G926" i="4"/>
  <c r="H927" i="4"/>
  <c r="G928" i="4"/>
  <c r="G930" i="4"/>
  <c r="H931" i="4"/>
  <c r="G932" i="4"/>
  <c r="G936" i="4"/>
  <c r="H937" i="4"/>
  <c r="H939" i="4"/>
  <c r="G942" i="4"/>
  <c r="G944" i="4"/>
  <c r="H949" i="4"/>
  <c r="G950" i="4"/>
  <c r="H951" i="4"/>
  <c r="H955" i="4"/>
  <c r="G956" i="4"/>
  <c r="H957" i="4"/>
  <c r="H960" i="4"/>
  <c r="G960" i="4"/>
  <c r="G962" i="4"/>
  <c r="G968" i="4"/>
  <c r="H971" i="4"/>
  <c r="H973" i="4"/>
  <c r="G961" i="4"/>
  <c r="H964" i="4"/>
  <c r="H966" i="4"/>
  <c r="G967" i="4"/>
  <c r="H970" i="4"/>
  <c r="G971" i="4"/>
  <c r="G973" i="4"/>
  <c r="H974" i="4"/>
  <c r="H978" i="4"/>
  <c r="G976" i="4"/>
  <c r="G978" i="4"/>
  <c r="H981" i="4"/>
  <c r="H983" i="4"/>
  <c r="G984" i="4"/>
  <c r="G988" i="4"/>
  <c r="H991" i="4"/>
  <c r="H993" i="4"/>
  <c r="G994" i="4"/>
  <c r="G996" i="4"/>
  <c r="G998" i="4"/>
  <c r="H999" i="4"/>
  <c r="G1000" i="4"/>
  <c r="G975" i="4"/>
  <c r="G977" i="4"/>
  <c r="G981" i="4"/>
  <c r="H984" i="4"/>
  <c r="H986" i="4"/>
  <c r="H988" i="4"/>
  <c r="G989" i="4"/>
  <c r="G991" i="4"/>
  <c r="H992" i="4"/>
  <c r="G993" i="4"/>
  <c r="H994" i="4"/>
  <c r="G997" i="4"/>
  <c r="H998" i="4"/>
  <c r="G999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M29" i="1"/>
  <c r="M27" i="1"/>
  <c r="M26" i="1"/>
  <c r="M25" i="1"/>
  <c r="M24" i="1"/>
  <c r="M23" i="1"/>
  <c r="M19" i="1"/>
  <c r="M17" i="1"/>
  <c r="M16" i="1"/>
  <c r="M15" i="1"/>
  <c r="M14" i="1"/>
  <c r="G175" i="1" s="1"/>
  <c r="M13" i="1"/>
  <c r="G225" i="2" l="1"/>
  <c r="G179" i="2"/>
  <c r="G321" i="2"/>
  <c r="G50" i="2"/>
  <c r="G282" i="2"/>
  <c r="G220" i="2"/>
  <c r="G85" i="2"/>
  <c r="G231" i="2"/>
  <c r="G241" i="2"/>
  <c r="G124" i="2"/>
  <c r="G367" i="2"/>
  <c r="G68" i="2"/>
  <c r="G41" i="2"/>
  <c r="G114" i="2"/>
  <c r="G307" i="2"/>
  <c r="G364" i="2"/>
  <c r="G208" i="2"/>
  <c r="G43" i="2"/>
  <c r="G62" i="2"/>
  <c r="G83" i="2"/>
  <c r="G70" i="2"/>
  <c r="G345" i="2"/>
  <c r="G362" i="2"/>
  <c r="G275" i="2"/>
  <c r="G252" i="2"/>
  <c r="G391" i="2"/>
  <c r="G112" i="2"/>
  <c r="G36" i="2"/>
  <c r="G78" i="2"/>
  <c r="G393" i="2"/>
  <c r="G299" i="2"/>
  <c r="G300" i="2"/>
  <c r="G80" i="2"/>
  <c r="G84" i="2"/>
  <c r="G121" i="2"/>
  <c r="G154" i="2"/>
  <c r="G347" i="2"/>
  <c r="G388" i="2"/>
  <c r="G248" i="2"/>
  <c r="G34" i="2"/>
  <c r="G77" i="2"/>
  <c r="G145" i="2"/>
  <c r="G178" i="2"/>
  <c r="G92" i="2"/>
  <c r="G396" i="2"/>
  <c r="G368" i="2"/>
  <c r="G266" i="2"/>
  <c r="G119" i="2"/>
  <c r="G255" i="2"/>
  <c r="G35" i="2"/>
  <c r="G329" i="2"/>
  <c r="G274" i="2"/>
  <c r="G127" i="2"/>
  <c r="G263" i="2"/>
  <c r="G21" i="2"/>
  <c r="G81" i="2"/>
  <c r="G161" i="2"/>
  <c r="G257" i="2"/>
  <c r="G211" i="2"/>
  <c r="G156" i="2"/>
  <c r="G159" i="2"/>
  <c r="G303" i="2"/>
  <c r="G16" i="2"/>
  <c r="G144" i="2"/>
  <c r="G280" i="2"/>
  <c r="G185" i="2"/>
  <c r="G2" i="2"/>
  <c r="G74" i="2"/>
  <c r="G59" i="2"/>
  <c r="G44" i="2"/>
  <c r="G29" i="2"/>
  <c r="G14" i="2"/>
  <c r="G9" i="2"/>
  <c r="G89" i="2"/>
  <c r="G177" i="2"/>
  <c r="G281" i="2"/>
  <c r="G353" i="2"/>
  <c r="G130" i="2"/>
  <c r="G210" i="2"/>
  <c r="G298" i="2"/>
  <c r="G386" i="2"/>
  <c r="G91" i="2"/>
  <c r="G219" i="2"/>
  <c r="G355" i="2"/>
  <c r="G164" i="2"/>
  <c r="G308" i="2"/>
  <c r="G23" i="2"/>
  <c r="G167" i="2"/>
  <c r="G311" i="2"/>
  <c r="G24" i="2"/>
  <c r="G152" i="2"/>
  <c r="G288" i="2"/>
  <c r="G265" i="2"/>
  <c r="G141" i="2"/>
  <c r="G66" i="2"/>
  <c r="G10" i="2"/>
  <c r="G90" i="2"/>
  <c r="G67" i="2"/>
  <c r="G52" i="2"/>
  <c r="G37" i="2"/>
  <c r="G22" i="2"/>
  <c r="G17" i="2"/>
  <c r="G97" i="2"/>
  <c r="G209" i="2"/>
  <c r="G289" i="2"/>
  <c r="G361" i="2"/>
  <c r="G138" i="2"/>
  <c r="G218" i="2"/>
  <c r="G306" i="2"/>
  <c r="G394" i="2"/>
  <c r="G107" i="2"/>
  <c r="G235" i="2"/>
  <c r="G379" i="2"/>
  <c r="G180" i="2"/>
  <c r="G324" i="2"/>
  <c r="G39" i="2"/>
  <c r="G183" i="2"/>
  <c r="G327" i="2"/>
  <c r="G40" i="2"/>
  <c r="G168" i="2"/>
  <c r="G304" i="2"/>
  <c r="G205" i="2"/>
  <c r="G12" i="2"/>
  <c r="G346" i="2"/>
  <c r="G232" i="2"/>
  <c r="G13" i="2"/>
  <c r="G249" i="2"/>
  <c r="G260" i="2"/>
  <c r="G370" i="2"/>
  <c r="G26" i="2"/>
  <c r="G3" i="2"/>
  <c r="G75" i="2"/>
  <c r="G60" i="2"/>
  <c r="G45" i="2"/>
  <c r="G30" i="2"/>
  <c r="G25" i="2"/>
  <c r="G113" i="2"/>
  <c r="G217" i="2"/>
  <c r="G297" i="2"/>
  <c r="G369" i="2"/>
  <c r="G146" i="2"/>
  <c r="G234" i="2"/>
  <c r="G322" i="2"/>
  <c r="G115" i="2"/>
  <c r="G243" i="2"/>
  <c r="G387" i="2"/>
  <c r="G188" i="2"/>
  <c r="G332" i="2"/>
  <c r="G55" i="2"/>
  <c r="G191" i="2"/>
  <c r="G335" i="2"/>
  <c r="G48" i="2"/>
  <c r="G176" i="2"/>
  <c r="G312" i="2"/>
  <c r="G269" i="2"/>
  <c r="G20" i="2"/>
  <c r="G153" i="2"/>
  <c r="G106" i="2"/>
  <c r="G399" i="2"/>
  <c r="G53" i="2"/>
  <c r="G38" i="2"/>
  <c r="G305" i="2"/>
  <c r="G377" i="2"/>
  <c r="G242" i="2"/>
  <c r="G330" i="2"/>
  <c r="G147" i="2"/>
  <c r="G87" i="2"/>
  <c r="G344" i="2"/>
  <c r="G333" i="2"/>
  <c r="G27" i="2"/>
  <c r="G57" i="2"/>
  <c r="G171" i="2"/>
  <c r="G104" i="2"/>
  <c r="G58" i="2"/>
  <c r="G73" i="2"/>
  <c r="G42" i="2"/>
  <c r="G19" i="2"/>
  <c r="G4" i="2"/>
  <c r="G76" i="2"/>
  <c r="G61" i="2"/>
  <c r="G54" i="2"/>
  <c r="G49" i="2"/>
  <c r="G137" i="2"/>
  <c r="G233" i="2"/>
  <c r="G313" i="2"/>
  <c r="G385" i="2"/>
  <c r="G170" i="2"/>
  <c r="G258" i="2"/>
  <c r="G338" i="2"/>
  <c r="G155" i="2"/>
  <c r="G283" i="2"/>
  <c r="G100" i="2"/>
  <c r="G236" i="2"/>
  <c r="G372" i="2"/>
  <c r="G95" i="2"/>
  <c r="G239" i="2"/>
  <c r="G375" i="2"/>
  <c r="G88" i="2"/>
  <c r="G216" i="2"/>
  <c r="G352" i="2"/>
  <c r="H347" i="2"/>
  <c r="H114" i="2"/>
  <c r="H91" i="2"/>
  <c r="H203" i="2"/>
  <c r="H10" i="2"/>
  <c r="H138" i="2"/>
  <c r="H115" i="2"/>
  <c r="H219" i="2"/>
  <c r="H371" i="2"/>
  <c r="H84" i="2"/>
  <c r="H284" i="2"/>
  <c r="H117" i="2"/>
  <c r="H373" i="2"/>
  <c r="H352" i="2"/>
  <c r="H322" i="2"/>
  <c r="H18" i="2"/>
  <c r="H162" i="2"/>
  <c r="H123" i="2"/>
  <c r="H243" i="2"/>
  <c r="H379" i="2"/>
  <c r="H354" i="2"/>
  <c r="H387" i="2"/>
  <c r="H50" i="2"/>
  <c r="H202" i="2"/>
  <c r="H3" i="2"/>
  <c r="H139" i="2"/>
  <c r="H283" i="2"/>
  <c r="H395" i="2"/>
  <c r="H172" i="2"/>
  <c r="H229" i="2"/>
  <c r="H160" i="2"/>
  <c r="H41" i="2"/>
  <c r="H386" i="2"/>
  <c r="H251" i="2"/>
  <c r="H148" i="2"/>
  <c r="H221" i="2"/>
  <c r="H17" i="2"/>
  <c r="H378" i="2"/>
  <c r="H58" i="2"/>
  <c r="H226" i="2"/>
  <c r="H27" i="2"/>
  <c r="H163" i="2"/>
  <c r="H291" i="2"/>
  <c r="H92" i="2"/>
  <c r="H300" i="2"/>
  <c r="H181" i="2"/>
  <c r="H96" i="2"/>
  <c r="H376" i="2"/>
  <c r="H26" i="2"/>
  <c r="H178" i="2"/>
  <c r="H131" i="2"/>
  <c r="H259" i="2"/>
  <c r="H120" i="2"/>
  <c r="H180" i="2"/>
  <c r="H245" i="2"/>
  <c r="H184" i="2"/>
  <c r="H73" i="2"/>
  <c r="H82" i="2"/>
  <c r="H234" i="2"/>
  <c r="H51" i="2"/>
  <c r="H179" i="2"/>
  <c r="H307" i="2"/>
  <c r="H192" i="2"/>
  <c r="H212" i="2"/>
  <c r="H285" i="2"/>
  <c r="H224" i="2"/>
  <c r="H98" i="2"/>
  <c r="H242" i="2"/>
  <c r="H59" i="2"/>
  <c r="H195" i="2"/>
  <c r="H331" i="2"/>
  <c r="H2" i="2"/>
  <c r="H20" i="2"/>
  <c r="H220" i="2"/>
  <c r="H93" i="2"/>
  <c r="H317" i="2"/>
  <c r="H248" i="2"/>
  <c r="H44" i="2"/>
  <c r="H276" i="2"/>
  <c r="H101" i="2"/>
  <c r="H349" i="2"/>
  <c r="H320" i="2"/>
  <c r="H258" i="2"/>
  <c r="F994" i="4"/>
  <c r="I994" i="4" s="1"/>
  <c r="F971" i="4"/>
  <c r="F941" i="4"/>
  <c r="F918" i="4"/>
  <c r="F832" i="4"/>
  <c r="F792" i="4"/>
  <c r="F684" i="4"/>
  <c r="F701" i="4"/>
  <c r="F342" i="4"/>
  <c r="G983" i="4"/>
  <c r="F1000" i="4"/>
  <c r="F984" i="4"/>
  <c r="G974" i="4"/>
  <c r="G959" i="4"/>
  <c r="G966" i="4"/>
  <c r="F959" i="4"/>
  <c r="F944" i="4"/>
  <c r="F928" i="4"/>
  <c r="I928" i="4" s="1"/>
  <c r="G918" i="4"/>
  <c r="G947" i="4"/>
  <c r="G923" i="4"/>
  <c r="F916" i="4"/>
  <c r="G896" i="4"/>
  <c r="I896" i="4" s="1"/>
  <c r="F890" i="4"/>
  <c r="I890" i="4" s="1"/>
  <c r="F882" i="4"/>
  <c r="F874" i="4"/>
  <c r="H867" i="4"/>
  <c r="F921" i="4"/>
  <c r="G905" i="4"/>
  <c r="F873" i="4"/>
  <c r="F865" i="4"/>
  <c r="I865" i="4" s="1"/>
  <c r="H851" i="4"/>
  <c r="F840" i="4"/>
  <c r="G820" i="4"/>
  <c r="F812" i="4"/>
  <c r="G786" i="4"/>
  <c r="F849" i="4"/>
  <c r="F829" i="4"/>
  <c r="F817" i="4"/>
  <c r="I817" i="4" s="1"/>
  <c r="G797" i="4"/>
  <c r="H781" i="4"/>
  <c r="H743" i="4"/>
  <c r="F714" i="4"/>
  <c r="G676" i="4"/>
  <c r="G655" i="4"/>
  <c r="F739" i="4"/>
  <c r="H678" i="4"/>
  <c r="G636" i="4"/>
  <c r="F618" i="4"/>
  <c r="I618" i="4" s="1"/>
  <c r="F596" i="4"/>
  <c r="F560" i="4"/>
  <c r="G540" i="4"/>
  <c r="F526" i="4"/>
  <c r="G492" i="4"/>
  <c r="H652" i="4"/>
  <c r="F629" i="4"/>
  <c r="F609" i="4"/>
  <c r="H592" i="4"/>
  <c r="F573" i="4"/>
  <c r="G513" i="4"/>
  <c r="H453" i="4"/>
  <c r="H433" i="4"/>
  <c r="F420" i="4"/>
  <c r="I420" i="4" s="1"/>
  <c r="F358" i="4"/>
  <c r="F334" i="4"/>
  <c r="F294" i="4"/>
  <c r="H253" i="4"/>
  <c r="G204" i="4"/>
  <c r="F295" i="4"/>
  <c r="F983" i="4"/>
  <c r="F966" i="4"/>
  <c r="F947" i="4"/>
  <c r="F923" i="4"/>
  <c r="F896" i="4"/>
  <c r="F880" i="4"/>
  <c r="F905" i="4"/>
  <c r="F893" i="4"/>
  <c r="F820" i="4"/>
  <c r="F800" i="4"/>
  <c r="F837" i="4"/>
  <c r="F805" i="4"/>
  <c r="I805" i="4" s="1"/>
  <c r="F797" i="4"/>
  <c r="F766" i="4"/>
  <c r="F742" i="4"/>
  <c r="F728" i="4"/>
  <c r="F696" i="4"/>
  <c r="F676" i="4"/>
  <c r="F677" i="4"/>
  <c r="F516" i="4"/>
  <c r="F627" i="4"/>
  <c r="F607" i="4"/>
  <c r="F571" i="4"/>
  <c r="F535" i="4"/>
  <c r="F432" i="4"/>
  <c r="F316" i="4"/>
  <c r="F445" i="4"/>
  <c r="F293" i="4"/>
  <c r="I293" i="4" s="1"/>
  <c r="F999" i="4"/>
  <c r="I999" i="4" s="1"/>
  <c r="F957" i="4"/>
  <c r="F933" i="4"/>
  <c r="F868" i="4"/>
  <c r="F885" i="4"/>
  <c r="F782" i="4"/>
  <c r="F744" i="4"/>
  <c r="F679" i="4"/>
  <c r="F454" i="4"/>
  <c r="F997" i="4"/>
  <c r="F989" i="4"/>
  <c r="G990" i="4"/>
  <c r="G982" i="4"/>
  <c r="F977" i="4"/>
  <c r="F967" i="4"/>
  <c r="G972" i="4"/>
  <c r="H965" i="4"/>
  <c r="F950" i="4"/>
  <c r="F942" i="4"/>
  <c r="H933" i="4"/>
  <c r="I933" i="4" s="1"/>
  <c r="F953" i="4"/>
  <c r="G945" i="4"/>
  <c r="F939" i="4"/>
  <c r="I939" i="4" s="1"/>
  <c r="F929" i="4"/>
  <c r="F914" i="4"/>
  <c r="F902" i="4"/>
  <c r="F888" i="4"/>
  <c r="F866" i="4"/>
  <c r="I866" i="4" s="1"/>
  <c r="F911" i="4"/>
  <c r="F881" i="4"/>
  <c r="G855" i="4"/>
  <c r="F838" i="4"/>
  <c r="H827" i="4"/>
  <c r="H819" i="4"/>
  <c r="F808" i="4"/>
  <c r="H799" i="4"/>
  <c r="G780" i="4"/>
  <c r="H844" i="4"/>
  <c r="G815" i="4"/>
  <c r="H804" i="4"/>
  <c r="F793" i="4"/>
  <c r="G773" i="4"/>
  <c r="F776" i="4"/>
  <c r="F752" i="4"/>
  <c r="I752" i="4" s="1"/>
  <c r="F738" i="4"/>
  <c r="F708" i="4"/>
  <c r="F694" i="4"/>
  <c r="G751" i="4"/>
  <c r="F729" i="4"/>
  <c r="H714" i="4"/>
  <c r="F693" i="4"/>
  <c r="F671" i="4"/>
  <c r="I671" i="4" s="1"/>
  <c r="F632" i="4"/>
  <c r="F610" i="4"/>
  <c r="G484" i="4"/>
  <c r="H568" i="4"/>
  <c r="G549" i="4"/>
  <c r="F531" i="4"/>
  <c r="F450" i="4"/>
  <c r="F372" i="4"/>
  <c r="I372" i="4" s="1"/>
  <c r="F356" i="4"/>
  <c r="F332" i="4"/>
  <c r="H269" i="4"/>
  <c r="F252" i="4"/>
  <c r="F441" i="4"/>
  <c r="F34" i="4"/>
  <c r="F2" i="4"/>
  <c r="F7" i="4"/>
  <c r="I7" i="4" s="1"/>
  <c r="F47" i="4"/>
  <c r="F121" i="4"/>
  <c r="F9" i="4"/>
  <c r="F61" i="4"/>
  <c r="F236" i="4"/>
  <c r="F289" i="4"/>
  <c r="F311" i="4"/>
  <c r="F325" i="4"/>
  <c r="F373" i="4"/>
  <c r="F409" i="4"/>
  <c r="F425" i="4"/>
  <c r="F479" i="4"/>
  <c r="F505" i="4"/>
  <c r="F362" i="4"/>
  <c r="F392" i="4"/>
  <c r="F430" i="4"/>
  <c r="F466" i="4"/>
  <c r="F511" i="4"/>
  <c r="F517" i="4"/>
  <c r="F529" i="4"/>
  <c r="F557" i="4"/>
  <c r="F585" i="4"/>
  <c r="F593" i="4"/>
  <c r="F601" i="4"/>
  <c r="I601" i="4" s="1"/>
  <c r="F623" i="4"/>
  <c r="F659" i="4"/>
  <c r="F528" i="4"/>
  <c r="F614" i="4"/>
  <c r="F711" i="4"/>
  <c r="F743" i="4"/>
  <c r="F712" i="4"/>
  <c r="F720" i="4"/>
  <c r="F726" i="4"/>
  <c r="F50" i="4"/>
  <c r="F13" i="4"/>
  <c r="F67" i="4"/>
  <c r="F265" i="4"/>
  <c r="F439" i="4"/>
  <c r="F455" i="4"/>
  <c r="F481" i="4"/>
  <c r="I481" i="4" s="1"/>
  <c r="F507" i="4"/>
  <c r="F258" i="4"/>
  <c r="F266" i="4"/>
  <c r="F274" i="4"/>
  <c r="F306" i="4"/>
  <c r="F314" i="4"/>
  <c r="F330" i="4"/>
  <c r="F338" i="4"/>
  <c r="I338" i="4" s="1"/>
  <c r="F370" i="4"/>
  <c r="F400" i="4"/>
  <c r="F418" i="4"/>
  <c r="F424" i="4"/>
  <c r="F438" i="4"/>
  <c r="F467" i="4"/>
  <c r="F551" i="4"/>
  <c r="F651" i="4"/>
  <c r="F542" i="4"/>
  <c r="F550" i="4"/>
  <c r="F564" i="4"/>
  <c r="F608" i="4"/>
  <c r="F675" i="4"/>
  <c r="F683" i="4"/>
  <c r="F705" i="4"/>
  <c r="F721" i="4"/>
  <c r="I721" i="4" s="1"/>
  <c r="F751" i="4"/>
  <c r="F734" i="4"/>
  <c r="F762" i="4"/>
  <c r="F768" i="4"/>
  <c r="F801" i="4"/>
  <c r="F807" i="4"/>
  <c r="F835" i="4"/>
  <c r="F806" i="4"/>
  <c r="F828" i="4"/>
  <c r="F844" i="4"/>
  <c r="F850" i="4"/>
  <c r="F860" i="4"/>
  <c r="F869" i="4"/>
  <c r="F875" i="4"/>
  <c r="F82" i="4"/>
  <c r="F17" i="4"/>
  <c r="F79" i="4"/>
  <c r="F178" i="4"/>
  <c r="F37" i="4"/>
  <c r="F131" i="4"/>
  <c r="F323" i="4"/>
  <c r="F367" i="4"/>
  <c r="F405" i="4"/>
  <c r="F419" i="4"/>
  <c r="F435" i="4"/>
  <c r="F447" i="4"/>
  <c r="F499" i="4"/>
  <c r="F272" i="4"/>
  <c r="F318" i="4"/>
  <c r="F368" i="4"/>
  <c r="F374" i="4"/>
  <c r="F398" i="4"/>
  <c r="F422" i="4"/>
  <c r="F428" i="4"/>
  <c r="F456" i="4"/>
  <c r="F464" i="4"/>
  <c r="F474" i="4"/>
  <c r="F549" i="4"/>
  <c r="F555" i="4"/>
  <c r="F657" i="4"/>
  <c r="F540" i="4"/>
  <c r="F568" i="4"/>
  <c r="F695" i="4"/>
  <c r="F725" i="4"/>
  <c r="I725" i="4" s="1"/>
  <c r="F741" i="4"/>
  <c r="F749" i="4"/>
  <c r="F755" i="4"/>
  <c r="F763" i="4"/>
  <c r="I763" i="4" s="1"/>
  <c r="F718" i="4"/>
  <c r="F23" i="4"/>
  <c r="F257" i="4"/>
  <c r="F417" i="4"/>
  <c r="F477" i="4"/>
  <c r="F53" i="4"/>
  <c r="F98" i="4"/>
  <c r="F97" i="4"/>
  <c r="I97" i="4" s="1"/>
  <c r="F307" i="4"/>
  <c r="F333" i="4"/>
  <c r="F429" i="4"/>
  <c r="F491" i="4"/>
  <c r="F260" i="4"/>
  <c r="F310" i="4"/>
  <c r="F434" i="4"/>
  <c r="F473" i="4"/>
  <c r="I473" i="4" s="1"/>
  <c r="F515" i="4"/>
  <c r="F565" i="4"/>
  <c r="F575" i="4"/>
  <c r="F611" i="4"/>
  <c r="F633" i="4"/>
  <c r="F667" i="4"/>
  <c r="F554" i="4"/>
  <c r="F582" i="4"/>
  <c r="F685" i="4"/>
  <c r="F731" i="4"/>
  <c r="F745" i="4"/>
  <c r="F668" i="4"/>
  <c r="F678" i="4"/>
  <c r="F700" i="4"/>
  <c r="F754" i="4"/>
  <c r="F770" i="4"/>
  <c r="I770" i="4" s="1"/>
  <c r="F778" i="4"/>
  <c r="F827" i="4"/>
  <c r="F833" i="4"/>
  <c r="F839" i="4"/>
  <c r="F845" i="4"/>
  <c r="F853" i="4"/>
  <c r="F816" i="4"/>
  <c r="F822" i="4"/>
  <c r="F854" i="4"/>
  <c r="F895" i="4"/>
  <c r="F919" i="4"/>
  <c r="F864" i="4"/>
  <c r="F870" i="4"/>
  <c r="F898" i="4"/>
  <c r="F925" i="4"/>
  <c r="F931" i="4"/>
  <c r="I931" i="4" s="1"/>
  <c r="F937" i="4"/>
  <c r="F943" i="4"/>
  <c r="F949" i="4"/>
  <c r="F955" i="4"/>
  <c r="F962" i="4"/>
  <c r="F924" i="4"/>
  <c r="F958" i="4"/>
  <c r="F964" i="4"/>
  <c r="I964" i="4" s="1"/>
  <c r="F970" i="4"/>
  <c r="F963" i="4"/>
  <c r="F969" i="4"/>
  <c r="F975" i="4"/>
  <c r="F980" i="4"/>
  <c r="F986" i="4"/>
  <c r="F992" i="4"/>
  <c r="F979" i="4"/>
  <c r="I979" i="4" s="1"/>
  <c r="F985" i="4"/>
  <c r="F1001" i="4"/>
  <c r="F114" i="4"/>
  <c r="F101" i="4"/>
  <c r="F313" i="4"/>
  <c r="F497" i="4"/>
  <c r="F300" i="4"/>
  <c r="F426" i="4"/>
  <c r="I426" i="4" s="1"/>
  <c r="F436" i="4"/>
  <c r="F448" i="4"/>
  <c r="F545" i="4"/>
  <c r="F625" i="4"/>
  <c r="F635" i="4"/>
  <c r="F655" i="4"/>
  <c r="F534" i="4"/>
  <c r="F556" i="4"/>
  <c r="I556" i="4" s="1"/>
  <c r="F592" i="4"/>
  <c r="F673" i="4"/>
  <c r="F709" i="4"/>
  <c r="F680" i="4"/>
  <c r="F692" i="4"/>
  <c r="F702" i="4"/>
  <c r="F710" i="4"/>
  <c r="F722" i="4"/>
  <c r="F748" i="4"/>
  <c r="F788" i="4"/>
  <c r="F795" i="4"/>
  <c r="F821" i="4"/>
  <c r="F847" i="4"/>
  <c r="F798" i="4"/>
  <c r="F804" i="4"/>
  <c r="F810" i="4"/>
  <c r="I810" i="4" s="1"/>
  <c r="F848" i="4"/>
  <c r="F856" i="4"/>
  <c r="F889" i="4"/>
  <c r="F876" i="4"/>
  <c r="F904" i="4"/>
  <c r="F912" i="4"/>
  <c r="F930" i="4"/>
  <c r="F936" i="4"/>
  <c r="I936" i="4" s="1"/>
  <c r="F948" i="4"/>
  <c r="F998" i="4"/>
  <c r="I998" i="4" s="1"/>
  <c r="F991" i="4"/>
  <c r="I991" i="4" s="1"/>
  <c r="F174" i="4"/>
  <c r="F107" i="4"/>
  <c r="F277" i="4"/>
  <c r="F411" i="4"/>
  <c r="F433" i="4"/>
  <c r="I433" i="4" s="1"/>
  <c r="F461" i="4"/>
  <c r="F501" i="4"/>
  <c r="F276" i="4"/>
  <c r="F290" i="4"/>
  <c r="F326" i="4"/>
  <c r="F354" i="4"/>
  <c r="F380" i="4"/>
  <c r="F390" i="4"/>
  <c r="I390" i="4" s="1"/>
  <c r="F402" i="4"/>
  <c r="F416" i="4"/>
  <c r="F462" i="4"/>
  <c r="F533" i="4"/>
  <c r="F603" i="4"/>
  <c r="F594" i="4"/>
  <c r="I594" i="4" s="1"/>
  <c r="F604" i="4"/>
  <c r="F628" i="4"/>
  <c r="I628" i="4" s="1"/>
  <c r="F687" i="4"/>
  <c r="F732" i="4"/>
  <c r="F740" i="4"/>
  <c r="F756" i="4"/>
  <c r="F764" i="4"/>
  <c r="F780" i="4"/>
  <c r="F809" i="4"/>
  <c r="F815" i="4"/>
  <c r="F841" i="4"/>
  <c r="F818" i="4"/>
  <c r="F824" i="4"/>
  <c r="F830" i="4"/>
  <c r="I830" i="4" s="1"/>
  <c r="F836" i="4"/>
  <c r="F842" i="4"/>
  <c r="I842" i="4" s="1"/>
  <c r="F858" i="4"/>
  <c r="F877" i="4"/>
  <c r="I877" i="4" s="1"/>
  <c r="F883" i="4"/>
  <c r="F903" i="4"/>
  <c r="F909" i="4"/>
  <c r="F189" i="4"/>
  <c r="F206" i="4"/>
  <c r="F315" i="4"/>
  <c r="F385" i="4"/>
  <c r="F437" i="4"/>
  <c r="I437" i="4" s="1"/>
  <c r="F934" i="4"/>
  <c r="F956" i="4"/>
  <c r="I956" i="4" s="1"/>
  <c r="F926" i="4"/>
  <c r="F886" i="4"/>
  <c r="F901" i="4"/>
  <c r="I901" i="4" s="1"/>
  <c r="F891" i="4"/>
  <c r="F871" i="4"/>
  <c r="H807" i="4"/>
  <c r="F796" i="4"/>
  <c r="F825" i="4"/>
  <c r="F813" i="4"/>
  <c r="H792" i="4"/>
  <c r="F790" i="4"/>
  <c r="F774" i="4"/>
  <c r="F724" i="4"/>
  <c r="F706" i="4"/>
  <c r="I706" i="4" s="1"/>
  <c r="F690" i="4"/>
  <c r="F707" i="4"/>
  <c r="F590" i="4"/>
  <c r="F574" i="4"/>
  <c r="I574" i="4" s="1"/>
  <c r="F552" i="4"/>
  <c r="I552" i="4" s="1"/>
  <c r="F538" i="4"/>
  <c r="I538" i="4" s="1"/>
  <c r="F514" i="4"/>
  <c r="I514" i="4" s="1"/>
  <c r="F665" i="4"/>
  <c r="F643" i="4"/>
  <c r="F621" i="4"/>
  <c r="F563" i="4"/>
  <c r="F509" i="4"/>
  <c r="F446" i="4"/>
  <c r="I446" i="4" s="1"/>
  <c r="H429" i="4"/>
  <c r="H409" i="4"/>
  <c r="H349" i="4"/>
  <c r="F292" i="4"/>
  <c r="F268" i="4"/>
  <c r="F259" i="4"/>
  <c r="F19" i="4"/>
  <c r="F968" i="4"/>
  <c r="F952" i="4"/>
  <c r="F906" i="4"/>
  <c r="I906" i="4" s="1"/>
  <c r="F852" i="4"/>
  <c r="I852" i="4" s="1"/>
  <c r="F802" i="4"/>
  <c r="I802" i="4" s="1"/>
  <c r="F819" i="4"/>
  <c r="F730" i="4"/>
  <c r="F698" i="4"/>
  <c r="F717" i="4"/>
  <c r="F631" i="4"/>
  <c r="F559" i="4"/>
  <c r="F440" i="4"/>
  <c r="F296" i="4"/>
  <c r="F278" i="4"/>
  <c r="F256" i="4"/>
  <c r="F299" i="4"/>
  <c r="G987" i="4"/>
  <c r="H980" i="4"/>
  <c r="F996" i="4"/>
  <c r="G965" i="4"/>
  <c r="G948" i="4"/>
  <c r="F932" i="4"/>
  <c r="I932" i="4" s="1"/>
  <c r="H925" i="4"/>
  <c r="F960" i="4"/>
  <c r="H944" i="4"/>
  <c r="G935" i="4"/>
  <c r="G919" i="4"/>
  <c r="F908" i="4"/>
  <c r="F894" i="4"/>
  <c r="F878" i="4"/>
  <c r="I878" i="4" s="1"/>
  <c r="F910" i="4"/>
  <c r="F879" i="4"/>
  <c r="G867" i="4"/>
  <c r="F862" i="4"/>
  <c r="I862" i="4" s="1"/>
  <c r="F846" i="4"/>
  <c r="F826" i="4"/>
  <c r="I826" i="4" s="1"/>
  <c r="H815" i="4"/>
  <c r="G806" i="4"/>
  <c r="F843" i="4"/>
  <c r="G823" i="4"/>
  <c r="F803" i="4"/>
  <c r="G791" i="4"/>
  <c r="I791" i="4" s="1"/>
  <c r="F786" i="4"/>
  <c r="H773" i="4"/>
  <c r="F760" i="4"/>
  <c r="F750" i="4"/>
  <c r="F736" i="4"/>
  <c r="H719" i="4"/>
  <c r="F704" i="4"/>
  <c r="F688" i="4"/>
  <c r="F670" i="4"/>
  <c r="I670" i="4" s="1"/>
  <c r="G763" i="4"/>
  <c r="F689" i="4"/>
  <c r="F624" i="4"/>
  <c r="G608" i="4"/>
  <c r="G588" i="4"/>
  <c r="F532" i="4"/>
  <c r="H664" i="4"/>
  <c r="G597" i="4"/>
  <c r="G581" i="4"/>
  <c r="G561" i="4"/>
  <c r="F525" i="4"/>
  <c r="F444" i="4"/>
  <c r="G406" i="4"/>
  <c r="F348" i="4"/>
  <c r="G306" i="4"/>
  <c r="F286" i="4"/>
  <c r="F253" i="4"/>
  <c r="F897" i="4"/>
  <c r="F995" i="4"/>
  <c r="F981" i="4"/>
  <c r="F990" i="4"/>
  <c r="F982" i="4"/>
  <c r="F972" i="4"/>
  <c r="F940" i="4"/>
  <c r="F945" i="4"/>
  <c r="I945" i="4" s="1"/>
  <c r="F872" i="4"/>
  <c r="H1000" i="4"/>
  <c r="F987" i="4"/>
  <c r="I987" i="4" s="1"/>
  <c r="H995" i="4"/>
  <c r="F988" i="4"/>
  <c r="H979" i="4"/>
  <c r="F973" i="4"/>
  <c r="I973" i="4" s="1"/>
  <c r="F965" i="4"/>
  <c r="H969" i="4"/>
  <c r="H962" i="4"/>
  <c r="G954" i="4"/>
  <c r="F946" i="4"/>
  <c r="G938" i="4"/>
  <c r="H959" i="4"/>
  <c r="F951" i="4"/>
  <c r="I951" i="4" s="1"/>
  <c r="F935" i="4"/>
  <c r="F927" i="4"/>
  <c r="I927" i="4" s="1"/>
  <c r="G913" i="4"/>
  <c r="H907" i="4"/>
  <c r="F900" i="4"/>
  <c r="F892" i="4"/>
  <c r="F884" i="4"/>
  <c r="G858" i="4"/>
  <c r="G909" i="4"/>
  <c r="G887" i="4"/>
  <c r="F867" i="4"/>
  <c r="G844" i="4"/>
  <c r="I844" i="4" s="1"/>
  <c r="F834" i="4"/>
  <c r="F794" i="4"/>
  <c r="G851" i="4"/>
  <c r="F823" i="4"/>
  <c r="F811" i="4"/>
  <c r="G799" i="4"/>
  <c r="F791" i="4"/>
  <c r="H785" i="4"/>
  <c r="F772" i="4"/>
  <c r="F746" i="4"/>
  <c r="F686" i="4"/>
  <c r="G663" i="4"/>
  <c r="H742" i="4"/>
  <c r="G683" i="4"/>
  <c r="G664" i="4"/>
  <c r="F588" i="4"/>
  <c r="I588" i="4" s="1"/>
  <c r="F512" i="4"/>
  <c r="F663" i="4"/>
  <c r="F581" i="4"/>
  <c r="F561" i="4"/>
  <c r="H540" i="4"/>
  <c r="G462" i="4"/>
  <c r="F442" i="4"/>
  <c r="F384" i="4"/>
  <c r="F346" i="4"/>
  <c r="G322" i="4"/>
  <c r="F264" i="4"/>
  <c r="F485" i="4"/>
  <c r="F172" i="4"/>
  <c r="F993" i="4"/>
  <c r="H987" i="4"/>
  <c r="F961" i="4"/>
  <c r="F954" i="4"/>
  <c r="H945" i="4"/>
  <c r="F938" i="4"/>
  <c r="F922" i="4"/>
  <c r="G941" i="4"/>
  <c r="I941" i="4" s="1"/>
  <c r="G933" i="4"/>
  <c r="F920" i="4"/>
  <c r="H891" i="4"/>
  <c r="H883" i="4"/>
  <c r="G876" i="4"/>
  <c r="F907" i="4"/>
  <c r="F899" i="4"/>
  <c r="F887" i="4"/>
  <c r="I887" i="4" s="1"/>
  <c r="G852" i="4"/>
  <c r="H843" i="4"/>
  <c r="F814" i="4"/>
  <c r="G792" i="4"/>
  <c r="F851" i="4"/>
  <c r="F831" i="4"/>
  <c r="G819" i="4"/>
  <c r="F799" i="4"/>
  <c r="I799" i="4" s="1"/>
  <c r="F784" i="4"/>
  <c r="G768" i="4"/>
  <c r="F758" i="4"/>
  <c r="F716" i="4"/>
  <c r="G684" i="4"/>
  <c r="F761" i="4"/>
  <c r="F719" i="4"/>
  <c r="F620" i="4"/>
  <c r="I620" i="4" s="1"/>
  <c r="F602" i="4"/>
  <c r="I602" i="4" s="1"/>
  <c r="F586" i="4"/>
  <c r="I586" i="4" s="1"/>
  <c r="F548" i="4"/>
  <c r="H662" i="4"/>
  <c r="H560" i="4"/>
  <c r="F539" i="4"/>
  <c r="G521" i="4"/>
  <c r="G487" i="4"/>
  <c r="H441" i="4"/>
  <c r="G402" i="4"/>
  <c r="F382" i="4"/>
  <c r="G342" i="4"/>
  <c r="F302" i="4"/>
  <c r="G224" i="4"/>
  <c r="F483" i="4"/>
  <c r="H255" i="4"/>
  <c r="G5" i="4"/>
  <c r="G219" i="4"/>
  <c r="G347" i="4"/>
  <c r="G208" i="4"/>
  <c r="G226" i="4"/>
  <c r="G244" i="4"/>
  <c r="G290" i="4"/>
  <c r="G296" i="4"/>
  <c r="I296" i="4" s="1"/>
  <c r="G320" i="4"/>
  <c r="G346" i="4"/>
  <c r="G354" i="4"/>
  <c r="G384" i="4"/>
  <c r="G444" i="4"/>
  <c r="G450" i="4"/>
  <c r="G458" i="4"/>
  <c r="G477" i="4"/>
  <c r="I477" i="4" s="1"/>
  <c r="G499" i="4"/>
  <c r="G535" i="4"/>
  <c r="G543" i="4"/>
  <c r="G563" i="4"/>
  <c r="G571" i="4"/>
  <c r="G577" i="4"/>
  <c r="G607" i="4"/>
  <c r="G629" i="4"/>
  <c r="I629" i="4" s="1"/>
  <c r="G476" i="4"/>
  <c r="G494" i="4"/>
  <c r="G510" i="4"/>
  <c r="G516" i="4"/>
  <c r="G548" i="4"/>
  <c r="G554" i="4"/>
  <c r="G586" i="4"/>
  <c r="G592" i="4"/>
  <c r="I592" i="4" s="1"/>
  <c r="G600" i="4"/>
  <c r="G620" i="4"/>
  <c r="G628" i="4"/>
  <c r="G644" i="4"/>
  <c r="G689" i="4"/>
  <c r="G719" i="4"/>
  <c r="G647" i="4"/>
  <c r="G665" i="4"/>
  <c r="G672" i="4"/>
  <c r="G680" i="4"/>
  <c r="G688" i="4"/>
  <c r="G694" i="4"/>
  <c r="G700" i="4"/>
  <c r="G706" i="4"/>
  <c r="G235" i="4"/>
  <c r="G291" i="4"/>
  <c r="G311" i="4"/>
  <c r="G391" i="4"/>
  <c r="G212" i="4"/>
  <c r="G228" i="4"/>
  <c r="G248" i="4"/>
  <c r="G282" i="4"/>
  <c r="G362" i="4"/>
  <c r="G378" i="4"/>
  <c r="G392" i="4"/>
  <c r="G408" i="4"/>
  <c r="G430" i="4"/>
  <c r="G460" i="4"/>
  <c r="G479" i="4"/>
  <c r="G501" i="4"/>
  <c r="G511" i="4"/>
  <c r="G517" i="4"/>
  <c r="I517" i="4" s="1"/>
  <c r="G529" i="4"/>
  <c r="G557" i="4"/>
  <c r="G579" i="4"/>
  <c r="G585" i="4"/>
  <c r="G593" i="4"/>
  <c r="G601" i="4"/>
  <c r="G617" i="4"/>
  <c r="G623" i="4"/>
  <c r="I623" i="4" s="1"/>
  <c r="G478" i="4"/>
  <c r="G496" i="4"/>
  <c r="G528" i="4"/>
  <c r="G536" i="4"/>
  <c r="G580" i="4"/>
  <c r="G614" i="4"/>
  <c r="G622" i="4"/>
  <c r="G630" i="4"/>
  <c r="G646" i="4"/>
  <c r="G711" i="4"/>
  <c r="G727" i="4"/>
  <c r="G735" i="4"/>
  <c r="G743" i="4"/>
  <c r="G651" i="4"/>
  <c r="G667" i="4"/>
  <c r="G674" i="4"/>
  <c r="G712" i="4"/>
  <c r="G720" i="4"/>
  <c r="G740" i="4"/>
  <c r="G748" i="4"/>
  <c r="G754" i="4"/>
  <c r="G771" i="4"/>
  <c r="G787" i="4"/>
  <c r="G795" i="4"/>
  <c r="I795" i="4" s="1"/>
  <c r="G817" i="4"/>
  <c r="G829" i="4"/>
  <c r="G845" i="4"/>
  <c r="G784" i="4"/>
  <c r="G794" i="4"/>
  <c r="G800" i="4"/>
  <c r="G822" i="4"/>
  <c r="G838" i="4"/>
  <c r="G863" i="4"/>
  <c r="G885" i="4"/>
  <c r="G891" i="4"/>
  <c r="G897" i="4"/>
  <c r="G903" i="4"/>
  <c r="G199" i="4"/>
  <c r="G303" i="4"/>
  <c r="G343" i="4"/>
  <c r="G200" i="4"/>
  <c r="G222" i="4"/>
  <c r="G240" i="4"/>
  <c r="G254" i="4"/>
  <c r="G262" i="4"/>
  <c r="G278" i="4"/>
  <c r="G294" i="4"/>
  <c r="G302" i="4"/>
  <c r="G310" i="4"/>
  <c r="G326" i="4"/>
  <c r="G334" i="4"/>
  <c r="G360" i="4"/>
  <c r="G382" i="4"/>
  <c r="G390" i="4"/>
  <c r="G434" i="4"/>
  <c r="G442" i="4"/>
  <c r="I442" i="4" s="1"/>
  <c r="G491" i="4"/>
  <c r="G509" i="4"/>
  <c r="G515" i="4"/>
  <c r="G525" i="4"/>
  <c r="G533" i="4"/>
  <c r="G541" i="4"/>
  <c r="G569" i="4"/>
  <c r="G575" i="4"/>
  <c r="I575" i="4" s="1"/>
  <c r="G583" i="4"/>
  <c r="G591" i="4"/>
  <c r="G599" i="4"/>
  <c r="G605" i="4"/>
  <c r="G621" i="4"/>
  <c r="G490" i="4"/>
  <c r="G508" i="4"/>
  <c r="G526" i="4"/>
  <c r="I526" i="4" s="1"/>
  <c r="G560" i="4"/>
  <c r="G576" i="4"/>
  <c r="G596" i="4"/>
  <c r="G604" i="4"/>
  <c r="G612" i="4"/>
  <c r="G640" i="4"/>
  <c r="G660" i="4"/>
  <c r="G679" i="4"/>
  <c r="I679" i="4" s="1"/>
  <c r="G687" i="4"/>
  <c r="G709" i="4"/>
  <c r="G731" i="4"/>
  <c r="G639" i="4"/>
  <c r="G661" i="4"/>
  <c r="G670" i="4"/>
  <c r="G704" i="4"/>
  <c r="G710" i="4"/>
  <c r="G724" i="4"/>
  <c r="G463" i="4"/>
  <c r="H414" i="4"/>
  <c r="G355" i="4"/>
  <c r="H282" i="4"/>
  <c r="G251" i="4"/>
  <c r="H896" i="4"/>
  <c r="G889" i="4"/>
  <c r="I889" i="4" s="1"/>
  <c r="H870" i="4"/>
  <c r="H864" i="4"/>
  <c r="G848" i="4"/>
  <c r="G810" i="4"/>
  <c r="G804" i="4"/>
  <c r="G798" i="4"/>
  <c r="H791" i="4"/>
  <c r="G774" i="4"/>
  <c r="G847" i="4"/>
  <c r="H834" i="4"/>
  <c r="H828" i="4"/>
  <c r="G821" i="4"/>
  <c r="H802" i="4"/>
  <c r="H796" i="4"/>
  <c r="G785" i="4"/>
  <c r="H789" i="4"/>
  <c r="H771" i="4"/>
  <c r="H749" i="4"/>
  <c r="H723" i="4"/>
  <c r="H711" i="4"/>
  <c r="G702" i="4"/>
  <c r="G692" i="4"/>
  <c r="H683" i="4"/>
  <c r="H669" i="4"/>
  <c r="G643" i="4"/>
  <c r="H760" i="4"/>
  <c r="G747" i="4"/>
  <c r="H738" i="4"/>
  <c r="G723" i="4"/>
  <c r="H710" i="4"/>
  <c r="H700" i="4"/>
  <c r="G675" i="4"/>
  <c r="I675" i="4" s="1"/>
  <c r="G654" i="4"/>
  <c r="G616" i="4"/>
  <c r="H583" i="4"/>
  <c r="G568" i="4"/>
  <c r="G556" i="4"/>
  <c r="G546" i="4"/>
  <c r="H537" i="4"/>
  <c r="G524" i="4"/>
  <c r="I524" i="4" s="1"/>
  <c r="H509" i="4"/>
  <c r="G482" i="4"/>
  <c r="H656" i="4"/>
  <c r="H640" i="4"/>
  <c r="G625" i="4"/>
  <c r="G613" i="4"/>
  <c r="H590" i="4"/>
  <c r="H580" i="4"/>
  <c r="I580" i="4" s="1"/>
  <c r="H566" i="4"/>
  <c r="H556" i="4"/>
  <c r="G545" i="4"/>
  <c r="H520" i="4"/>
  <c r="G507" i="4"/>
  <c r="G475" i="4"/>
  <c r="G448" i="4"/>
  <c r="G438" i="4"/>
  <c r="I438" i="4" s="1"/>
  <c r="G426" i="4"/>
  <c r="H365" i="4"/>
  <c r="H341" i="4"/>
  <c r="G314" i="4"/>
  <c r="H301" i="4"/>
  <c r="H261" i="4"/>
  <c r="G250" i="4"/>
  <c r="G218" i="4"/>
  <c r="G383" i="4"/>
  <c r="H346" i="4"/>
  <c r="H314" i="4"/>
  <c r="G247" i="4"/>
  <c r="G1001" i="4"/>
  <c r="H996" i="4"/>
  <c r="G985" i="4"/>
  <c r="G979" i="4"/>
  <c r="G992" i="4"/>
  <c r="G986" i="4"/>
  <c r="G980" i="4"/>
  <c r="I980" i="4" s="1"/>
  <c r="H976" i="4"/>
  <c r="G969" i="4"/>
  <c r="G963" i="4"/>
  <c r="G970" i="4"/>
  <c r="G964" i="4"/>
  <c r="G958" i="4"/>
  <c r="H953" i="4"/>
  <c r="H941" i="4"/>
  <c r="G924" i="4"/>
  <c r="G912" i="4"/>
  <c r="G955" i="4"/>
  <c r="G949" i="4"/>
  <c r="G943" i="4"/>
  <c r="G937" i="4"/>
  <c r="G931" i="4"/>
  <c r="G925" i="4"/>
  <c r="I925" i="4" s="1"/>
  <c r="G917" i="4"/>
  <c r="G898" i="4"/>
  <c r="H893" i="4"/>
  <c r="H887" i="4"/>
  <c r="H881" i="4"/>
  <c r="G870" i="4"/>
  <c r="G864" i="4"/>
  <c r="H920" i="4"/>
  <c r="I920" i="4" s="1"/>
  <c r="H908" i="4"/>
  <c r="H902" i="4"/>
  <c r="G895" i="4"/>
  <c r="H882" i="4"/>
  <c r="H876" i="4"/>
  <c r="G869" i="4"/>
  <c r="G861" i="4"/>
  <c r="H841" i="4"/>
  <c r="I841" i="4" s="1"/>
  <c r="H835" i="4"/>
  <c r="H829" i="4"/>
  <c r="H823" i="4"/>
  <c r="G816" i="4"/>
  <c r="G790" i="4"/>
  <c r="G772" i="4"/>
  <c r="G839" i="4"/>
  <c r="G833" i="4"/>
  <c r="I833" i="4" s="1"/>
  <c r="G827" i="4"/>
  <c r="H814" i="4"/>
  <c r="H808" i="4"/>
  <c r="G801" i="4"/>
  <c r="G783" i="4"/>
  <c r="H779" i="4"/>
  <c r="G770" i="4"/>
  <c r="H763" i="4"/>
  <c r="H755" i="4"/>
  <c r="H739" i="4"/>
  <c r="H731" i="4"/>
  <c r="G668" i="4"/>
  <c r="G637" i="4"/>
  <c r="G759" i="4"/>
  <c r="H746" i="4"/>
  <c r="H732" i="4"/>
  <c r="I732" i="4" s="1"/>
  <c r="H722" i="4"/>
  <c r="G699" i="4"/>
  <c r="H686" i="4"/>
  <c r="G652" i="4"/>
  <c r="H625" i="4"/>
  <c r="H615" i="4"/>
  <c r="H603" i="4"/>
  <c r="G582" i="4"/>
  <c r="H567" i="4"/>
  <c r="G544" i="4"/>
  <c r="H523" i="4"/>
  <c r="G506" i="4"/>
  <c r="G480" i="4"/>
  <c r="G611" i="4"/>
  <c r="H602" i="4"/>
  <c r="G589" i="4"/>
  <c r="I589" i="4" s="1"/>
  <c r="H576" i="4"/>
  <c r="G565" i="4"/>
  <c r="H554" i="4"/>
  <c r="H532" i="4"/>
  <c r="H516" i="4"/>
  <c r="G505" i="4"/>
  <c r="G473" i="4"/>
  <c r="H461" i="4"/>
  <c r="I461" i="4" s="1"/>
  <c r="G414" i="4"/>
  <c r="H401" i="4"/>
  <c r="H389" i="4"/>
  <c r="G374" i="4"/>
  <c r="G364" i="4"/>
  <c r="G352" i="4"/>
  <c r="G338" i="4"/>
  <c r="H325" i="4"/>
  <c r="G312" i="4"/>
  <c r="G288" i="4"/>
  <c r="G274" i="4"/>
  <c r="G260" i="4"/>
  <c r="G242" i="4"/>
  <c r="G216" i="4"/>
  <c r="H458" i="4"/>
  <c r="G431" i="4"/>
  <c r="G407" i="4"/>
  <c r="H382" i="4"/>
  <c r="H338" i="4"/>
  <c r="H274" i="4"/>
  <c r="G215" i="4"/>
  <c r="G995" i="4"/>
  <c r="H990" i="4"/>
  <c r="H997" i="4"/>
  <c r="G952" i="4"/>
  <c r="G946" i="4"/>
  <c r="G940" i="4"/>
  <c r="G934" i="4"/>
  <c r="H929" i="4"/>
  <c r="I929" i="4" s="1"/>
  <c r="G915" i="4"/>
  <c r="H910" i="4"/>
  <c r="H903" i="4"/>
  <c r="G892" i="4"/>
  <c r="G886" i="4"/>
  <c r="G880" i="4"/>
  <c r="H875" i="4"/>
  <c r="G907" i="4"/>
  <c r="I907" i="4" s="1"/>
  <c r="G901" i="4"/>
  <c r="H888" i="4"/>
  <c r="G881" i="4"/>
  <c r="G875" i="4"/>
  <c r="H868" i="4"/>
  <c r="G859" i="4"/>
  <c r="H847" i="4"/>
  <c r="G840" i="4"/>
  <c r="G834" i="4"/>
  <c r="G828" i="4"/>
  <c r="H809" i="4"/>
  <c r="H803" i="4"/>
  <c r="G796" i="4"/>
  <c r="G788" i="4"/>
  <c r="H820" i="4"/>
  <c r="G813" i="4"/>
  <c r="I813" i="4" s="1"/>
  <c r="G807" i="4"/>
  <c r="H800" i="4"/>
  <c r="G793" i="4"/>
  <c r="G781" i="4"/>
  <c r="H787" i="4"/>
  <c r="G762" i="4"/>
  <c r="H747" i="4"/>
  <c r="G738" i="4"/>
  <c r="G730" i="4"/>
  <c r="H721" i="4"/>
  <c r="H709" i="4"/>
  <c r="H691" i="4"/>
  <c r="G635" i="4"/>
  <c r="G755" i="4"/>
  <c r="G721" i="4"/>
  <c r="G707" i="4"/>
  <c r="I707" i="4" s="1"/>
  <c r="G695" i="4"/>
  <c r="G671" i="4"/>
  <c r="G648" i="4"/>
  <c r="G624" i="4"/>
  <c r="H613" i="4"/>
  <c r="G602" i="4"/>
  <c r="G590" i="4"/>
  <c r="G566" i="4"/>
  <c r="H543" i="4"/>
  <c r="G532" i="4"/>
  <c r="G520" i="4"/>
  <c r="G504" i="4"/>
  <c r="H654" i="4"/>
  <c r="H624" i="4"/>
  <c r="H600" i="4"/>
  <c r="H588" i="4"/>
  <c r="G553" i="4"/>
  <c r="H542" i="4"/>
  <c r="G531" i="4"/>
  <c r="G503" i="4"/>
  <c r="H457" i="4"/>
  <c r="G446" i="4"/>
  <c r="H425" i="4"/>
  <c r="H413" i="4"/>
  <c r="I413" i="4" s="1"/>
  <c r="G398" i="4"/>
  <c r="H387" i="4"/>
  <c r="H373" i="4"/>
  <c r="G350" i="4"/>
  <c r="G336" i="4"/>
  <c r="G324" i="4"/>
  <c r="G298" i="4"/>
  <c r="G286" i="4"/>
  <c r="G272" i="4"/>
  <c r="G238" i="4"/>
  <c r="G214" i="4"/>
  <c r="G451" i="4"/>
  <c r="G403" i="4"/>
  <c r="G375" i="4"/>
  <c r="G271" i="4"/>
  <c r="H262" i="4"/>
  <c r="I262" i="4" s="1"/>
  <c r="H390" i="4"/>
  <c r="H438" i="4"/>
  <c r="H454" i="4"/>
  <c r="H257" i="4"/>
  <c r="H265" i="4"/>
  <c r="H273" i="4"/>
  <c r="H281" i="4"/>
  <c r="H305" i="4"/>
  <c r="I305" i="4" s="1"/>
  <c r="H313" i="4"/>
  <c r="H329" i="4"/>
  <c r="H337" i="4"/>
  <c r="H369" i="4"/>
  <c r="H377" i="4"/>
  <c r="H399" i="4"/>
  <c r="H407" i="4"/>
  <c r="H417" i="4"/>
  <c r="I417" i="4" s="1"/>
  <c r="H423" i="4"/>
  <c r="H437" i="4"/>
  <c r="H550" i="4"/>
  <c r="H616" i="4"/>
  <c r="H636" i="4"/>
  <c r="H650" i="4"/>
  <c r="H535" i="4"/>
  <c r="H541" i="4"/>
  <c r="I541" i="4" s="1"/>
  <c r="H563" i="4"/>
  <c r="H569" i="4"/>
  <c r="H579" i="4"/>
  <c r="H607" i="4"/>
  <c r="H667" i="4"/>
  <c r="H674" i="4"/>
  <c r="H682" i="4"/>
  <c r="H696" i="4"/>
  <c r="H704" i="4"/>
  <c r="H726" i="4"/>
  <c r="H734" i="4"/>
  <c r="H750" i="4"/>
  <c r="H756" i="4"/>
  <c r="H764" i="4"/>
  <c r="H326" i="4"/>
  <c r="H354" i="4"/>
  <c r="I354" i="4" s="1"/>
  <c r="H374" i="4"/>
  <c r="H410" i="4"/>
  <c r="H426" i="4"/>
  <c r="H291" i="4"/>
  <c r="H297" i="4"/>
  <c r="H321" i="4"/>
  <c r="H347" i="4"/>
  <c r="H355" i="4"/>
  <c r="H385" i="4"/>
  <c r="H445" i="4"/>
  <c r="H451" i="4"/>
  <c r="H536" i="4"/>
  <c r="H544" i="4"/>
  <c r="H564" i="4"/>
  <c r="H572" i="4"/>
  <c r="H608" i="4"/>
  <c r="I608" i="4" s="1"/>
  <c r="H630" i="4"/>
  <c r="H638" i="4"/>
  <c r="H660" i="4"/>
  <c r="H511" i="4"/>
  <c r="H519" i="4"/>
  <c r="H555" i="4"/>
  <c r="H571" i="4"/>
  <c r="H587" i="4"/>
  <c r="H593" i="4"/>
  <c r="H601" i="4"/>
  <c r="H668" i="4"/>
  <c r="H690" i="4"/>
  <c r="H698" i="4"/>
  <c r="H758" i="4"/>
  <c r="H766" i="4"/>
  <c r="H681" i="4"/>
  <c r="H689" i="4"/>
  <c r="H695" i="4"/>
  <c r="H701" i="4"/>
  <c r="H707" i="4"/>
  <c r="H727" i="4"/>
  <c r="H775" i="4"/>
  <c r="H783" i="4"/>
  <c r="H812" i="4"/>
  <c r="H824" i="4"/>
  <c r="H840" i="4"/>
  <c r="H852" i="4"/>
  <c r="H811" i="4"/>
  <c r="H817" i="4"/>
  <c r="H833" i="4"/>
  <c r="H880" i="4"/>
  <c r="H258" i="4"/>
  <c r="I258" i="4" s="1"/>
  <c r="H278" i="4"/>
  <c r="H386" i="4"/>
  <c r="H473" i="4"/>
  <c r="H289" i="4"/>
  <c r="H345" i="4"/>
  <c r="H353" i="4"/>
  <c r="H405" i="4"/>
  <c r="H415" i="4"/>
  <c r="H449" i="4"/>
  <c r="H562" i="4"/>
  <c r="H612" i="4"/>
  <c r="H628" i="4"/>
  <c r="H634" i="4"/>
  <c r="H646" i="4"/>
  <c r="H666" i="4"/>
  <c r="H515" i="4"/>
  <c r="I515" i="4" s="1"/>
  <c r="H533" i="4"/>
  <c r="H547" i="4"/>
  <c r="H553" i="4"/>
  <c r="H585" i="4"/>
  <c r="H591" i="4"/>
  <c r="H619" i="4"/>
  <c r="H627" i="4"/>
  <c r="H672" i="4"/>
  <c r="H702" i="4"/>
  <c r="H718" i="4"/>
  <c r="H679" i="4"/>
  <c r="H687" i="4"/>
  <c r="H693" i="4"/>
  <c r="H699" i="4"/>
  <c r="H442" i="4"/>
  <c r="H394" i="4"/>
  <c r="G363" i="4"/>
  <c r="G323" i="4"/>
  <c r="H294" i="4"/>
  <c r="H74" i="2"/>
  <c r="H146" i="2"/>
  <c r="H11" i="2"/>
  <c r="H99" i="2"/>
  <c r="H187" i="2"/>
  <c r="H267" i="2"/>
  <c r="H355" i="2"/>
  <c r="H28" i="2"/>
  <c r="H156" i="2"/>
  <c r="H357" i="2"/>
  <c r="H104" i="2"/>
  <c r="H232" i="2"/>
  <c r="H360" i="2"/>
  <c r="H362" i="2"/>
  <c r="H90" i="2"/>
  <c r="H170" i="2"/>
  <c r="H250" i="2"/>
  <c r="H35" i="2"/>
  <c r="H52" i="2"/>
  <c r="H308" i="2"/>
  <c r="H125" i="2"/>
  <c r="H253" i="2"/>
  <c r="H381" i="2"/>
  <c r="H128" i="2"/>
  <c r="H256" i="2"/>
  <c r="H384" i="2"/>
  <c r="H340" i="2"/>
  <c r="H29" i="2"/>
  <c r="H157" i="2"/>
  <c r="H32" i="2"/>
  <c r="H288" i="2"/>
  <c r="H9" i="2"/>
  <c r="H290" i="2"/>
  <c r="H34" i="2"/>
  <c r="H106" i="2"/>
  <c r="H186" i="2"/>
  <c r="H227" i="2"/>
  <c r="H315" i="2"/>
  <c r="H348" i="2"/>
  <c r="H37" i="2"/>
  <c r="H165" i="2"/>
  <c r="H293" i="2"/>
  <c r="H40" i="2"/>
  <c r="H168" i="2"/>
  <c r="H296" i="2"/>
  <c r="H298" i="2"/>
  <c r="H42" i="2"/>
  <c r="H67" i="2"/>
  <c r="H155" i="2"/>
  <c r="H323" i="2"/>
  <c r="H108" i="2"/>
  <c r="H236" i="2"/>
  <c r="H364" i="2"/>
  <c r="H53" i="2"/>
  <c r="H309" i="2"/>
  <c r="H56" i="2"/>
  <c r="H312" i="2"/>
  <c r="H33" i="2"/>
  <c r="H314" i="2"/>
  <c r="H122" i="2"/>
  <c r="H210" i="2"/>
  <c r="H75" i="2"/>
  <c r="H116" i="2"/>
  <c r="H244" i="2"/>
  <c r="H372" i="2"/>
  <c r="H61" i="2"/>
  <c r="H189" i="2"/>
  <c r="H64" i="2"/>
  <c r="H154" i="2"/>
  <c r="H218" i="2"/>
  <c r="G122" i="2"/>
  <c r="G186" i="2"/>
  <c r="G250" i="2"/>
  <c r="G314" i="2"/>
  <c r="G378" i="2"/>
  <c r="H43" i="2"/>
  <c r="H107" i="2"/>
  <c r="H171" i="2"/>
  <c r="H235" i="2"/>
  <c r="H299" i="2"/>
  <c r="H363" i="2"/>
  <c r="G123" i="2"/>
  <c r="G187" i="2"/>
  <c r="G251" i="2"/>
  <c r="G315" i="2"/>
  <c r="G395" i="2"/>
  <c r="H60" i="2"/>
  <c r="H124" i="2"/>
  <c r="H188" i="2"/>
  <c r="H252" i="2"/>
  <c r="H316" i="2"/>
  <c r="H380" i="2"/>
  <c r="G132" i="2"/>
  <c r="G196" i="2"/>
  <c r="G268" i="2"/>
  <c r="G340" i="2"/>
  <c r="H5" i="2"/>
  <c r="H69" i="2"/>
  <c r="H133" i="2"/>
  <c r="H197" i="2"/>
  <c r="H261" i="2"/>
  <c r="H325" i="2"/>
  <c r="H389" i="2"/>
  <c r="G63" i="2"/>
  <c r="G135" i="2"/>
  <c r="G199" i="2"/>
  <c r="G271" i="2"/>
  <c r="G343" i="2"/>
  <c r="H8" i="2"/>
  <c r="H72" i="2"/>
  <c r="H136" i="2"/>
  <c r="H200" i="2"/>
  <c r="H264" i="2"/>
  <c r="H328" i="2"/>
  <c r="H392" i="2"/>
  <c r="G56" i="2"/>
  <c r="G120" i="2"/>
  <c r="G184" i="2"/>
  <c r="G256" i="2"/>
  <c r="G320" i="2"/>
  <c r="G384" i="2"/>
  <c r="H49" i="2"/>
  <c r="H266" i="2"/>
  <c r="H330" i="2"/>
  <c r="H394" i="2"/>
  <c r="G228" i="2"/>
  <c r="G149" i="2"/>
  <c r="G213" i="2"/>
  <c r="G277" i="2"/>
  <c r="G341" i="2"/>
  <c r="H6" i="2"/>
  <c r="H70" i="2"/>
  <c r="H134" i="2"/>
  <c r="H198" i="2"/>
  <c r="H262" i="2"/>
  <c r="H326" i="2"/>
  <c r="H390" i="2"/>
  <c r="G134" i="2"/>
  <c r="G198" i="2"/>
  <c r="G262" i="2"/>
  <c r="G326" i="2"/>
  <c r="G398" i="2"/>
  <c r="H63" i="2"/>
  <c r="H127" i="2"/>
  <c r="H191" i="2"/>
  <c r="H255" i="2"/>
  <c r="H319" i="2"/>
  <c r="H383" i="2"/>
  <c r="H105" i="2"/>
  <c r="H169" i="2"/>
  <c r="H233" i="2"/>
  <c r="H297" i="2"/>
  <c r="H361" i="2"/>
  <c r="G131" i="2"/>
  <c r="G195" i="2"/>
  <c r="G259" i="2"/>
  <c r="G323" i="2"/>
  <c r="H4" i="2"/>
  <c r="H68" i="2"/>
  <c r="H132" i="2"/>
  <c r="H196" i="2"/>
  <c r="H260" i="2"/>
  <c r="H324" i="2"/>
  <c r="H388" i="2"/>
  <c r="G140" i="2"/>
  <c r="G204" i="2"/>
  <c r="G276" i="2"/>
  <c r="G348" i="2"/>
  <c r="H13" i="2"/>
  <c r="H77" i="2"/>
  <c r="H141" i="2"/>
  <c r="H205" i="2"/>
  <c r="H269" i="2"/>
  <c r="H333" i="2"/>
  <c r="H397" i="2"/>
  <c r="G71" i="2"/>
  <c r="G143" i="2"/>
  <c r="G207" i="2"/>
  <c r="G287" i="2"/>
  <c r="G351" i="2"/>
  <c r="H16" i="2"/>
  <c r="H80" i="2"/>
  <c r="H144" i="2"/>
  <c r="H208" i="2"/>
  <c r="H272" i="2"/>
  <c r="H336" i="2"/>
  <c r="H400" i="2"/>
  <c r="G64" i="2"/>
  <c r="G128" i="2"/>
  <c r="G192" i="2"/>
  <c r="G264" i="2"/>
  <c r="G328" i="2"/>
  <c r="G392" i="2"/>
  <c r="H57" i="2"/>
  <c r="H274" i="2"/>
  <c r="H338" i="2"/>
  <c r="G93" i="2"/>
  <c r="G157" i="2"/>
  <c r="G221" i="2"/>
  <c r="G285" i="2"/>
  <c r="G349" i="2"/>
  <c r="H14" i="2"/>
  <c r="H78" i="2"/>
  <c r="H142" i="2"/>
  <c r="H206" i="2"/>
  <c r="H270" i="2"/>
  <c r="H334" i="2"/>
  <c r="H398" i="2"/>
  <c r="G142" i="2"/>
  <c r="G206" i="2"/>
  <c r="G270" i="2"/>
  <c r="G334" i="2"/>
  <c r="H7" i="2"/>
  <c r="H71" i="2"/>
  <c r="H135" i="2"/>
  <c r="H199" i="2"/>
  <c r="H263" i="2"/>
  <c r="H327" i="2"/>
  <c r="H391" i="2"/>
  <c r="H113" i="2"/>
  <c r="H177" i="2"/>
  <c r="H241" i="2"/>
  <c r="H305" i="2"/>
  <c r="H369" i="2"/>
  <c r="G139" i="2"/>
  <c r="G203" i="2"/>
  <c r="G267" i="2"/>
  <c r="G331" i="2"/>
  <c r="H12" i="2"/>
  <c r="H76" i="2"/>
  <c r="H140" i="2"/>
  <c r="H204" i="2"/>
  <c r="H268" i="2"/>
  <c r="H332" i="2"/>
  <c r="H396" i="2"/>
  <c r="G148" i="2"/>
  <c r="G212" i="2"/>
  <c r="G284" i="2"/>
  <c r="G356" i="2"/>
  <c r="H21" i="2"/>
  <c r="H85" i="2"/>
  <c r="H149" i="2"/>
  <c r="H213" i="2"/>
  <c r="H277" i="2"/>
  <c r="H341" i="2"/>
  <c r="G7" i="2"/>
  <c r="G79" i="2"/>
  <c r="G151" i="2"/>
  <c r="G223" i="2"/>
  <c r="G295" i="2"/>
  <c r="G359" i="2"/>
  <c r="H24" i="2"/>
  <c r="H88" i="2"/>
  <c r="H152" i="2"/>
  <c r="H216" i="2"/>
  <c r="H280" i="2"/>
  <c r="H344" i="2"/>
  <c r="G8" i="2"/>
  <c r="G72" i="2"/>
  <c r="G136" i="2"/>
  <c r="G200" i="2"/>
  <c r="G272" i="2"/>
  <c r="G336" i="2"/>
  <c r="G400" i="2"/>
  <c r="H65" i="2"/>
  <c r="H282" i="2"/>
  <c r="H346" i="2"/>
  <c r="G101" i="2"/>
  <c r="G165" i="2"/>
  <c r="G229" i="2"/>
  <c r="G293" i="2"/>
  <c r="G357" i="2"/>
  <c r="H22" i="2"/>
  <c r="H86" i="2"/>
  <c r="H150" i="2"/>
  <c r="H214" i="2"/>
  <c r="H278" i="2"/>
  <c r="H342" i="2"/>
  <c r="G86" i="2"/>
  <c r="G150" i="2"/>
  <c r="G214" i="2"/>
  <c r="G278" i="2"/>
  <c r="H15" i="2"/>
  <c r="H79" i="2"/>
  <c r="H143" i="2"/>
  <c r="H207" i="2"/>
  <c r="H271" i="2"/>
  <c r="H335" i="2"/>
  <c r="H399" i="2"/>
  <c r="H121" i="2"/>
  <c r="H185" i="2"/>
  <c r="H249" i="2"/>
  <c r="H313" i="2"/>
  <c r="H377" i="2"/>
  <c r="G292" i="2"/>
  <c r="G47" i="2"/>
  <c r="G65" i="2"/>
  <c r="G111" i="2"/>
  <c r="G371" i="2"/>
  <c r="G129" i="2"/>
  <c r="G169" i="2"/>
  <c r="G279" i="2"/>
  <c r="G339" i="2"/>
  <c r="G109" i="2"/>
  <c r="G173" i="2"/>
  <c r="G237" i="2"/>
  <c r="G301" i="2"/>
  <c r="G365" i="2"/>
  <c r="H30" i="2"/>
  <c r="H94" i="2"/>
  <c r="H158" i="2"/>
  <c r="H222" i="2"/>
  <c r="H286" i="2"/>
  <c r="H350" i="2"/>
  <c r="G94" i="2"/>
  <c r="G158" i="2"/>
  <c r="G222" i="2"/>
  <c r="G286" i="2"/>
  <c r="G358" i="2"/>
  <c r="H23" i="2"/>
  <c r="H87" i="2"/>
  <c r="H151" i="2"/>
  <c r="H215" i="2"/>
  <c r="H279" i="2"/>
  <c r="H343" i="2"/>
  <c r="G215" i="2"/>
  <c r="H129" i="2"/>
  <c r="H193" i="2"/>
  <c r="H257" i="2"/>
  <c r="H321" i="2"/>
  <c r="H385" i="2"/>
  <c r="G117" i="2"/>
  <c r="G181" i="2"/>
  <c r="G245" i="2"/>
  <c r="G309" i="2"/>
  <c r="G373" i="2"/>
  <c r="H38" i="2"/>
  <c r="H102" i="2"/>
  <c r="H166" i="2"/>
  <c r="H230" i="2"/>
  <c r="H294" i="2"/>
  <c r="H358" i="2"/>
  <c r="G102" i="2"/>
  <c r="G166" i="2"/>
  <c r="G230" i="2"/>
  <c r="G294" i="2"/>
  <c r="G366" i="2"/>
  <c r="H31" i="2"/>
  <c r="H95" i="2"/>
  <c r="H159" i="2"/>
  <c r="H223" i="2"/>
  <c r="H287" i="2"/>
  <c r="H351" i="2"/>
  <c r="G240" i="2"/>
  <c r="H137" i="2"/>
  <c r="H201" i="2"/>
  <c r="H265" i="2"/>
  <c r="H329" i="2"/>
  <c r="H393" i="2"/>
  <c r="G18" i="2"/>
  <c r="G82" i="2"/>
  <c r="G51" i="2"/>
  <c r="G28" i="2"/>
  <c r="G5" i="2"/>
  <c r="G69" i="2"/>
  <c r="G46" i="2"/>
  <c r="G33" i="2"/>
  <c r="G105" i="2"/>
  <c r="G193" i="2"/>
  <c r="G273" i="2"/>
  <c r="G337" i="2"/>
  <c r="G401" i="2"/>
  <c r="H66" i="2"/>
  <c r="H130" i="2"/>
  <c r="H194" i="2"/>
  <c r="G98" i="2"/>
  <c r="G162" i="2"/>
  <c r="G226" i="2"/>
  <c r="G290" i="2"/>
  <c r="G354" i="2"/>
  <c r="H19" i="2"/>
  <c r="H83" i="2"/>
  <c r="H147" i="2"/>
  <c r="H211" i="2"/>
  <c r="H275" i="2"/>
  <c r="H339" i="2"/>
  <c r="G99" i="2"/>
  <c r="G163" i="2"/>
  <c r="G227" i="2"/>
  <c r="G291" i="2"/>
  <c r="G363" i="2"/>
  <c r="H36" i="2"/>
  <c r="H100" i="2"/>
  <c r="H164" i="2"/>
  <c r="H228" i="2"/>
  <c r="H292" i="2"/>
  <c r="H356" i="2"/>
  <c r="G108" i="2"/>
  <c r="G172" i="2"/>
  <c r="G244" i="2"/>
  <c r="G316" i="2"/>
  <c r="G380" i="2"/>
  <c r="H45" i="2"/>
  <c r="H109" i="2"/>
  <c r="H173" i="2"/>
  <c r="H237" i="2"/>
  <c r="H301" i="2"/>
  <c r="H365" i="2"/>
  <c r="G31" i="2"/>
  <c r="G103" i="2"/>
  <c r="G175" i="2"/>
  <c r="G247" i="2"/>
  <c r="G319" i="2"/>
  <c r="G383" i="2"/>
  <c r="H48" i="2"/>
  <c r="H112" i="2"/>
  <c r="H176" i="2"/>
  <c r="H240" i="2"/>
  <c r="H304" i="2"/>
  <c r="H368" i="2"/>
  <c r="G32" i="2"/>
  <c r="G96" i="2"/>
  <c r="G160" i="2"/>
  <c r="G224" i="2"/>
  <c r="G296" i="2"/>
  <c r="G360" i="2"/>
  <c r="H25" i="2"/>
  <c r="G201" i="2"/>
  <c r="H306" i="2"/>
  <c r="H370" i="2"/>
  <c r="G125" i="2"/>
  <c r="G189" i="2"/>
  <c r="G253" i="2"/>
  <c r="G317" i="2"/>
  <c r="G381" i="2"/>
  <c r="H46" i="2"/>
  <c r="H110" i="2"/>
  <c r="H174" i="2"/>
  <c r="H238" i="2"/>
  <c r="H302" i="2"/>
  <c r="H366" i="2"/>
  <c r="G110" i="2"/>
  <c r="G174" i="2"/>
  <c r="G238" i="2"/>
  <c r="G302" i="2"/>
  <c r="G374" i="2"/>
  <c r="H39" i="2"/>
  <c r="H103" i="2"/>
  <c r="H167" i="2"/>
  <c r="H231" i="2"/>
  <c r="H295" i="2"/>
  <c r="H359" i="2"/>
  <c r="H81" i="2"/>
  <c r="H145" i="2"/>
  <c r="H209" i="2"/>
  <c r="H273" i="2"/>
  <c r="H337" i="2"/>
  <c r="H401" i="2"/>
  <c r="G133" i="2"/>
  <c r="G197" i="2"/>
  <c r="G261" i="2"/>
  <c r="G325" i="2"/>
  <c r="G389" i="2"/>
  <c r="H54" i="2"/>
  <c r="H118" i="2"/>
  <c r="H182" i="2"/>
  <c r="H246" i="2"/>
  <c r="H310" i="2"/>
  <c r="H374" i="2"/>
  <c r="G118" i="2"/>
  <c r="G182" i="2"/>
  <c r="G246" i="2"/>
  <c r="G310" i="2"/>
  <c r="G382" i="2"/>
  <c r="H47" i="2"/>
  <c r="H111" i="2"/>
  <c r="H175" i="2"/>
  <c r="H239" i="2"/>
  <c r="H303" i="2"/>
  <c r="H367" i="2"/>
  <c r="H89" i="2"/>
  <c r="H153" i="2"/>
  <c r="H217" i="2"/>
  <c r="H281" i="2"/>
  <c r="H345" i="2"/>
  <c r="G397" i="2"/>
  <c r="H62" i="2"/>
  <c r="H126" i="2"/>
  <c r="H190" i="2"/>
  <c r="H254" i="2"/>
  <c r="H318" i="2"/>
  <c r="H382" i="2"/>
  <c r="G126" i="2"/>
  <c r="G190" i="2"/>
  <c r="G254" i="2"/>
  <c r="G318" i="2"/>
  <c r="G390" i="2"/>
  <c r="H55" i="2"/>
  <c r="H119" i="2"/>
  <c r="H183" i="2"/>
  <c r="H247" i="2"/>
  <c r="H311" i="2"/>
  <c r="H375" i="2"/>
  <c r="H97" i="2"/>
  <c r="H161" i="2"/>
  <c r="H225" i="2"/>
  <c r="H289" i="2"/>
  <c r="G350" i="2"/>
  <c r="G34" i="1"/>
  <c r="F682" i="4"/>
  <c r="F674" i="4"/>
  <c r="F672" i="4"/>
  <c r="F769" i="4"/>
  <c r="F767" i="4"/>
  <c r="F765" i="4"/>
  <c r="F759" i="4"/>
  <c r="F757" i="4"/>
  <c r="I757" i="4" s="1"/>
  <c r="F753" i="4"/>
  <c r="I753" i="4" s="1"/>
  <c r="F747" i="4"/>
  <c r="F737" i="4"/>
  <c r="F735" i="4"/>
  <c r="I735" i="4" s="1"/>
  <c r="F733" i="4"/>
  <c r="F727" i="4"/>
  <c r="I727" i="4" s="1"/>
  <c r="F723" i="4"/>
  <c r="F715" i="4"/>
  <c r="I715" i="4" s="1"/>
  <c r="F713" i="4"/>
  <c r="F703" i="4"/>
  <c r="I703" i="4" s="1"/>
  <c r="F699" i="4"/>
  <c r="F697" i="4"/>
  <c r="F691" i="4"/>
  <c r="F681" i="4"/>
  <c r="F669" i="4"/>
  <c r="F630" i="4"/>
  <c r="I630" i="4" s="1"/>
  <c r="F626" i="4"/>
  <c r="F622" i="4"/>
  <c r="I622" i="4" s="1"/>
  <c r="F606" i="4"/>
  <c r="F584" i="4"/>
  <c r="F576" i="4"/>
  <c r="F530" i="4"/>
  <c r="F524" i="4"/>
  <c r="F522" i="4"/>
  <c r="I522" i="4" s="1"/>
  <c r="F520" i="4"/>
  <c r="F518" i="4"/>
  <c r="F510" i="4"/>
  <c r="I510" i="4" s="1"/>
  <c r="F619" i="4"/>
  <c r="F599" i="4"/>
  <c r="F597" i="4"/>
  <c r="F589" i="4"/>
  <c r="F587" i="4"/>
  <c r="F583" i="4"/>
  <c r="F579" i="4"/>
  <c r="F577" i="4"/>
  <c r="F567" i="4"/>
  <c r="F541" i="4"/>
  <c r="F527" i="4"/>
  <c r="F471" i="4"/>
  <c r="F470" i="4"/>
  <c r="F468" i="4"/>
  <c r="F460" i="4"/>
  <c r="F458" i="4"/>
  <c r="F414" i="4"/>
  <c r="F412" i="4"/>
  <c r="F408" i="4"/>
  <c r="F396" i="4"/>
  <c r="F394" i="4"/>
  <c r="I394" i="4" s="1"/>
  <c r="F388" i="4"/>
  <c r="F364" i="4"/>
  <c r="F360" i="4"/>
  <c r="F352" i="4"/>
  <c r="F350" i="4"/>
  <c r="F336" i="4"/>
  <c r="F328" i="4"/>
  <c r="F324" i="4"/>
  <c r="I324" i="4" s="1"/>
  <c r="F322" i="4"/>
  <c r="F308" i="4"/>
  <c r="F304" i="4"/>
  <c r="F280" i="4"/>
  <c r="F254" i="4"/>
  <c r="F493" i="4"/>
  <c r="F489" i="4"/>
  <c r="F459" i="4"/>
  <c r="F457" i="4"/>
  <c r="F395" i="4"/>
  <c r="F285" i="4"/>
  <c r="F246" i="4"/>
  <c r="F216" i="4"/>
  <c r="F202" i="4"/>
  <c r="F127" i="4"/>
  <c r="F113" i="4"/>
  <c r="I113" i="4" s="1"/>
  <c r="F93" i="4"/>
  <c r="F57" i="4"/>
  <c r="F29" i="4"/>
  <c r="F197" i="4"/>
  <c r="F186" i="4"/>
  <c r="F401" i="4"/>
  <c r="F365" i="4"/>
  <c r="F361" i="4"/>
  <c r="I361" i="4" s="1"/>
  <c r="F353" i="4"/>
  <c r="F267" i="4"/>
  <c r="F85" i="4"/>
  <c r="F75" i="4"/>
  <c r="F130" i="4"/>
  <c r="F66" i="4"/>
  <c r="F20" i="4"/>
  <c r="F616" i="4"/>
  <c r="I616" i="4" s="1"/>
  <c r="F612" i="4"/>
  <c r="F600" i="4"/>
  <c r="I600" i="4" s="1"/>
  <c r="F598" i="4"/>
  <c r="F580" i="4"/>
  <c r="F578" i="4"/>
  <c r="F572" i="4"/>
  <c r="F570" i="4"/>
  <c r="F566" i="4"/>
  <c r="I566" i="4" s="1"/>
  <c r="F562" i="4"/>
  <c r="I562" i="4" s="1"/>
  <c r="F558" i="4"/>
  <c r="F546" i="4"/>
  <c r="I546" i="4" s="1"/>
  <c r="F544" i="4"/>
  <c r="I544" i="4" s="1"/>
  <c r="F536" i="4"/>
  <c r="F661" i="4"/>
  <c r="F653" i="4"/>
  <c r="F649" i="4"/>
  <c r="F647" i="4"/>
  <c r="F645" i="4"/>
  <c r="F641" i="4"/>
  <c r="F639" i="4"/>
  <c r="F637" i="4"/>
  <c r="F617" i="4"/>
  <c r="F615" i="4"/>
  <c r="F613" i="4"/>
  <c r="I613" i="4" s="1"/>
  <c r="F605" i="4"/>
  <c r="F595" i="4"/>
  <c r="I595" i="4" s="1"/>
  <c r="F591" i="4"/>
  <c r="I591" i="4" s="1"/>
  <c r="F569" i="4"/>
  <c r="F553" i="4"/>
  <c r="F547" i="4"/>
  <c r="F543" i="4"/>
  <c r="F537" i="4"/>
  <c r="I537" i="4" s="1"/>
  <c r="F523" i="4"/>
  <c r="F521" i="4"/>
  <c r="I521" i="4" s="1"/>
  <c r="F519" i="4"/>
  <c r="F513" i="4"/>
  <c r="F472" i="4"/>
  <c r="F469" i="4"/>
  <c r="F465" i="4"/>
  <c r="I465" i="4" s="1"/>
  <c r="F452" i="4"/>
  <c r="I452" i="4" s="1"/>
  <c r="F410" i="4"/>
  <c r="F406" i="4"/>
  <c r="F404" i="4"/>
  <c r="F386" i="4"/>
  <c r="I386" i="4" s="1"/>
  <c r="F378" i="4"/>
  <c r="F376" i="4"/>
  <c r="F366" i="4"/>
  <c r="F344" i="4"/>
  <c r="I344" i="4" s="1"/>
  <c r="F340" i="4"/>
  <c r="F320" i="4"/>
  <c r="F312" i="4"/>
  <c r="F298" i="4"/>
  <c r="F288" i="4"/>
  <c r="F284" i="4"/>
  <c r="F282" i="4"/>
  <c r="F270" i="4"/>
  <c r="F262" i="4"/>
  <c r="F503" i="4"/>
  <c r="F495" i="4"/>
  <c r="F487" i="4"/>
  <c r="F475" i="4"/>
  <c r="F453" i="4"/>
  <c r="F449" i="4"/>
  <c r="F443" i="4"/>
  <c r="F421" i="4"/>
  <c r="F393" i="4"/>
  <c r="F379" i="4"/>
  <c r="F349" i="4"/>
  <c r="F341" i="4"/>
  <c r="F337" i="4"/>
  <c r="F279" i="4"/>
  <c r="F228" i="4"/>
  <c r="I228" i="4" s="1"/>
  <c r="F89" i="4"/>
  <c r="F71" i="4"/>
  <c r="F43" i="4"/>
  <c r="F33" i="4"/>
  <c r="F170" i="4"/>
  <c r="F122" i="4"/>
  <c r="F106" i="4"/>
  <c r="F90" i="4"/>
  <c r="I90" i="4" s="1"/>
  <c r="F74" i="4"/>
  <c r="F58" i="4"/>
  <c r="F42" i="4"/>
  <c r="F5" i="4"/>
  <c r="F10" i="4"/>
  <c r="F30" i="4"/>
  <c r="F38" i="4"/>
  <c r="F46" i="4"/>
  <c r="I46" i="4" s="1"/>
  <c r="F54" i="4"/>
  <c r="F62" i="4"/>
  <c r="F70" i="4"/>
  <c r="F78" i="4"/>
  <c r="F86" i="4"/>
  <c r="F94" i="4"/>
  <c r="F102" i="4"/>
  <c r="F110" i="4"/>
  <c r="I110" i="4" s="1"/>
  <c r="F118" i="4"/>
  <c r="F126" i="4"/>
  <c r="F134" i="4"/>
  <c r="F171" i="4"/>
  <c r="F176" i="4"/>
  <c r="F185" i="4"/>
  <c r="F188" i="4"/>
  <c r="F193" i="4"/>
  <c r="F4" i="4"/>
  <c r="F8" i="4"/>
  <c r="F11" i="4"/>
  <c r="F14" i="4"/>
  <c r="F18" i="4"/>
  <c r="F21" i="4"/>
  <c r="F24" i="4"/>
  <c r="F28" i="4"/>
  <c r="F31" i="4"/>
  <c r="F35" i="4"/>
  <c r="F41" i="4"/>
  <c r="F45" i="4"/>
  <c r="F49" i="4"/>
  <c r="F55" i="4"/>
  <c r="F59" i="4"/>
  <c r="F65" i="4"/>
  <c r="I65" i="4" s="1"/>
  <c r="F69" i="4"/>
  <c r="F73" i="4"/>
  <c r="F77" i="4"/>
  <c r="F81" i="4"/>
  <c r="F87" i="4"/>
  <c r="F91" i="4"/>
  <c r="F95" i="4"/>
  <c r="F99" i="4"/>
  <c r="F105" i="4"/>
  <c r="F109" i="4"/>
  <c r="F117" i="4"/>
  <c r="F125" i="4"/>
  <c r="F129" i="4"/>
  <c r="F133" i="4"/>
  <c r="F204" i="4"/>
  <c r="F210" i="4"/>
  <c r="I210" i="4" s="1"/>
  <c r="F224" i="4"/>
  <c r="F234" i="4"/>
  <c r="F240" i="4"/>
  <c r="F255" i="4"/>
  <c r="F261" i="4"/>
  <c r="F263" i="4"/>
  <c r="F269" i="4"/>
  <c r="F273" i="4"/>
  <c r="I273" i="4" s="1"/>
  <c r="F275" i="4"/>
  <c r="F281" i="4"/>
  <c r="F283" i="4"/>
  <c r="F287" i="4"/>
  <c r="F297" i="4"/>
  <c r="F301" i="4"/>
  <c r="F305" i="4"/>
  <c r="F309" i="4"/>
  <c r="I309" i="4" s="1"/>
  <c r="F317" i="4"/>
  <c r="F321" i="4"/>
  <c r="F329" i="4"/>
  <c r="F331" i="4"/>
  <c r="F335" i="4"/>
  <c r="F343" i="4"/>
  <c r="F345" i="4"/>
  <c r="F351" i="4"/>
  <c r="F357" i="4"/>
  <c r="F359" i="4"/>
  <c r="F369" i="4"/>
  <c r="F371" i="4"/>
  <c r="F377" i="4"/>
  <c r="F381" i="4"/>
  <c r="F389" i="4"/>
  <c r="F397" i="4"/>
  <c r="I397" i="4" s="1"/>
  <c r="F413" i="4"/>
  <c r="I883" i="4"/>
  <c r="I879" i="4"/>
  <c r="I875" i="4"/>
  <c r="I871" i="4"/>
  <c r="I851" i="4"/>
  <c r="I839" i="4"/>
  <c r="I631" i="4"/>
  <c r="I619" i="4"/>
  <c r="I611" i="4"/>
  <c r="I599" i="4"/>
  <c r="I571" i="4"/>
  <c r="I551" i="4"/>
  <c r="I535" i="4"/>
  <c r="I511" i="4"/>
  <c r="I997" i="4"/>
  <c r="I993" i="4"/>
  <c r="H982" i="4"/>
  <c r="I981" i="4"/>
  <c r="H1001" i="4"/>
  <c r="I1001" i="4" s="1"/>
  <c r="I1000" i="4"/>
  <c r="I996" i="4"/>
  <c r="I992" i="4"/>
  <c r="H989" i="4"/>
  <c r="I989" i="4" s="1"/>
  <c r="I988" i="4"/>
  <c r="H985" i="4"/>
  <c r="I985" i="4" s="1"/>
  <c r="I984" i="4"/>
  <c r="H972" i="4"/>
  <c r="I971" i="4"/>
  <c r="H968" i="4"/>
  <c r="I970" i="4"/>
  <c r="H967" i="4"/>
  <c r="I967" i="4" s="1"/>
  <c r="I966" i="4"/>
  <c r="H963" i="4"/>
  <c r="I963" i="4" s="1"/>
  <c r="I961" i="4"/>
  <c r="I959" i="4"/>
  <c r="I950" i="4"/>
  <c r="H947" i="4"/>
  <c r="H943" i="4"/>
  <c r="I943" i="4" s="1"/>
  <c r="I942" i="4"/>
  <c r="H935" i="4"/>
  <c r="I935" i="4" s="1"/>
  <c r="I926" i="4"/>
  <c r="H923" i="4"/>
  <c r="I922" i="4"/>
  <c r="I962" i="4"/>
  <c r="I960" i="4"/>
  <c r="H958" i="4"/>
  <c r="I958" i="4" s="1"/>
  <c r="I957" i="4"/>
  <c r="H954" i="4"/>
  <c r="I954" i="4" s="1"/>
  <c r="I953" i="4"/>
  <c r="I949" i="4"/>
  <c r="H946" i="4"/>
  <c r="I946" i="4" s="1"/>
  <c r="H938" i="4"/>
  <c r="I938" i="4" s="1"/>
  <c r="I937" i="4"/>
  <c r="H934" i="4"/>
  <c r="I934" i="4" s="1"/>
  <c r="H930" i="4"/>
  <c r="I930" i="4" s="1"/>
  <c r="H921" i="4"/>
  <c r="H919" i="4"/>
  <c r="H917" i="4"/>
  <c r="H913" i="4"/>
  <c r="H911" i="4"/>
  <c r="I911" i="4" s="1"/>
  <c r="H909" i="4"/>
  <c r="I909" i="4" s="1"/>
  <c r="I908" i="4"/>
  <c r="H905" i="4"/>
  <c r="I904" i="4"/>
  <c r="I900" i="4"/>
  <c r="I892" i="4"/>
  <c r="H889" i="4"/>
  <c r="I888" i="4"/>
  <c r="H885" i="4"/>
  <c r="I884" i="4"/>
  <c r="I880" i="4"/>
  <c r="I876" i="4"/>
  <c r="I872" i="4"/>
  <c r="I868" i="4"/>
  <c r="H865" i="4"/>
  <c r="I864" i="4"/>
  <c r="I921" i="4"/>
  <c r="I919" i="4"/>
  <c r="I910" i="4"/>
  <c r="I905" i="4"/>
  <c r="H898" i="4"/>
  <c r="I897" i="4"/>
  <c r="H894" i="4"/>
  <c r="I893" i="4"/>
  <c r="H886" i="4"/>
  <c r="I886" i="4" s="1"/>
  <c r="I885" i="4"/>
  <c r="I881" i="4"/>
  <c r="H874" i="4"/>
  <c r="I873" i="4"/>
  <c r="I869" i="4"/>
  <c r="H863" i="4"/>
  <c r="H859" i="4"/>
  <c r="H857" i="4"/>
  <c r="H855" i="4"/>
  <c r="H853" i="4"/>
  <c r="I848" i="4"/>
  <c r="H845" i="4"/>
  <c r="I840" i="4"/>
  <c r="I836" i="4"/>
  <c r="I832" i="4"/>
  <c r="I828" i="4"/>
  <c r="I824" i="4"/>
  <c r="I820" i="4"/>
  <c r="I816" i="4"/>
  <c r="H813" i="4"/>
  <c r="I812" i="4"/>
  <c r="I808" i="4"/>
  <c r="I804" i="4"/>
  <c r="I800" i="4"/>
  <c r="H797" i="4"/>
  <c r="I796" i="4"/>
  <c r="H793" i="4"/>
  <c r="I793" i="4" s="1"/>
  <c r="I792" i="4"/>
  <c r="I853" i="4"/>
  <c r="H850" i="4"/>
  <c r="I850" i="4" s="1"/>
  <c r="I849" i="4"/>
  <c r="H846" i="4"/>
  <c r="I845" i="4"/>
  <c r="I837" i="4"/>
  <c r="I829" i="4"/>
  <c r="I825" i="4"/>
  <c r="H822" i="4"/>
  <c r="I821" i="4"/>
  <c r="H818" i="4"/>
  <c r="I818" i="4" s="1"/>
  <c r="I809" i="4"/>
  <c r="H806" i="4"/>
  <c r="I801" i="4"/>
  <c r="I797" i="4"/>
  <c r="H794" i="4"/>
  <c r="I794" i="4" s="1"/>
  <c r="H769" i="4"/>
  <c r="H765" i="4"/>
  <c r="I764" i="4"/>
  <c r="H761" i="4"/>
  <c r="I760" i="4"/>
  <c r="G758" i="4"/>
  <c r="I758" i="4" s="1"/>
  <c r="H757" i="4"/>
  <c r="I756" i="4"/>
  <c r="G750" i="4"/>
  <c r="I750" i="4" s="1"/>
  <c r="G746" i="4"/>
  <c r="I746" i="4" s="1"/>
  <c r="H745" i="4"/>
  <c r="I744" i="4"/>
  <c r="G742" i="4"/>
  <c r="H741" i="4"/>
  <c r="I740" i="4"/>
  <c r="H737" i="4"/>
  <c r="G734" i="4"/>
  <c r="H733" i="4"/>
  <c r="H729" i="4"/>
  <c r="I728" i="4"/>
  <c r="G726" i="4"/>
  <c r="I724" i="4"/>
  <c r="G722" i="4"/>
  <c r="G718" i="4"/>
  <c r="H717" i="4"/>
  <c r="I717" i="4" s="1"/>
  <c r="I716" i="4"/>
  <c r="G714" i="4"/>
  <c r="I714" i="4" s="1"/>
  <c r="H713" i="4"/>
  <c r="H705" i="4"/>
  <c r="I704" i="4"/>
  <c r="I700" i="4"/>
  <c r="H697" i="4"/>
  <c r="I696" i="4"/>
  <c r="G690" i="4"/>
  <c r="I690" i="4" s="1"/>
  <c r="G686" i="4"/>
  <c r="I686" i="4" s="1"/>
  <c r="H685" i="4"/>
  <c r="G682" i="4"/>
  <c r="G678" i="4"/>
  <c r="H677" i="4"/>
  <c r="H673" i="4"/>
  <c r="I672" i="4"/>
  <c r="I668" i="4"/>
  <c r="G649" i="4"/>
  <c r="G645" i="4"/>
  <c r="G641" i="4"/>
  <c r="G633" i="4"/>
  <c r="G769" i="4"/>
  <c r="H768" i="4"/>
  <c r="I768" i="4" s="1"/>
  <c r="I767" i="4"/>
  <c r="G765" i="4"/>
  <c r="I765" i="4" s="1"/>
  <c r="G761" i="4"/>
  <c r="I759" i="4"/>
  <c r="G757" i="4"/>
  <c r="I755" i="4"/>
  <c r="I751" i="4"/>
  <c r="H748" i="4"/>
  <c r="I748" i="4" s="1"/>
  <c r="I747" i="4"/>
  <c r="G745" i="4"/>
  <c r="I743" i="4"/>
  <c r="G741" i="4"/>
  <c r="I741" i="4" s="1"/>
  <c r="I739" i="4"/>
  <c r="G737" i="4"/>
  <c r="H736" i="4"/>
  <c r="I736" i="4" s="1"/>
  <c r="G733" i="4"/>
  <c r="I733" i="4" s="1"/>
  <c r="I731" i="4"/>
  <c r="G729" i="4"/>
  <c r="I723" i="4"/>
  <c r="H720" i="4"/>
  <c r="I719" i="4"/>
  <c r="G717" i="4"/>
  <c r="G713" i="4"/>
  <c r="I713" i="4" s="1"/>
  <c r="H712" i="4"/>
  <c r="I712" i="4" s="1"/>
  <c r="I711" i="4"/>
  <c r="H708" i="4"/>
  <c r="I708" i="4" s="1"/>
  <c r="G705" i="4"/>
  <c r="I699" i="4"/>
  <c r="G697" i="4"/>
  <c r="I695" i="4"/>
  <c r="H692" i="4"/>
  <c r="I692" i="4" s="1"/>
  <c r="I691" i="4"/>
  <c r="H688" i="4"/>
  <c r="I687" i="4"/>
  <c r="G685" i="4"/>
  <c r="H684" i="4"/>
  <c r="I684" i="4" s="1"/>
  <c r="I683" i="4"/>
  <c r="H680" i="4"/>
  <c r="I680" i="4" s="1"/>
  <c r="G677" i="4"/>
  <c r="I677" i="4" s="1"/>
  <c r="H676" i="4"/>
  <c r="I676" i="4" s="1"/>
  <c r="G673" i="4"/>
  <c r="G666" i="4"/>
  <c r="G662" i="4"/>
  <c r="G658" i="4"/>
  <c r="G650" i="4"/>
  <c r="G638" i="4"/>
  <c r="G634" i="4"/>
  <c r="I632" i="4"/>
  <c r="H629" i="4"/>
  <c r="G626" i="4"/>
  <c r="I626" i="4" s="1"/>
  <c r="I624" i="4"/>
  <c r="H621" i="4"/>
  <c r="H617" i="4"/>
  <c r="I612" i="4"/>
  <c r="G610" i="4"/>
  <c r="G606" i="4"/>
  <c r="I604" i="4"/>
  <c r="G598" i="4"/>
  <c r="H597" i="4"/>
  <c r="I597" i="4" s="1"/>
  <c r="I596" i="4"/>
  <c r="H589" i="4"/>
  <c r="I584" i="4"/>
  <c r="H581" i="4"/>
  <c r="G578" i="4"/>
  <c r="I576" i="4"/>
  <c r="H573" i="4"/>
  <c r="I572" i="4"/>
  <c r="G570" i="4"/>
  <c r="I570" i="4" s="1"/>
  <c r="I568" i="4"/>
  <c r="I564" i="4"/>
  <c r="H561" i="4"/>
  <c r="I561" i="4" s="1"/>
  <c r="I560" i="4"/>
  <c r="G558" i="4"/>
  <c r="H557" i="4"/>
  <c r="H549" i="4"/>
  <c r="I549" i="4" s="1"/>
  <c r="I548" i="4"/>
  <c r="H545" i="4"/>
  <c r="I545" i="4" s="1"/>
  <c r="I540" i="4"/>
  <c r="I536" i="4"/>
  <c r="G534" i="4"/>
  <c r="I532" i="4"/>
  <c r="G530" i="4"/>
  <c r="I528" i="4"/>
  <c r="H525" i="4"/>
  <c r="G522" i="4"/>
  <c r="H521" i="4"/>
  <c r="I520" i="4"/>
  <c r="G518" i="4"/>
  <c r="H517" i="4"/>
  <c r="I516" i="4"/>
  <c r="H513" i="4"/>
  <c r="I512" i="4"/>
  <c r="G498" i="4"/>
  <c r="G486" i="4"/>
  <c r="I667" i="4"/>
  <c r="G627" i="4"/>
  <c r="H626" i="4"/>
  <c r="I625" i="4"/>
  <c r="I621" i="4"/>
  <c r="I617" i="4"/>
  <c r="G615" i="4"/>
  <c r="H614" i="4"/>
  <c r="H610" i="4"/>
  <c r="I609" i="4"/>
  <c r="H606" i="4"/>
  <c r="I605" i="4"/>
  <c r="H598" i="4"/>
  <c r="I593" i="4"/>
  <c r="G587" i="4"/>
  <c r="I585" i="4"/>
  <c r="I581" i="4"/>
  <c r="H578" i="4"/>
  <c r="I577" i="4"/>
  <c r="I573" i="4"/>
  <c r="H570" i="4"/>
  <c r="I569" i="4"/>
  <c r="G567" i="4"/>
  <c r="I565" i="4"/>
  <c r="G559" i="4"/>
  <c r="I559" i="4" s="1"/>
  <c r="H558" i="4"/>
  <c r="I557" i="4"/>
  <c r="G555" i="4"/>
  <c r="I553" i="4"/>
  <c r="G547" i="4"/>
  <c r="I547" i="4" s="1"/>
  <c r="G539" i="4"/>
  <c r="H534" i="4"/>
  <c r="I533" i="4"/>
  <c r="H530" i="4"/>
  <c r="I529" i="4"/>
  <c r="G527" i="4"/>
  <c r="H526" i="4"/>
  <c r="I525" i="4"/>
  <c r="G523" i="4"/>
  <c r="I523" i="4" s="1"/>
  <c r="H522" i="4"/>
  <c r="G519" i="4"/>
  <c r="I519" i="4" s="1"/>
  <c r="H518" i="4"/>
  <c r="I513" i="4"/>
  <c r="I509" i="4"/>
  <c r="G497" i="4"/>
  <c r="G493" i="4"/>
  <c r="G485" i="4"/>
  <c r="G474" i="4"/>
  <c r="G472" i="4"/>
  <c r="I472" i="4" s="1"/>
  <c r="G471" i="4"/>
  <c r="G469" i="4"/>
  <c r="G467" i="4"/>
  <c r="G466" i="4"/>
  <c r="G464" i="4"/>
  <c r="H459" i="4"/>
  <c r="I458" i="4"/>
  <c r="G456" i="4"/>
  <c r="I456" i="4" s="1"/>
  <c r="H455" i="4"/>
  <c r="I454" i="4"/>
  <c r="H447" i="4"/>
  <c r="H443" i="4"/>
  <c r="G440" i="4"/>
  <c r="H439" i="4"/>
  <c r="G436" i="4"/>
  <c r="I436" i="4" s="1"/>
  <c r="H435" i="4"/>
  <c r="G432" i="4"/>
  <c r="G428" i="4"/>
  <c r="G424" i="4"/>
  <c r="H419" i="4"/>
  <c r="G416" i="4"/>
  <c r="I414" i="4"/>
  <c r="G412" i="4"/>
  <c r="H411" i="4"/>
  <c r="I410" i="4"/>
  <c r="G404" i="4"/>
  <c r="G400" i="4"/>
  <c r="I398" i="4"/>
  <c r="H395" i="4"/>
  <c r="G388" i="4"/>
  <c r="H383" i="4"/>
  <c r="I382" i="4"/>
  <c r="H379" i="4"/>
  <c r="G376" i="4"/>
  <c r="I376" i="4" s="1"/>
  <c r="H375" i="4"/>
  <c r="I374" i="4"/>
  <c r="H371" i="4"/>
  <c r="I370" i="4"/>
  <c r="H367" i="4"/>
  <c r="I366" i="4"/>
  <c r="H359" i="4"/>
  <c r="I358" i="4"/>
  <c r="G356" i="4"/>
  <c r="H351" i="4"/>
  <c r="G348" i="4"/>
  <c r="I346" i="4"/>
  <c r="G344" i="4"/>
  <c r="H343" i="4"/>
  <c r="G340" i="4"/>
  <c r="I340" i="4" s="1"/>
  <c r="H339" i="4"/>
  <c r="H335" i="4"/>
  <c r="G332" i="4"/>
  <c r="H331" i="4"/>
  <c r="I330" i="4"/>
  <c r="G328" i="4"/>
  <c r="I326" i="4"/>
  <c r="H323" i="4"/>
  <c r="H319" i="4"/>
  <c r="I318" i="4"/>
  <c r="H315" i="4"/>
  <c r="I314" i="4"/>
  <c r="H311" i="4"/>
  <c r="H307" i="4"/>
  <c r="G304" i="4"/>
  <c r="I304" i="4" s="1"/>
  <c r="G300" i="4"/>
  <c r="H299" i="4"/>
  <c r="H295" i="4"/>
  <c r="I294" i="4"/>
  <c r="H287" i="4"/>
  <c r="G284" i="4"/>
  <c r="H283" i="4"/>
  <c r="I282" i="4"/>
  <c r="H279" i="4"/>
  <c r="I278" i="4"/>
  <c r="G276" i="4"/>
  <c r="H275" i="4"/>
  <c r="I274" i="4"/>
  <c r="H271" i="4"/>
  <c r="G268" i="4"/>
  <c r="H267" i="4"/>
  <c r="I266" i="4"/>
  <c r="G264" i="4"/>
  <c r="H263" i="4"/>
  <c r="H259" i="4"/>
  <c r="G256" i="4"/>
  <c r="I254" i="4"/>
  <c r="G246" i="4"/>
  <c r="G234" i="4"/>
  <c r="G210" i="4"/>
  <c r="G206" i="4"/>
  <c r="G202" i="4"/>
  <c r="G198" i="4"/>
  <c r="H977" i="4"/>
  <c r="I977" i="4" s="1"/>
  <c r="H975" i="4"/>
  <c r="I975" i="4" s="1"/>
  <c r="H918" i="4"/>
  <c r="H916" i="4"/>
  <c r="H914" i="4"/>
  <c r="I914" i="4" s="1"/>
  <c r="H912" i="4"/>
  <c r="H862" i="4"/>
  <c r="H860" i="4"/>
  <c r="I860" i="4" s="1"/>
  <c r="H858" i="4"/>
  <c r="H856" i="4"/>
  <c r="I856" i="4" s="1"/>
  <c r="H854" i="4"/>
  <c r="H790" i="4"/>
  <c r="H788" i="4"/>
  <c r="I788" i="4" s="1"/>
  <c r="H786" i="4"/>
  <c r="I786" i="4" s="1"/>
  <c r="H784" i="4"/>
  <c r="I784" i="4" s="1"/>
  <c r="H782" i="4"/>
  <c r="H780" i="4"/>
  <c r="I780" i="4" s="1"/>
  <c r="H778" i="4"/>
  <c r="I778" i="4" s="1"/>
  <c r="H776" i="4"/>
  <c r="I776" i="4" s="1"/>
  <c r="H774" i="4"/>
  <c r="H772" i="4"/>
  <c r="I772" i="4" s="1"/>
  <c r="H665" i="4"/>
  <c r="H663" i="4"/>
  <c r="I663" i="4" s="1"/>
  <c r="H661" i="4"/>
  <c r="H659" i="4"/>
  <c r="I659" i="4" s="1"/>
  <c r="H657" i="4"/>
  <c r="I657" i="4" s="1"/>
  <c r="H655" i="4"/>
  <c r="I655" i="4" s="1"/>
  <c r="H653" i="4"/>
  <c r="I653" i="4" s="1"/>
  <c r="H651" i="4"/>
  <c r="H649" i="4"/>
  <c r="H647" i="4"/>
  <c r="I647" i="4" s="1"/>
  <c r="H645" i="4"/>
  <c r="H643" i="4"/>
  <c r="I643" i="4" s="1"/>
  <c r="H641" i="4"/>
  <c r="I641" i="4" s="1"/>
  <c r="H639" i="4"/>
  <c r="I639" i="4" s="1"/>
  <c r="H637" i="4"/>
  <c r="I637" i="4" s="1"/>
  <c r="H635" i="4"/>
  <c r="I635" i="4" s="1"/>
  <c r="H633" i="4"/>
  <c r="I633" i="4" s="1"/>
  <c r="H507" i="4"/>
  <c r="H505" i="4"/>
  <c r="H503" i="4"/>
  <c r="H501" i="4"/>
  <c r="I501" i="4" s="1"/>
  <c r="H499" i="4"/>
  <c r="H497" i="4"/>
  <c r="H495" i="4"/>
  <c r="H493" i="4"/>
  <c r="H491" i="4"/>
  <c r="H489" i="4"/>
  <c r="H487" i="4"/>
  <c r="H485" i="4"/>
  <c r="I485" i="4" s="1"/>
  <c r="H483" i="4"/>
  <c r="H481" i="4"/>
  <c r="H479" i="4"/>
  <c r="H477" i="4"/>
  <c r="H475" i="4"/>
  <c r="H250" i="4"/>
  <c r="H248" i="4"/>
  <c r="H246" i="4"/>
  <c r="I246" i="4" s="1"/>
  <c r="H244" i="4"/>
  <c r="H242" i="4"/>
  <c r="H240" i="4"/>
  <c r="I240" i="4" s="1"/>
  <c r="H238" i="4"/>
  <c r="H236" i="4"/>
  <c r="H234" i="4"/>
  <c r="H232" i="4"/>
  <c r="H230" i="4"/>
  <c r="H228" i="4"/>
  <c r="H226" i="4"/>
  <c r="H224" i="4"/>
  <c r="I224" i="4" s="1"/>
  <c r="H222" i="4"/>
  <c r="H220" i="4"/>
  <c r="H218" i="4"/>
  <c r="H216" i="4"/>
  <c r="H214" i="4"/>
  <c r="H212" i="4"/>
  <c r="H210" i="4"/>
  <c r="H208" i="4"/>
  <c r="H206" i="4"/>
  <c r="H204" i="4"/>
  <c r="H202" i="4"/>
  <c r="H200" i="4"/>
  <c r="H198" i="4"/>
  <c r="H508" i="4"/>
  <c r="H506" i="4"/>
  <c r="H504" i="4"/>
  <c r="H502" i="4"/>
  <c r="H500" i="4"/>
  <c r="H498" i="4"/>
  <c r="H496" i="4"/>
  <c r="H494" i="4"/>
  <c r="H492" i="4"/>
  <c r="H490" i="4"/>
  <c r="H488" i="4"/>
  <c r="H486" i="4"/>
  <c r="H484" i="4"/>
  <c r="H482" i="4"/>
  <c r="H480" i="4"/>
  <c r="H478" i="4"/>
  <c r="H476" i="4"/>
  <c r="H474" i="4"/>
  <c r="H472" i="4"/>
  <c r="H470" i="4"/>
  <c r="H468" i="4"/>
  <c r="I468" i="4" s="1"/>
  <c r="H466" i="4"/>
  <c r="H464" i="4"/>
  <c r="F463" i="4"/>
  <c r="I463" i="4" s="1"/>
  <c r="G461" i="4"/>
  <c r="H460" i="4"/>
  <c r="G457" i="4"/>
  <c r="H456" i="4"/>
  <c r="G453" i="4"/>
  <c r="H452" i="4"/>
  <c r="F451" i="4"/>
  <c r="I451" i="4" s="1"/>
  <c r="G449" i="4"/>
  <c r="I449" i="4" s="1"/>
  <c r="H448" i="4"/>
  <c r="G445" i="4"/>
  <c r="H444" i="4"/>
  <c r="G441" i="4"/>
  <c r="H440" i="4"/>
  <c r="G437" i="4"/>
  <c r="H436" i="4"/>
  <c r="G433" i="4"/>
  <c r="H432" i="4"/>
  <c r="F431" i="4"/>
  <c r="G429" i="4"/>
  <c r="H428" i="4"/>
  <c r="F427" i="4"/>
  <c r="I427" i="4" s="1"/>
  <c r="G425" i="4"/>
  <c r="H424" i="4"/>
  <c r="F423" i="4"/>
  <c r="I423" i="4" s="1"/>
  <c r="G421" i="4"/>
  <c r="H420" i="4"/>
  <c r="G417" i="4"/>
  <c r="H416" i="4"/>
  <c r="F415" i="4"/>
  <c r="G413" i="4"/>
  <c r="H412" i="4"/>
  <c r="G409" i="4"/>
  <c r="I409" i="4" s="1"/>
  <c r="H408" i="4"/>
  <c r="F407" i="4"/>
  <c r="I407" i="4" s="1"/>
  <c r="G405" i="4"/>
  <c r="H404" i="4"/>
  <c r="F403" i="4"/>
  <c r="I403" i="4" s="1"/>
  <c r="G401" i="4"/>
  <c r="H400" i="4"/>
  <c r="F399" i="4"/>
  <c r="I399" i="4" s="1"/>
  <c r="G397" i="4"/>
  <c r="H396" i="4"/>
  <c r="I396" i="4" s="1"/>
  <c r="G393" i="4"/>
  <c r="H392" i="4"/>
  <c r="F391" i="4"/>
  <c r="I391" i="4" s="1"/>
  <c r="G389" i="4"/>
  <c r="H388" i="4"/>
  <c r="F387" i="4"/>
  <c r="I387" i="4" s="1"/>
  <c r="G385" i="4"/>
  <c r="H384" i="4"/>
  <c r="F383" i="4"/>
  <c r="I383" i="4" s="1"/>
  <c r="G381" i="4"/>
  <c r="H380" i="4"/>
  <c r="G377" i="4"/>
  <c r="H376" i="4"/>
  <c r="F375" i="4"/>
  <c r="I375" i="4" s="1"/>
  <c r="G373" i="4"/>
  <c r="H372" i="4"/>
  <c r="G369" i="4"/>
  <c r="H368" i="4"/>
  <c r="G365" i="4"/>
  <c r="H364" i="4"/>
  <c r="F363" i="4"/>
  <c r="I363" i="4" s="1"/>
  <c r="G361" i="4"/>
  <c r="H360" i="4"/>
  <c r="G357" i="4"/>
  <c r="H356" i="4"/>
  <c r="F355" i="4"/>
  <c r="G353" i="4"/>
  <c r="H352" i="4"/>
  <c r="G349" i="4"/>
  <c r="H348" i="4"/>
  <c r="I348" i="4" s="1"/>
  <c r="F347" i="4"/>
  <c r="I347" i="4" s="1"/>
  <c r="G345" i="4"/>
  <c r="I345" i="4" s="1"/>
  <c r="H344" i="4"/>
  <c r="G341" i="4"/>
  <c r="H340" i="4"/>
  <c r="F339" i="4"/>
  <c r="G337" i="4"/>
  <c r="H336" i="4"/>
  <c r="I336" i="4" s="1"/>
  <c r="G333" i="4"/>
  <c r="H332" i="4"/>
  <c r="G329" i="4"/>
  <c r="H328" i="4"/>
  <c r="F327" i="4"/>
  <c r="I327" i="4" s="1"/>
  <c r="G325" i="4"/>
  <c r="H324" i="4"/>
  <c r="I323" i="4"/>
  <c r="G321" i="4"/>
  <c r="H320" i="4"/>
  <c r="I320" i="4" s="1"/>
  <c r="F319" i="4"/>
  <c r="G317" i="4"/>
  <c r="H316" i="4"/>
  <c r="G313" i="4"/>
  <c r="H312" i="4"/>
  <c r="I311" i="4"/>
  <c r="G309" i="4"/>
  <c r="H308" i="4"/>
  <c r="I308" i="4" s="1"/>
  <c r="G305" i="4"/>
  <c r="H304" i="4"/>
  <c r="F303" i="4"/>
  <c r="I303" i="4" s="1"/>
  <c r="G301" i="4"/>
  <c r="H300" i="4"/>
  <c r="G297" i="4"/>
  <c r="I297" i="4" s="1"/>
  <c r="H296" i="4"/>
  <c r="G293" i="4"/>
  <c r="H292" i="4"/>
  <c r="F291" i="4"/>
  <c r="G289" i="4"/>
  <c r="H288" i="4"/>
  <c r="G285" i="4"/>
  <c r="H284" i="4"/>
  <c r="I284" i="4" s="1"/>
  <c r="G281" i="4"/>
  <c r="H280" i="4"/>
  <c r="I280" i="4" s="1"/>
  <c r="G277" i="4"/>
  <c r="H276" i="4"/>
  <c r="G273" i="4"/>
  <c r="H272" i="4"/>
  <c r="F271" i="4"/>
  <c r="I271" i="4" s="1"/>
  <c r="G269" i="4"/>
  <c r="I269" i="4" s="1"/>
  <c r="H268" i="4"/>
  <c r="G265" i="4"/>
  <c r="I265" i="4" s="1"/>
  <c r="H264" i="4"/>
  <c r="G261" i="4"/>
  <c r="H260" i="4"/>
  <c r="G257" i="4"/>
  <c r="H256" i="4"/>
  <c r="G253" i="4"/>
  <c r="I253" i="4" s="1"/>
  <c r="H252" i="4"/>
  <c r="G249" i="4"/>
  <c r="G245" i="4"/>
  <c r="G241" i="4"/>
  <c r="G237" i="4"/>
  <c r="G233" i="4"/>
  <c r="G229" i="4"/>
  <c r="G225" i="4"/>
  <c r="G221" i="4"/>
  <c r="G217" i="4"/>
  <c r="G213" i="4"/>
  <c r="G209" i="4"/>
  <c r="G205" i="4"/>
  <c r="G201" i="4"/>
  <c r="H2" i="4"/>
  <c r="F250" i="4"/>
  <c r="I250" i="4" s="1"/>
  <c r="F248" i="4"/>
  <c r="I248" i="4" s="1"/>
  <c r="F244" i="4"/>
  <c r="I244" i="4" s="1"/>
  <c r="F242" i="4"/>
  <c r="F238" i="4"/>
  <c r="I238" i="4" s="1"/>
  <c r="I236" i="4"/>
  <c r="F232" i="4"/>
  <c r="I232" i="4" s="1"/>
  <c r="F230" i="4"/>
  <c r="F226" i="4"/>
  <c r="F222" i="4"/>
  <c r="I222" i="4" s="1"/>
  <c r="F220" i="4"/>
  <c r="I220" i="4" s="1"/>
  <c r="F218" i="4"/>
  <c r="I216" i="4"/>
  <c r="F214" i="4"/>
  <c r="F212" i="4"/>
  <c r="I212" i="4" s="1"/>
  <c r="F208" i="4"/>
  <c r="I208" i="4" s="1"/>
  <c r="I206" i="4"/>
  <c r="I204" i="4"/>
  <c r="I202" i="4"/>
  <c r="F200" i="4"/>
  <c r="I200" i="4" s="1"/>
  <c r="F198" i="4"/>
  <c r="I198" i="4" s="1"/>
  <c r="H196" i="4"/>
  <c r="H194" i="4"/>
  <c r="H192" i="4"/>
  <c r="H190" i="4"/>
  <c r="H188" i="4"/>
  <c r="H186" i="4"/>
  <c r="H184" i="4"/>
  <c r="H182" i="4"/>
  <c r="H180" i="4"/>
  <c r="H178" i="4"/>
  <c r="H176" i="4"/>
  <c r="H174" i="4"/>
  <c r="H172" i="4"/>
  <c r="H170" i="4"/>
  <c r="H168" i="4"/>
  <c r="H166" i="4"/>
  <c r="H164" i="4"/>
  <c r="H162" i="4"/>
  <c r="H160" i="4"/>
  <c r="H158" i="4"/>
  <c r="H156" i="4"/>
  <c r="H154" i="4"/>
  <c r="H152" i="4"/>
  <c r="H150" i="4"/>
  <c r="H148" i="4"/>
  <c r="H146" i="4"/>
  <c r="H144" i="4"/>
  <c r="H142" i="4"/>
  <c r="H140" i="4"/>
  <c r="H138" i="4"/>
  <c r="H136" i="4"/>
  <c r="F135" i="4"/>
  <c r="G133" i="4"/>
  <c r="H132" i="4"/>
  <c r="G129" i="4"/>
  <c r="H128" i="4"/>
  <c r="G125" i="4"/>
  <c r="H124" i="4"/>
  <c r="F123" i="4"/>
  <c r="G121" i="4"/>
  <c r="I121" i="4" s="1"/>
  <c r="H120" i="4"/>
  <c r="F119" i="4"/>
  <c r="G117" i="4"/>
  <c r="H116" i="4"/>
  <c r="F115" i="4"/>
  <c r="G113" i="4"/>
  <c r="H112" i="4"/>
  <c r="F111" i="4"/>
  <c r="G109" i="4"/>
  <c r="H108" i="4"/>
  <c r="G105" i="4"/>
  <c r="H104" i="4"/>
  <c r="F103" i="4"/>
  <c r="G101" i="4"/>
  <c r="H100" i="4"/>
  <c r="G97" i="4"/>
  <c r="H96" i="4"/>
  <c r="G93" i="4"/>
  <c r="H92" i="4"/>
  <c r="G89" i="4"/>
  <c r="H88" i="4"/>
  <c r="G85" i="4"/>
  <c r="H84" i="4"/>
  <c r="F83" i="4"/>
  <c r="G81" i="4"/>
  <c r="H80" i="4"/>
  <c r="G77" i="4"/>
  <c r="H76" i="4"/>
  <c r="G73" i="4"/>
  <c r="H72" i="4"/>
  <c r="G69" i="4"/>
  <c r="H68" i="4"/>
  <c r="G65" i="4"/>
  <c r="H64" i="4"/>
  <c r="F63" i="4"/>
  <c r="G61" i="4"/>
  <c r="H60" i="4"/>
  <c r="G57" i="4"/>
  <c r="H56" i="4"/>
  <c r="G53" i="4"/>
  <c r="H52" i="4"/>
  <c r="F51" i="4"/>
  <c r="G49" i="4"/>
  <c r="H48" i="4"/>
  <c r="G45" i="4"/>
  <c r="H44" i="4"/>
  <c r="G41" i="4"/>
  <c r="H40" i="4"/>
  <c r="F39" i="4"/>
  <c r="G37" i="4"/>
  <c r="H36" i="4"/>
  <c r="G33" i="4"/>
  <c r="H32" i="4"/>
  <c r="G29" i="4"/>
  <c r="G28" i="4"/>
  <c r="G27" i="4"/>
  <c r="I27" i="4" s="1"/>
  <c r="H26" i="4"/>
  <c r="G24" i="4"/>
  <c r="G23" i="4"/>
  <c r="H22" i="4"/>
  <c r="G19" i="4"/>
  <c r="G18" i="4"/>
  <c r="G17" i="4"/>
  <c r="H16" i="4"/>
  <c r="G14" i="4"/>
  <c r="G13" i="4"/>
  <c r="H12" i="4"/>
  <c r="G9" i="4"/>
  <c r="G8" i="4"/>
  <c r="G7" i="4"/>
  <c r="H6" i="4"/>
  <c r="F3" i="4"/>
  <c r="F196" i="4"/>
  <c r="F195" i="4"/>
  <c r="F194" i="4"/>
  <c r="F192" i="4"/>
  <c r="F191" i="4"/>
  <c r="F190" i="4"/>
  <c r="F187" i="4"/>
  <c r="F184" i="4"/>
  <c r="F183" i="4"/>
  <c r="F182" i="4"/>
  <c r="F181" i="4"/>
  <c r="F180" i="4"/>
  <c r="F179" i="4"/>
  <c r="F177" i="4"/>
  <c r="F175" i="4"/>
  <c r="F173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G134" i="4"/>
  <c r="H133" i="4"/>
  <c r="F132" i="4"/>
  <c r="G130" i="4"/>
  <c r="H129" i="4"/>
  <c r="F128" i="4"/>
  <c r="G126" i="4"/>
  <c r="H125" i="4"/>
  <c r="F124" i="4"/>
  <c r="G122" i="4"/>
  <c r="H121" i="4"/>
  <c r="F120" i="4"/>
  <c r="G118" i="4"/>
  <c r="H117" i="4"/>
  <c r="I117" i="4" s="1"/>
  <c r="F116" i="4"/>
  <c r="G114" i="4"/>
  <c r="I114" i="4" s="1"/>
  <c r="H113" i="4"/>
  <c r="F112" i="4"/>
  <c r="G110" i="4"/>
  <c r="H109" i="4"/>
  <c r="F108" i="4"/>
  <c r="G106" i="4"/>
  <c r="I106" i="4" s="1"/>
  <c r="H105" i="4"/>
  <c r="F104" i="4"/>
  <c r="G102" i="4"/>
  <c r="H101" i="4"/>
  <c r="F100" i="4"/>
  <c r="G98" i="4"/>
  <c r="H97" i="4"/>
  <c r="F96" i="4"/>
  <c r="G94" i="4"/>
  <c r="H93" i="4"/>
  <c r="F92" i="4"/>
  <c r="G90" i="4"/>
  <c r="H89" i="4"/>
  <c r="F88" i="4"/>
  <c r="G86" i="4"/>
  <c r="H85" i="4"/>
  <c r="F84" i="4"/>
  <c r="G82" i="4"/>
  <c r="I82" i="4" s="1"/>
  <c r="H81" i="4"/>
  <c r="F80" i="4"/>
  <c r="G78" i="4"/>
  <c r="H77" i="4"/>
  <c r="F76" i="4"/>
  <c r="G74" i="4"/>
  <c r="I74" i="4" s="1"/>
  <c r="H73" i="4"/>
  <c r="F72" i="4"/>
  <c r="G70" i="4"/>
  <c r="H69" i="4"/>
  <c r="F68" i="4"/>
  <c r="G66" i="4"/>
  <c r="H65" i="4"/>
  <c r="F64" i="4"/>
  <c r="G62" i="4"/>
  <c r="H61" i="4"/>
  <c r="F60" i="4"/>
  <c r="G58" i="4"/>
  <c r="H57" i="4"/>
  <c r="F56" i="4"/>
  <c r="G54" i="4"/>
  <c r="H53" i="4"/>
  <c r="F52" i="4"/>
  <c r="G50" i="4"/>
  <c r="H49" i="4"/>
  <c r="F48" i="4"/>
  <c r="G46" i="4"/>
  <c r="H45" i="4"/>
  <c r="F44" i="4"/>
  <c r="G42" i="4"/>
  <c r="I42" i="4" s="1"/>
  <c r="H41" i="4"/>
  <c r="F40" i="4"/>
  <c r="G38" i="4"/>
  <c r="H37" i="4"/>
  <c r="F36" i="4"/>
  <c r="G34" i="4"/>
  <c r="H33" i="4"/>
  <c r="F32" i="4"/>
  <c r="G30" i="4"/>
  <c r="H29" i="4"/>
  <c r="I29" i="4" s="1"/>
  <c r="H27" i="4"/>
  <c r="F26" i="4"/>
  <c r="F25" i="4"/>
  <c r="H23" i="4"/>
  <c r="F22" i="4"/>
  <c r="G20" i="4"/>
  <c r="I20" i="4" s="1"/>
  <c r="H19" i="4"/>
  <c r="H17" i="4"/>
  <c r="F16" i="4"/>
  <c r="F15" i="4"/>
  <c r="H13" i="4"/>
  <c r="F12" i="4"/>
  <c r="G10" i="4"/>
  <c r="H9" i="4"/>
  <c r="I9" i="4" s="1"/>
  <c r="H7" i="4"/>
  <c r="F6" i="4"/>
  <c r="H3" i="4"/>
  <c r="I982" i="4"/>
  <c r="I972" i="4"/>
  <c r="I968" i="4"/>
  <c r="I947" i="4"/>
  <c r="I918" i="4"/>
  <c r="I916" i="4"/>
  <c r="I912" i="4"/>
  <c r="I898" i="4"/>
  <c r="I894" i="4"/>
  <c r="I874" i="4"/>
  <c r="I903" i="4"/>
  <c r="I899" i="4"/>
  <c r="I895" i="4"/>
  <c r="I891" i="4"/>
  <c r="I867" i="4"/>
  <c r="I858" i="4"/>
  <c r="I854" i="4"/>
  <c r="I846" i="4"/>
  <c r="I806" i="4"/>
  <c r="I847" i="4"/>
  <c r="I843" i="4"/>
  <c r="I835" i="4"/>
  <c r="I831" i="4"/>
  <c r="I827" i="4"/>
  <c r="I823" i="4"/>
  <c r="I819" i="4"/>
  <c r="I815" i="4"/>
  <c r="I811" i="4"/>
  <c r="I807" i="4"/>
  <c r="I803" i="4"/>
  <c r="I742" i="4"/>
  <c r="I734" i="4"/>
  <c r="I726" i="4"/>
  <c r="I718" i="4"/>
  <c r="I682" i="4"/>
  <c r="I769" i="4"/>
  <c r="I761" i="4"/>
  <c r="I745" i="4"/>
  <c r="I737" i="4"/>
  <c r="I729" i="4"/>
  <c r="I697" i="4"/>
  <c r="I614" i="4"/>
  <c r="I598" i="4"/>
  <c r="I530" i="4"/>
  <c r="I627" i="4"/>
  <c r="I615" i="4"/>
  <c r="I607" i="4"/>
  <c r="I603" i="4"/>
  <c r="I587" i="4"/>
  <c r="I583" i="4"/>
  <c r="I579" i="4"/>
  <c r="I563" i="4"/>
  <c r="I555" i="4"/>
  <c r="I543" i="4"/>
  <c r="I539" i="4"/>
  <c r="I531" i="4"/>
  <c r="I527" i="4"/>
  <c r="I474" i="4"/>
  <c r="I464" i="4"/>
  <c r="I460" i="4"/>
  <c r="I448" i="4"/>
  <c r="I444" i="4"/>
  <c r="I432" i="4"/>
  <c r="I428" i="4"/>
  <c r="I424" i="4"/>
  <c r="I416" i="4"/>
  <c r="I412" i="4"/>
  <c r="I408" i="4"/>
  <c r="I404" i="4"/>
  <c r="I400" i="4"/>
  <c r="I392" i="4"/>
  <c r="I388" i="4"/>
  <c r="I380" i="4"/>
  <c r="I368" i="4"/>
  <c r="I364" i="4"/>
  <c r="I360" i="4"/>
  <c r="I356" i="4"/>
  <c r="I352" i="4"/>
  <c r="I332" i="4"/>
  <c r="I328" i="4"/>
  <c r="I316" i="4"/>
  <c r="I312" i="4"/>
  <c r="I300" i="4"/>
  <c r="I292" i="4"/>
  <c r="I288" i="4"/>
  <c r="I276" i="4"/>
  <c r="I272" i="4"/>
  <c r="I268" i="4"/>
  <c r="I264" i="4"/>
  <c r="I260" i="4"/>
  <c r="I256" i="4"/>
  <c r="I252" i="4"/>
  <c r="G2" i="4"/>
  <c r="I507" i="4"/>
  <c r="I505" i="4"/>
  <c r="I503" i="4"/>
  <c r="I499" i="4"/>
  <c r="I497" i="4"/>
  <c r="I495" i="4"/>
  <c r="I493" i="4"/>
  <c r="I491" i="4"/>
  <c r="I489" i="4"/>
  <c r="I487" i="4"/>
  <c r="I483" i="4"/>
  <c r="I479" i="4"/>
  <c r="I475" i="4"/>
  <c r="H471" i="4"/>
  <c r="H469" i="4"/>
  <c r="H467" i="4"/>
  <c r="H462" i="4"/>
  <c r="I462" i="4" s="1"/>
  <c r="G459" i="4"/>
  <c r="I457" i="4"/>
  <c r="G455" i="4"/>
  <c r="I455" i="4" s="1"/>
  <c r="I453" i="4"/>
  <c r="H450" i="4"/>
  <c r="I450" i="4" s="1"/>
  <c r="G447" i="4"/>
  <c r="I447" i="4" s="1"/>
  <c r="I445" i="4"/>
  <c r="G443" i="4"/>
  <c r="I441" i="4"/>
  <c r="G439" i="4"/>
  <c r="G435" i="4"/>
  <c r="I435" i="4" s="1"/>
  <c r="H434" i="4"/>
  <c r="I434" i="4" s="1"/>
  <c r="H430" i="4"/>
  <c r="I429" i="4"/>
  <c r="I425" i="4"/>
  <c r="H422" i="4"/>
  <c r="I422" i="4" s="1"/>
  <c r="I421" i="4"/>
  <c r="G419" i="4"/>
  <c r="I419" i="4" s="1"/>
  <c r="H418" i="4"/>
  <c r="I418" i="4" s="1"/>
  <c r="G411" i="4"/>
  <c r="I411" i="4" s="1"/>
  <c r="H406" i="4"/>
  <c r="I406" i="4" s="1"/>
  <c r="I405" i="4"/>
  <c r="H402" i="4"/>
  <c r="I402" i="4" s="1"/>
  <c r="I401" i="4"/>
  <c r="G395" i="4"/>
  <c r="I395" i="4" s="1"/>
  <c r="I393" i="4"/>
  <c r="I389" i="4"/>
  <c r="I385" i="4"/>
  <c r="G379" i="4"/>
  <c r="I379" i="4" s="1"/>
  <c r="H378" i="4"/>
  <c r="I377" i="4"/>
  <c r="I373" i="4"/>
  <c r="G371" i="4"/>
  <c r="I369" i="4"/>
  <c r="G367" i="4"/>
  <c r="I367" i="4" s="1"/>
  <c r="I365" i="4"/>
  <c r="H362" i="4"/>
  <c r="I362" i="4" s="1"/>
  <c r="G359" i="4"/>
  <c r="I357" i="4"/>
  <c r="I353" i="4"/>
  <c r="G351" i="4"/>
  <c r="H350" i="4"/>
  <c r="I350" i="4" s="1"/>
  <c r="I349" i="4"/>
  <c r="H342" i="4"/>
  <c r="I341" i="4"/>
  <c r="G339" i="4"/>
  <c r="I337" i="4"/>
  <c r="G335" i="4"/>
  <c r="I335" i="4" s="1"/>
  <c r="H334" i="4"/>
  <c r="I334" i="4" s="1"/>
  <c r="I333" i="4"/>
  <c r="G331" i="4"/>
  <c r="I329" i="4"/>
  <c r="I325" i="4"/>
  <c r="H322" i="4"/>
  <c r="I322" i="4" s="1"/>
  <c r="G319" i="4"/>
  <c r="I317" i="4"/>
  <c r="G315" i="4"/>
  <c r="I315" i="4" s="1"/>
  <c r="I313" i="4"/>
  <c r="H310" i="4"/>
  <c r="I310" i="4" s="1"/>
  <c r="G307" i="4"/>
  <c r="I307" i="4" s="1"/>
  <c r="H306" i="4"/>
  <c r="I306" i="4" s="1"/>
  <c r="H302" i="4"/>
  <c r="G299" i="4"/>
  <c r="I299" i="4" s="1"/>
  <c r="H298" i="4"/>
  <c r="I298" i="4" s="1"/>
  <c r="G295" i="4"/>
  <c r="I295" i="4" s="1"/>
  <c r="H290" i="4"/>
  <c r="I290" i="4" s="1"/>
  <c r="I289" i="4"/>
  <c r="G287" i="4"/>
  <c r="H286" i="4"/>
  <c r="I285" i="4"/>
  <c r="G283" i="4"/>
  <c r="I283" i="4" s="1"/>
  <c r="G279" i="4"/>
  <c r="I279" i="4" s="1"/>
  <c r="I277" i="4"/>
  <c r="G275" i="4"/>
  <c r="I275" i="4" s="1"/>
  <c r="H270" i="4"/>
  <c r="G267" i="4"/>
  <c r="G263" i="4"/>
  <c r="I261" i="4"/>
  <c r="G259" i="4"/>
  <c r="I259" i="4" s="1"/>
  <c r="I257" i="4"/>
  <c r="G255" i="4"/>
  <c r="G243" i="4"/>
  <c r="G239" i="4"/>
  <c r="G231" i="4"/>
  <c r="G227" i="4"/>
  <c r="G223" i="4"/>
  <c r="G211" i="4"/>
  <c r="G207" i="4"/>
  <c r="G4" i="4"/>
  <c r="H251" i="4"/>
  <c r="H249" i="4"/>
  <c r="H247" i="4"/>
  <c r="H245" i="4"/>
  <c r="H243" i="4"/>
  <c r="H241" i="4"/>
  <c r="H239" i="4"/>
  <c r="H237" i="4"/>
  <c r="H235" i="4"/>
  <c r="H233" i="4"/>
  <c r="H231" i="4"/>
  <c r="H229" i="4"/>
  <c r="H227" i="4"/>
  <c r="H225" i="4"/>
  <c r="H223" i="4"/>
  <c r="H221" i="4"/>
  <c r="H219" i="4"/>
  <c r="H217" i="4"/>
  <c r="H215" i="4"/>
  <c r="H213" i="4"/>
  <c r="H211" i="4"/>
  <c r="H209" i="4"/>
  <c r="H207" i="4"/>
  <c r="H205" i="4"/>
  <c r="H203" i="4"/>
  <c r="H201" i="4"/>
  <c r="H199" i="4"/>
  <c r="H197" i="4"/>
  <c r="H195" i="4"/>
  <c r="H193" i="4"/>
  <c r="H191" i="4"/>
  <c r="H189" i="4"/>
  <c r="H187" i="4"/>
  <c r="H185" i="4"/>
  <c r="H183" i="4"/>
  <c r="H181" i="4"/>
  <c r="H179" i="4"/>
  <c r="H177" i="4"/>
  <c r="H175" i="4"/>
  <c r="H173" i="4"/>
  <c r="H171" i="4"/>
  <c r="H169" i="4"/>
  <c r="H167" i="4"/>
  <c r="H165" i="4"/>
  <c r="H163" i="4"/>
  <c r="H161" i="4"/>
  <c r="H159" i="4"/>
  <c r="H157" i="4"/>
  <c r="H155" i="4"/>
  <c r="H153" i="4"/>
  <c r="H151" i="4"/>
  <c r="H149" i="4"/>
  <c r="H147" i="4"/>
  <c r="H145" i="4"/>
  <c r="H143" i="4"/>
  <c r="H141" i="4"/>
  <c r="H139" i="4"/>
  <c r="H137" i="4"/>
  <c r="G135" i="4"/>
  <c r="H134" i="4"/>
  <c r="G131" i="4"/>
  <c r="H130" i="4"/>
  <c r="I130" i="4" s="1"/>
  <c r="I129" i="4"/>
  <c r="G127" i="4"/>
  <c r="I127" i="4" s="1"/>
  <c r="H126" i="4"/>
  <c r="G123" i="4"/>
  <c r="H122" i="4"/>
  <c r="G119" i="4"/>
  <c r="H118" i="4"/>
  <c r="I118" i="4" s="1"/>
  <c r="G115" i="4"/>
  <c r="H114" i="4"/>
  <c r="G111" i="4"/>
  <c r="H110" i="4"/>
  <c r="G107" i="4"/>
  <c r="H106" i="4"/>
  <c r="I105" i="4"/>
  <c r="G103" i="4"/>
  <c r="H102" i="4"/>
  <c r="I102" i="4" s="1"/>
  <c r="I101" i="4"/>
  <c r="G99" i="4"/>
  <c r="H98" i="4"/>
  <c r="G95" i="4"/>
  <c r="I95" i="4" s="1"/>
  <c r="H94" i="4"/>
  <c r="I93" i="4"/>
  <c r="G91" i="4"/>
  <c r="I91" i="4" s="1"/>
  <c r="H90" i="4"/>
  <c r="I89" i="4"/>
  <c r="G87" i="4"/>
  <c r="H86" i="4"/>
  <c r="I85" i="4"/>
  <c r="G83" i="4"/>
  <c r="H82" i="4"/>
  <c r="I81" i="4"/>
  <c r="G79" i="4"/>
  <c r="H78" i="4"/>
  <c r="I77" i="4"/>
  <c r="G75" i="4"/>
  <c r="H74" i="4"/>
  <c r="I73" i="4"/>
  <c r="G71" i="4"/>
  <c r="I71" i="4" s="1"/>
  <c r="H70" i="4"/>
  <c r="I69" i="4"/>
  <c r="G67" i="4"/>
  <c r="H66" i="4"/>
  <c r="G63" i="4"/>
  <c r="H62" i="4"/>
  <c r="I61" i="4"/>
  <c r="G59" i="4"/>
  <c r="H58" i="4"/>
  <c r="I57" i="4"/>
  <c r="G55" i="4"/>
  <c r="H54" i="4"/>
  <c r="I53" i="4"/>
  <c r="G51" i="4"/>
  <c r="H50" i="4"/>
  <c r="I49" i="4"/>
  <c r="G47" i="4"/>
  <c r="H46" i="4"/>
  <c r="G43" i="4"/>
  <c r="H42" i="4"/>
  <c r="I41" i="4"/>
  <c r="G39" i="4"/>
  <c r="H38" i="4"/>
  <c r="I37" i="4"/>
  <c r="G35" i="4"/>
  <c r="H34" i="4"/>
  <c r="I33" i="4"/>
  <c r="G31" i="4"/>
  <c r="H30" i="4"/>
  <c r="H25" i="4"/>
  <c r="I23" i="4"/>
  <c r="G21" i="4"/>
  <c r="H20" i="4"/>
  <c r="I19" i="4"/>
  <c r="I17" i="4"/>
  <c r="H15" i="4"/>
  <c r="I13" i="4"/>
  <c r="G11" i="4"/>
  <c r="H10" i="4"/>
  <c r="I10" i="4" s="1"/>
  <c r="H5" i="4"/>
  <c r="G3" i="4"/>
  <c r="G197" i="4"/>
  <c r="I197" i="4" s="1"/>
  <c r="G196" i="4"/>
  <c r="G195" i="4"/>
  <c r="G194" i="4"/>
  <c r="G193" i="4"/>
  <c r="G192" i="4"/>
  <c r="G191" i="4"/>
  <c r="G190" i="4"/>
  <c r="G189" i="4"/>
  <c r="G188" i="4"/>
  <c r="I188" i="4" s="1"/>
  <c r="G187" i="4"/>
  <c r="G186" i="4"/>
  <c r="I186" i="4" s="1"/>
  <c r="G185" i="4"/>
  <c r="G184" i="4"/>
  <c r="G183" i="4"/>
  <c r="G182" i="4"/>
  <c r="G181" i="4"/>
  <c r="G180" i="4"/>
  <c r="G179" i="4"/>
  <c r="G178" i="4"/>
  <c r="I178" i="4" s="1"/>
  <c r="G177" i="4"/>
  <c r="G176" i="4"/>
  <c r="I176" i="4" s="1"/>
  <c r="G175" i="4"/>
  <c r="G174" i="4"/>
  <c r="I174" i="4" s="1"/>
  <c r="G173" i="4"/>
  <c r="G172" i="4"/>
  <c r="I172" i="4" s="1"/>
  <c r="G171" i="4"/>
  <c r="G170" i="4"/>
  <c r="I170" i="4" s="1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H135" i="4"/>
  <c r="I134" i="4"/>
  <c r="G132" i="4"/>
  <c r="H131" i="4"/>
  <c r="G128" i="4"/>
  <c r="H127" i="4"/>
  <c r="G124" i="4"/>
  <c r="H123" i="4"/>
  <c r="I122" i="4"/>
  <c r="G120" i="4"/>
  <c r="H119" i="4"/>
  <c r="G116" i="4"/>
  <c r="H115" i="4"/>
  <c r="G112" i="4"/>
  <c r="H111" i="4"/>
  <c r="G108" i="4"/>
  <c r="H107" i="4"/>
  <c r="G104" i="4"/>
  <c r="H103" i="4"/>
  <c r="G100" i="4"/>
  <c r="H99" i="4"/>
  <c r="I98" i="4"/>
  <c r="G96" i="4"/>
  <c r="H95" i="4"/>
  <c r="G92" i="4"/>
  <c r="H91" i="4"/>
  <c r="G88" i="4"/>
  <c r="H87" i="4"/>
  <c r="I86" i="4"/>
  <c r="G84" i="4"/>
  <c r="H83" i="4"/>
  <c r="G80" i="4"/>
  <c r="H79" i="4"/>
  <c r="G76" i="4"/>
  <c r="H75" i="4"/>
  <c r="G72" i="4"/>
  <c r="H71" i="4"/>
  <c r="I70" i="4"/>
  <c r="G68" i="4"/>
  <c r="H67" i="4"/>
  <c r="I66" i="4"/>
  <c r="G64" i="4"/>
  <c r="H63" i="4"/>
  <c r="G60" i="4"/>
  <c r="H59" i="4"/>
  <c r="I58" i="4"/>
  <c r="G56" i="4"/>
  <c r="H55" i="4"/>
  <c r="I54" i="4"/>
  <c r="G52" i="4"/>
  <c r="H51" i="4"/>
  <c r="I50" i="4"/>
  <c r="G48" i="4"/>
  <c r="H47" i="4"/>
  <c r="G44" i="4"/>
  <c r="H43" i="4"/>
  <c r="G40" i="4"/>
  <c r="H39" i="4"/>
  <c r="I38" i="4"/>
  <c r="G36" i="4"/>
  <c r="H35" i="4"/>
  <c r="I34" i="4"/>
  <c r="G32" i="4"/>
  <c r="H31" i="4"/>
  <c r="H28" i="4"/>
  <c r="G26" i="4"/>
  <c r="G25" i="4"/>
  <c r="H24" i="4"/>
  <c r="I24" i="4" s="1"/>
  <c r="G22" i="4"/>
  <c r="H21" i="4"/>
  <c r="H18" i="4"/>
  <c r="I18" i="4" s="1"/>
  <c r="G16" i="4"/>
  <c r="G15" i="4"/>
  <c r="H14" i="4"/>
  <c r="G12" i="4"/>
  <c r="H11" i="4"/>
  <c r="H8" i="4"/>
  <c r="G6" i="4"/>
  <c r="H4" i="4"/>
  <c r="I2" i="4"/>
  <c r="F978" i="4"/>
  <c r="I978" i="4" s="1"/>
  <c r="F976" i="4"/>
  <c r="I976" i="4" s="1"/>
  <c r="F974" i="4"/>
  <c r="I974" i="4" s="1"/>
  <c r="F917" i="4"/>
  <c r="I917" i="4" s="1"/>
  <c r="F915" i="4"/>
  <c r="I915" i="4" s="1"/>
  <c r="F913" i="4"/>
  <c r="F863" i="4"/>
  <c r="I863" i="4" s="1"/>
  <c r="F861" i="4"/>
  <c r="I861" i="4" s="1"/>
  <c r="F859" i="4"/>
  <c r="F857" i="4"/>
  <c r="I857" i="4" s="1"/>
  <c r="F855" i="4"/>
  <c r="I855" i="4" s="1"/>
  <c r="F789" i="4"/>
  <c r="F787" i="4"/>
  <c r="I787" i="4" s="1"/>
  <c r="F785" i="4"/>
  <c r="F783" i="4"/>
  <c r="I783" i="4" s="1"/>
  <c r="F781" i="4"/>
  <c r="I781" i="4" s="1"/>
  <c r="F779" i="4"/>
  <c r="I779" i="4" s="1"/>
  <c r="F777" i="4"/>
  <c r="I777" i="4" s="1"/>
  <c r="F775" i="4"/>
  <c r="I775" i="4" s="1"/>
  <c r="F773" i="4"/>
  <c r="I773" i="4" s="1"/>
  <c r="F771" i="4"/>
  <c r="I771" i="4" s="1"/>
  <c r="F666" i="4"/>
  <c r="I666" i="4" s="1"/>
  <c r="F664" i="4"/>
  <c r="I664" i="4" s="1"/>
  <c r="F662" i="4"/>
  <c r="F660" i="4"/>
  <c r="I660" i="4" s="1"/>
  <c r="F658" i="4"/>
  <c r="I658" i="4" s="1"/>
  <c r="F656" i="4"/>
  <c r="I656" i="4" s="1"/>
  <c r="F654" i="4"/>
  <c r="I654" i="4" s="1"/>
  <c r="F652" i="4"/>
  <c r="F650" i="4"/>
  <c r="I650" i="4" s="1"/>
  <c r="F648" i="4"/>
  <c r="I648" i="4" s="1"/>
  <c r="F646" i="4"/>
  <c r="I646" i="4" s="1"/>
  <c r="F644" i="4"/>
  <c r="I644" i="4" s="1"/>
  <c r="F642" i="4"/>
  <c r="I642" i="4" s="1"/>
  <c r="F640" i="4"/>
  <c r="I640" i="4" s="1"/>
  <c r="F638" i="4"/>
  <c r="I638" i="4" s="1"/>
  <c r="F636" i="4"/>
  <c r="I636" i="4" s="1"/>
  <c r="F634" i="4"/>
  <c r="I634" i="4" s="1"/>
  <c r="F508" i="4"/>
  <c r="I508" i="4" s="1"/>
  <c r="F506" i="4"/>
  <c r="I506" i="4" s="1"/>
  <c r="F504" i="4"/>
  <c r="I504" i="4" s="1"/>
  <c r="F502" i="4"/>
  <c r="I502" i="4" s="1"/>
  <c r="F500" i="4"/>
  <c r="I500" i="4" s="1"/>
  <c r="F498" i="4"/>
  <c r="I498" i="4" s="1"/>
  <c r="F496" i="4"/>
  <c r="I496" i="4" s="1"/>
  <c r="F494" i="4"/>
  <c r="F492" i="4"/>
  <c r="I492" i="4" s="1"/>
  <c r="F490" i="4"/>
  <c r="I490" i="4" s="1"/>
  <c r="F488" i="4"/>
  <c r="I488" i="4" s="1"/>
  <c r="F486" i="4"/>
  <c r="I486" i="4" s="1"/>
  <c r="F484" i="4"/>
  <c r="I484" i="4" s="1"/>
  <c r="F482" i="4"/>
  <c r="I482" i="4" s="1"/>
  <c r="F480" i="4"/>
  <c r="I480" i="4" s="1"/>
  <c r="F478" i="4"/>
  <c r="F476" i="4"/>
  <c r="I476" i="4" s="1"/>
  <c r="F251" i="4"/>
  <c r="I251" i="4" s="1"/>
  <c r="F249" i="4"/>
  <c r="I249" i="4" s="1"/>
  <c r="F247" i="4"/>
  <c r="I247" i="4" s="1"/>
  <c r="F245" i="4"/>
  <c r="I245" i="4" s="1"/>
  <c r="F243" i="4"/>
  <c r="I243" i="4" s="1"/>
  <c r="F241" i="4"/>
  <c r="F239" i="4"/>
  <c r="I239" i="4" s="1"/>
  <c r="F237" i="4"/>
  <c r="I237" i="4" s="1"/>
  <c r="F235" i="4"/>
  <c r="I235" i="4" s="1"/>
  <c r="F233" i="4"/>
  <c r="I233" i="4" s="1"/>
  <c r="F231" i="4"/>
  <c r="I231" i="4" s="1"/>
  <c r="F229" i="4"/>
  <c r="I229" i="4" s="1"/>
  <c r="F227" i="4"/>
  <c r="I227" i="4" s="1"/>
  <c r="F225" i="4"/>
  <c r="F223" i="4"/>
  <c r="I223" i="4" s="1"/>
  <c r="F221" i="4"/>
  <c r="I221" i="4" s="1"/>
  <c r="F219" i="4"/>
  <c r="I219" i="4" s="1"/>
  <c r="F217" i="4"/>
  <c r="I217" i="4" s="1"/>
  <c r="F215" i="4"/>
  <c r="I215" i="4" s="1"/>
  <c r="F213" i="4"/>
  <c r="I213" i="4" s="1"/>
  <c r="F211" i="4"/>
  <c r="F209" i="4"/>
  <c r="F207" i="4"/>
  <c r="I207" i="4" s="1"/>
  <c r="F205" i="4"/>
  <c r="I205" i="4" s="1"/>
  <c r="F203" i="4"/>
  <c r="I203" i="4" s="1"/>
  <c r="F201" i="4"/>
  <c r="I201" i="4" s="1"/>
  <c r="F199" i="4"/>
  <c r="I199" i="4" s="1"/>
  <c r="G992" i="1"/>
  <c r="G942" i="1"/>
  <c r="G897" i="1"/>
  <c r="G849" i="1"/>
  <c r="G753" i="1"/>
  <c r="G693" i="1"/>
  <c r="G661" i="1"/>
  <c r="G609" i="1"/>
  <c r="G569" i="1"/>
  <c r="G501" i="1"/>
  <c r="G465" i="1"/>
  <c r="G399" i="1"/>
  <c r="G183" i="1"/>
  <c r="G3" i="1"/>
  <c r="G978" i="1"/>
  <c r="G937" i="1"/>
  <c r="G877" i="1"/>
  <c r="G809" i="1"/>
  <c r="G725" i="1"/>
  <c r="G681" i="1"/>
  <c r="G625" i="1"/>
  <c r="G601" i="1"/>
  <c r="G541" i="1"/>
  <c r="G477" i="1"/>
  <c r="G415" i="1"/>
  <c r="G303" i="1"/>
  <c r="G18" i="1"/>
  <c r="G994" i="1"/>
  <c r="G986" i="1"/>
  <c r="G970" i="1"/>
  <c r="G940" i="1"/>
  <c r="G929" i="1"/>
  <c r="G881" i="1"/>
  <c r="G861" i="1"/>
  <c r="G829" i="1"/>
  <c r="G801" i="1"/>
  <c r="G749" i="1"/>
  <c r="G709" i="1"/>
  <c r="G689" i="1"/>
  <c r="G665" i="1"/>
  <c r="G657" i="1"/>
  <c r="G613" i="1"/>
  <c r="G605" i="1"/>
  <c r="G593" i="1"/>
  <c r="G565" i="1"/>
  <c r="G537" i="1"/>
  <c r="G489" i="1"/>
  <c r="G473" i="1"/>
  <c r="G437" i="1"/>
  <c r="G407" i="1"/>
  <c r="G383" i="1"/>
  <c r="G247" i="1"/>
  <c r="G1000" i="1"/>
  <c r="G998" i="1"/>
  <c r="G996" i="1"/>
  <c r="G990" i="1"/>
  <c r="G988" i="1"/>
  <c r="G984" i="1"/>
  <c r="G982" i="1"/>
  <c r="G980" i="1"/>
  <c r="G976" i="1"/>
  <c r="G974" i="1"/>
  <c r="G972" i="1"/>
  <c r="G968" i="1"/>
  <c r="G966" i="1"/>
  <c r="G964" i="1"/>
  <c r="G962" i="1"/>
  <c r="G960" i="1"/>
  <c r="G958" i="1"/>
  <c r="G956" i="1"/>
  <c r="G954" i="1"/>
  <c r="G952" i="1"/>
  <c r="G950" i="1"/>
  <c r="G948" i="1"/>
  <c r="G946" i="1"/>
  <c r="G944" i="1"/>
  <c r="G933" i="1"/>
  <c r="G925" i="1"/>
  <c r="G921" i="1"/>
  <c r="G917" i="1"/>
  <c r="G913" i="1"/>
  <c r="G909" i="1"/>
  <c r="G905" i="1"/>
  <c r="G901" i="1"/>
  <c r="G893" i="1"/>
  <c r="G889" i="1"/>
  <c r="G885" i="1"/>
  <c r="G873" i="1"/>
  <c r="G869" i="1"/>
  <c r="G865" i="1"/>
  <c r="G857" i="1"/>
  <c r="G853" i="1"/>
  <c r="G845" i="1"/>
  <c r="G841" i="1"/>
  <c r="G837" i="1"/>
  <c r="G833" i="1"/>
  <c r="G825" i="1"/>
  <c r="G821" i="1"/>
  <c r="G817" i="1"/>
  <c r="G813" i="1"/>
  <c r="G805" i="1"/>
  <c r="G797" i="1"/>
  <c r="G793" i="1"/>
  <c r="G789" i="1"/>
  <c r="G785" i="1"/>
  <c r="G781" i="1"/>
  <c r="G777" i="1"/>
  <c r="G773" i="1"/>
  <c r="G769" i="1"/>
  <c r="G765" i="1"/>
  <c r="G761" i="1"/>
  <c r="G757" i="1"/>
  <c r="G745" i="1"/>
  <c r="G741" i="1"/>
  <c r="G737" i="1"/>
  <c r="G733" i="1"/>
  <c r="G729" i="1"/>
  <c r="G721" i="1"/>
  <c r="G717" i="1"/>
  <c r="G713" i="1"/>
  <c r="G705" i="1"/>
  <c r="G701" i="1"/>
  <c r="G697" i="1"/>
  <c r="G685" i="1"/>
  <c r="G677" i="1"/>
  <c r="G673" i="1"/>
  <c r="G669" i="1"/>
  <c r="G653" i="1"/>
  <c r="G649" i="1"/>
  <c r="G645" i="1"/>
  <c r="G641" i="1"/>
  <c r="G637" i="1"/>
  <c r="G633" i="1"/>
  <c r="G629" i="1"/>
  <c r="G621" i="1"/>
  <c r="G617" i="1"/>
  <c r="G597" i="1"/>
  <c r="G589" i="1"/>
  <c r="G585" i="1"/>
  <c r="G581" i="1"/>
  <c r="G577" i="1"/>
  <c r="G573" i="1"/>
  <c r="G561" i="1"/>
  <c r="G557" i="1"/>
  <c r="G553" i="1"/>
  <c r="G549" i="1"/>
  <c r="G545" i="1"/>
  <c r="G533" i="1"/>
  <c r="G529" i="1"/>
  <c r="G525" i="1"/>
  <c r="G521" i="1"/>
  <c r="G517" i="1"/>
  <c r="G513" i="1"/>
  <c r="G509" i="1"/>
  <c r="G505" i="1"/>
  <c r="G497" i="1"/>
  <c r="G493" i="1"/>
  <c r="G485" i="1"/>
  <c r="G481" i="1"/>
  <c r="G469" i="1"/>
  <c r="G461" i="1"/>
  <c r="G457" i="1"/>
  <c r="G453" i="1"/>
  <c r="G449" i="1"/>
  <c r="G445" i="1"/>
  <c r="G441" i="1"/>
  <c r="G433" i="1"/>
  <c r="G429" i="1"/>
  <c r="G423" i="1"/>
  <c r="G391" i="1"/>
  <c r="G375" i="1"/>
  <c r="G367" i="1"/>
  <c r="G359" i="1"/>
  <c r="G351" i="1"/>
  <c r="G343" i="1"/>
  <c r="G335" i="1"/>
  <c r="G327" i="1"/>
  <c r="G319" i="1"/>
  <c r="G311" i="1"/>
  <c r="G295" i="1"/>
  <c r="G287" i="1"/>
  <c r="G279" i="1"/>
  <c r="G271" i="1"/>
  <c r="G263" i="1"/>
  <c r="G255" i="1"/>
  <c r="G239" i="1"/>
  <c r="G231" i="1"/>
  <c r="G223" i="1"/>
  <c r="G215" i="1"/>
  <c r="G207" i="1"/>
  <c r="G199" i="1"/>
  <c r="G191" i="1"/>
  <c r="G162" i="1"/>
  <c r="G146" i="1"/>
  <c r="G130" i="1"/>
  <c r="G114" i="1"/>
  <c r="G98" i="1"/>
  <c r="G82" i="1"/>
  <c r="G66" i="1"/>
  <c r="G50" i="1"/>
  <c r="G2" i="1"/>
  <c r="G5" i="1"/>
  <c r="G7" i="1"/>
  <c r="G9" i="1"/>
  <c r="G11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157" i="1"/>
  <c r="G159" i="1"/>
  <c r="G161" i="1"/>
  <c r="G163" i="1"/>
  <c r="G165" i="1"/>
  <c r="G167" i="1"/>
  <c r="G169" i="1"/>
  <c r="G171" i="1"/>
  <c r="G4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72" i="1"/>
  <c r="G76" i="1"/>
  <c r="G80" i="1"/>
  <c r="G84" i="1"/>
  <c r="G88" i="1"/>
  <c r="G92" i="1"/>
  <c r="G96" i="1"/>
  <c r="G100" i="1"/>
  <c r="G104" i="1"/>
  <c r="G108" i="1"/>
  <c r="G112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68" i="1"/>
  <c r="G172" i="1"/>
  <c r="G174" i="1"/>
  <c r="G176" i="1"/>
  <c r="G178" i="1"/>
  <c r="G180" i="1"/>
  <c r="G182" i="1"/>
  <c r="G184" i="1"/>
  <c r="G186" i="1"/>
  <c r="G188" i="1"/>
  <c r="G190" i="1"/>
  <c r="G192" i="1"/>
  <c r="G194" i="1"/>
  <c r="G196" i="1"/>
  <c r="G198" i="1"/>
  <c r="G200" i="1"/>
  <c r="G202" i="1"/>
  <c r="G204" i="1"/>
  <c r="G206" i="1"/>
  <c r="G208" i="1"/>
  <c r="G210" i="1"/>
  <c r="G212" i="1"/>
  <c r="G214" i="1"/>
  <c r="G216" i="1"/>
  <c r="G218" i="1"/>
  <c r="G220" i="1"/>
  <c r="G222" i="1"/>
  <c r="G224" i="1"/>
  <c r="G226" i="1"/>
  <c r="G228" i="1"/>
  <c r="G230" i="1"/>
  <c r="G232" i="1"/>
  <c r="G234" i="1"/>
  <c r="G236" i="1"/>
  <c r="G238" i="1"/>
  <c r="G240" i="1"/>
  <c r="G242" i="1"/>
  <c r="G244" i="1"/>
  <c r="G246" i="1"/>
  <c r="G248" i="1"/>
  <c r="G250" i="1"/>
  <c r="G252" i="1"/>
  <c r="G254" i="1"/>
  <c r="G256" i="1"/>
  <c r="G258" i="1"/>
  <c r="G260" i="1"/>
  <c r="G262" i="1"/>
  <c r="G264" i="1"/>
  <c r="G266" i="1"/>
  <c r="G268" i="1"/>
  <c r="G270" i="1"/>
  <c r="G272" i="1"/>
  <c r="G274" i="1"/>
  <c r="G276" i="1"/>
  <c r="G278" i="1"/>
  <c r="G280" i="1"/>
  <c r="G282" i="1"/>
  <c r="G284" i="1"/>
  <c r="G286" i="1"/>
  <c r="G288" i="1"/>
  <c r="G290" i="1"/>
  <c r="G292" i="1"/>
  <c r="G294" i="1"/>
  <c r="G296" i="1"/>
  <c r="G298" i="1"/>
  <c r="G300" i="1"/>
  <c r="G302" i="1"/>
  <c r="G304" i="1"/>
  <c r="G306" i="1"/>
  <c r="G308" i="1"/>
  <c r="G310" i="1"/>
  <c r="G312" i="1"/>
  <c r="G314" i="1"/>
  <c r="G316" i="1"/>
  <c r="G318" i="1"/>
  <c r="G320" i="1"/>
  <c r="G322" i="1"/>
  <c r="G324" i="1"/>
  <c r="G326" i="1"/>
  <c r="G328" i="1"/>
  <c r="G330" i="1"/>
  <c r="G332" i="1"/>
  <c r="G334" i="1"/>
  <c r="G336" i="1"/>
  <c r="G338" i="1"/>
  <c r="G340" i="1"/>
  <c r="G342" i="1"/>
  <c r="G344" i="1"/>
  <c r="G346" i="1"/>
  <c r="G348" i="1"/>
  <c r="G350" i="1"/>
  <c r="G352" i="1"/>
  <c r="G354" i="1"/>
  <c r="G356" i="1"/>
  <c r="G358" i="1"/>
  <c r="G360" i="1"/>
  <c r="G362" i="1"/>
  <c r="G364" i="1"/>
  <c r="G366" i="1"/>
  <c r="G368" i="1"/>
  <c r="G370" i="1"/>
  <c r="G372" i="1"/>
  <c r="G374" i="1"/>
  <c r="G376" i="1"/>
  <c r="G378" i="1"/>
  <c r="G380" i="1"/>
  <c r="G382" i="1"/>
  <c r="G384" i="1"/>
  <c r="G386" i="1"/>
  <c r="G388" i="1"/>
  <c r="G390" i="1"/>
  <c r="G392" i="1"/>
  <c r="G394" i="1"/>
  <c r="G396" i="1"/>
  <c r="G398" i="1"/>
  <c r="G400" i="1"/>
  <c r="G402" i="1"/>
  <c r="G404" i="1"/>
  <c r="G406" i="1"/>
  <c r="G408" i="1"/>
  <c r="G410" i="1"/>
  <c r="G412" i="1"/>
  <c r="G414" i="1"/>
  <c r="G416" i="1"/>
  <c r="G418" i="1"/>
  <c r="G420" i="1"/>
  <c r="G422" i="1"/>
  <c r="G424" i="1"/>
  <c r="G426" i="1"/>
  <c r="G6" i="1"/>
  <c r="G14" i="1"/>
  <c r="G22" i="1"/>
  <c r="G30" i="1"/>
  <c r="G38" i="1"/>
  <c r="G46" i="1"/>
  <c r="G54" i="1"/>
  <c r="G62" i="1"/>
  <c r="G70" i="1"/>
  <c r="G78" i="1"/>
  <c r="G86" i="1"/>
  <c r="G94" i="1"/>
  <c r="G102" i="1"/>
  <c r="G110" i="1"/>
  <c r="G118" i="1"/>
  <c r="G126" i="1"/>
  <c r="G134" i="1"/>
  <c r="G142" i="1"/>
  <c r="G150" i="1"/>
  <c r="G158" i="1"/>
  <c r="G166" i="1"/>
  <c r="G173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G237" i="1"/>
  <c r="G241" i="1"/>
  <c r="G245" i="1"/>
  <c r="G249" i="1"/>
  <c r="G253" i="1"/>
  <c r="G257" i="1"/>
  <c r="G261" i="1"/>
  <c r="G265" i="1"/>
  <c r="G269" i="1"/>
  <c r="G273" i="1"/>
  <c r="G277" i="1"/>
  <c r="G281" i="1"/>
  <c r="G285" i="1"/>
  <c r="G289" i="1"/>
  <c r="G293" i="1"/>
  <c r="G297" i="1"/>
  <c r="G301" i="1"/>
  <c r="G305" i="1"/>
  <c r="G309" i="1"/>
  <c r="G313" i="1"/>
  <c r="G317" i="1"/>
  <c r="G321" i="1"/>
  <c r="G325" i="1"/>
  <c r="G329" i="1"/>
  <c r="G333" i="1"/>
  <c r="G337" i="1"/>
  <c r="G341" i="1"/>
  <c r="G345" i="1"/>
  <c r="G349" i="1"/>
  <c r="G353" i="1"/>
  <c r="G357" i="1"/>
  <c r="G361" i="1"/>
  <c r="G365" i="1"/>
  <c r="G369" i="1"/>
  <c r="G373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428" i="1"/>
  <c r="G430" i="1"/>
  <c r="G432" i="1"/>
  <c r="G434" i="1"/>
  <c r="G436" i="1"/>
  <c r="G438" i="1"/>
  <c r="G440" i="1"/>
  <c r="G442" i="1"/>
  <c r="G444" i="1"/>
  <c r="G446" i="1"/>
  <c r="G448" i="1"/>
  <c r="G450" i="1"/>
  <c r="G452" i="1"/>
  <c r="G454" i="1"/>
  <c r="G456" i="1"/>
  <c r="G458" i="1"/>
  <c r="G460" i="1"/>
  <c r="G462" i="1"/>
  <c r="G464" i="1"/>
  <c r="G466" i="1"/>
  <c r="G468" i="1"/>
  <c r="G470" i="1"/>
  <c r="G472" i="1"/>
  <c r="G474" i="1"/>
  <c r="G476" i="1"/>
  <c r="G478" i="1"/>
  <c r="G480" i="1"/>
  <c r="G482" i="1"/>
  <c r="G484" i="1"/>
  <c r="G486" i="1"/>
  <c r="G488" i="1"/>
  <c r="G490" i="1"/>
  <c r="G492" i="1"/>
  <c r="G494" i="1"/>
  <c r="G496" i="1"/>
  <c r="G498" i="1"/>
  <c r="G500" i="1"/>
  <c r="G502" i="1"/>
  <c r="G504" i="1"/>
  <c r="G506" i="1"/>
  <c r="G508" i="1"/>
  <c r="G510" i="1"/>
  <c r="G512" i="1"/>
  <c r="G514" i="1"/>
  <c r="G516" i="1"/>
  <c r="G518" i="1"/>
  <c r="G520" i="1"/>
  <c r="G522" i="1"/>
  <c r="G524" i="1"/>
  <c r="G526" i="1"/>
  <c r="G528" i="1"/>
  <c r="G530" i="1"/>
  <c r="G532" i="1"/>
  <c r="G534" i="1"/>
  <c r="G536" i="1"/>
  <c r="G538" i="1"/>
  <c r="G540" i="1"/>
  <c r="G542" i="1"/>
  <c r="G544" i="1"/>
  <c r="G546" i="1"/>
  <c r="G548" i="1"/>
  <c r="G550" i="1"/>
  <c r="G552" i="1"/>
  <c r="G554" i="1"/>
  <c r="G556" i="1"/>
  <c r="G558" i="1"/>
  <c r="G560" i="1"/>
  <c r="G562" i="1"/>
  <c r="G564" i="1"/>
  <c r="G566" i="1"/>
  <c r="G568" i="1"/>
  <c r="G570" i="1"/>
  <c r="G572" i="1"/>
  <c r="G574" i="1"/>
  <c r="G576" i="1"/>
  <c r="G578" i="1"/>
  <c r="G580" i="1"/>
  <c r="G582" i="1"/>
  <c r="G584" i="1"/>
  <c r="G586" i="1"/>
  <c r="G588" i="1"/>
  <c r="G590" i="1"/>
  <c r="G592" i="1"/>
  <c r="G594" i="1"/>
  <c r="G596" i="1"/>
  <c r="G598" i="1"/>
  <c r="G600" i="1"/>
  <c r="G602" i="1"/>
  <c r="G604" i="1"/>
  <c r="G606" i="1"/>
  <c r="G608" i="1"/>
  <c r="G610" i="1"/>
  <c r="G612" i="1"/>
  <c r="G614" i="1"/>
  <c r="G616" i="1"/>
  <c r="G618" i="1"/>
  <c r="G620" i="1"/>
  <c r="G622" i="1"/>
  <c r="G624" i="1"/>
  <c r="G626" i="1"/>
  <c r="G628" i="1"/>
  <c r="G630" i="1"/>
  <c r="G632" i="1"/>
  <c r="G634" i="1"/>
  <c r="G636" i="1"/>
  <c r="G638" i="1"/>
  <c r="G640" i="1"/>
  <c r="G642" i="1"/>
  <c r="G644" i="1"/>
  <c r="G646" i="1"/>
  <c r="G648" i="1"/>
  <c r="G650" i="1"/>
  <c r="G652" i="1"/>
  <c r="G654" i="1"/>
  <c r="G656" i="1"/>
  <c r="G658" i="1"/>
  <c r="G660" i="1"/>
  <c r="G662" i="1"/>
  <c r="G664" i="1"/>
  <c r="G666" i="1"/>
  <c r="G668" i="1"/>
  <c r="G670" i="1"/>
  <c r="G672" i="1"/>
  <c r="G674" i="1"/>
  <c r="G676" i="1"/>
  <c r="G678" i="1"/>
  <c r="G680" i="1"/>
  <c r="G682" i="1"/>
  <c r="G684" i="1"/>
  <c r="G686" i="1"/>
  <c r="G688" i="1"/>
  <c r="G690" i="1"/>
  <c r="G692" i="1"/>
  <c r="G694" i="1"/>
  <c r="G696" i="1"/>
  <c r="G698" i="1"/>
  <c r="G700" i="1"/>
  <c r="G702" i="1"/>
  <c r="G704" i="1"/>
  <c r="G706" i="1"/>
  <c r="G708" i="1"/>
  <c r="G710" i="1"/>
  <c r="G712" i="1"/>
  <c r="G714" i="1"/>
  <c r="G716" i="1"/>
  <c r="G718" i="1"/>
  <c r="G720" i="1"/>
  <c r="G722" i="1"/>
  <c r="G724" i="1"/>
  <c r="G726" i="1"/>
  <c r="G728" i="1"/>
  <c r="G730" i="1"/>
  <c r="G732" i="1"/>
  <c r="G734" i="1"/>
  <c r="G736" i="1"/>
  <c r="G738" i="1"/>
  <c r="G740" i="1"/>
  <c r="G742" i="1"/>
  <c r="G744" i="1"/>
  <c r="G746" i="1"/>
  <c r="G748" i="1"/>
  <c r="G750" i="1"/>
  <c r="G752" i="1"/>
  <c r="G754" i="1"/>
  <c r="G756" i="1"/>
  <c r="G758" i="1"/>
  <c r="G760" i="1"/>
  <c r="G762" i="1"/>
  <c r="G764" i="1"/>
  <c r="G766" i="1"/>
  <c r="G768" i="1"/>
  <c r="G770" i="1"/>
  <c r="G772" i="1"/>
  <c r="G774" i="1"/>
  <c r="G776" i="1"/>
  <c r="G778" i="1"/>
  <c r="G780" i="1"/>
  <c r="G782" i="1"/>
  <c r="G784" i="1"/>
  <c r="G786" i="1"/>
  <c r="G788" i="1"/>
  <c r="G790" i="1"/>
  <c r="G792" i="1"/>
  <c r="G794" i="1"/>
  <c r="G796" i="1"/>
  <c r="G798" i="1"/>
  <c r="G800" i="1"/>
  <c r="G802" i="1"/>
  <c r="G804" i="1"/>
  <c r="G806" i="1"/>
  <c r="G808" i="1"/>
  <c r="G810" i="1"/>
  <c r="G812" i="1"/>
  <c r="G814" i="1"/>
  <c r="G816" i="1"/>
  <c r="G818" i="1"/>
  <c r="G820" i="1"/>
  <c r="G822" i="1"/>
  <c r="G824" i="1"/>
  <c r="G826" i="1"/>
  <c r="G828" i="1"/>
  <c r="G830" i="1"/>
  <c r="G832" i="1"/>
  <c r="G834" i="1"/>
  <c r="G836" i="1"/>
  <c r="G838" i="1"/>
  <c r="G840" i="1"/>
  <c r="G842" i="1"/>
  <c r="G844" i="1"/>
  <c r="G846" i="1"/>
  <c r="G848" i="1"/>
  <c r="G850" i="1"/>
  <c r="G852" i="1"/>
  <c r="G854" i="1"/>
  <c r="G856" i="1"/>
  <c r="G858" i="1"/>
  <c r="G860" i="1"/>
  <c r="G862" i="1"/>
  <c r="G864" i="1"/>
  <c r="G866" i="1"/>
  <c r="G868" i="1"/>
  <c r="G870" i="1"/>
  <c r="G872" i="1"/>
  <c r="G874" i="1"/>
  <c r="G876" i="1"/>
  <c r="G878" i="1"/>
  <c r="G880" i="1"/>
  <c r="G882" i="1"/>
  <c r="G884" i="1"/>
  <c r="G886" i="1"/>
  <c r="G888" i="1"/>
  <c r="G890" i="1"/>
  <c r="G892" i="1"/>
  <c r="G894" i="1"/>
  <c r="G896" i="1"/>
  <c r="G898" i="1"/>
  <c r="G900" i="1"/>
  <c r="G902" i="1"/>
  <c r="G904" i="1"/>
  <c r="G906" i="1"/>
  <c r="G908" i="1"/>
  <c r="G910" i="1"/>
  <c r="G912" i="1"/>
  <c r="G914" i="1"/>
  <c r="G916" i="1"/>
  <c r="G918" i="1"/>
  <c r="G920" i="1"/>
  <c r="G922" i="1"/>
  <c r="G924" i="1"/>
  <c r="G926" i="1"/>
  <c r="G928" i="1"/>
  <c r="G930" i="1"/>
  <c r="G932" i="1"/>
  <c r="G934" i="1"/>
  <c r="G936" i="1"/>
  <c r="G938" i="1"/>
  <c r="G1001" i="1"/>
  <c r="G999" i="1"/>
  <c r="G997" i="1"/>
  <c r="G995" i="1"/>
  <c r="G993" i="1"/>
  <c r="G991" i="1"/>
  <c r="G989" i="1"/>
  <c r="G987" i="1"/>
  <c r="G985" i="1"/>
  <c r="G983" i="1"/>
  <c r="G981" i="1"/>
  <c r="G979" i="1"/>
  <c r="G977" i="1"/>
  <c r="G975" i="1"/>
  <c r="G973" i="1"/>
  <c r="G971" i="1"/>
  <c r="G969" i="1"/>
  <c r="G967" i="1"/>
  <c r="G965" i="1"/>
  <c r="G963" i="1"/>
  <c r="G961" i="1"/>
  <c r="G959" i="1"/>
  <c r="G957" i="1"/>
  <c r="G955" i="1"/>
  <c r="G953" i="1"/>
  <c r="G951" i="1"/>
  <c r="G949" i="1"/>
  <c r="G947" i="1"/>
  <c r="G945" i="1"/>
  <c r="G943" i="1"/>
  <c r="G941" i="1"/>
  <c r="G939" i="1"/>
  <c r="G935" i="1"/>
  <c r="G931" i="1"/>
  <c r="G927" i="1"/>
  <c r="G923" i="1"/>
  <c r="G919" i="1"/>
  <c r="G915" i="1"/>
  <c r="G911" i="1"/>
  <c r="G907" i="1"/>
  <c r="G903" i="1"/>
  <c r="G899" i="1"/>
  <c r="G895" i="1"/>
  <c r="G891" i="1"/>
  <c r="G887" i="1"/>
  <c r="G883" i="1"/>
  <c r="G879" i="1"/>
  <c r="G875" i="1"/>
  <c r="G871" i="1"/>
  <c r="G867" i="1"/>
  <c r="G863" i="1"/>
  <c r="G859" i="1"/>
  <c r="G855" i="1"/>
  <c r="G851" i="1"/>
  <c r="G847" i="1"/>
  <c r="G843" i="1"/>
  <c r="G839" i="1"/>
  <c r="G835" i="1"/>
  <c r="G831" i="1"/>
  <c r="G827" i="1"/>
  <c r="G823" i="1"/>
  <c r="G819" i="1"/>
  <c r="G815" i="1"/>
  <c r="G811" i="1"/>
  <c r="G807" i="1"/>
  <c r="G803" i="1"/>
  <c r="G799" i="1"/>
  <c r="G795" i="1"/>
  <c r="G791" i="1"/>
  <c r="G787" i="1"/>
  <c r="G783" i="1"/>
  <c r="G779" i="1"/>
  <c r="G775" i="1"/>
  <c r="G771" i="1"/>
  <c r="G767" i="1"/>
  <c r="G763" i="1"/>
  <c r="G759" i="1"/>
  <c r="G755" i="1"/>
  <c r="G751" i="1"/>
  <c r="G747" i="1"/>
  <c r="G743" i="1"/>
  <c r="G739" i="1"/>
  <c r="G735" i="1"/>
  <c r="G731" i="1"/>
  <c r="G727" i="1"/>
  <c r="G723" i="1"/>
  <c r="G719" i="1"/>
  <c r="G715" i="1"/>
  <c r="G711" i="1"/>
  <c r="G707" i="1"/>
  <c r="G703" i="1"/>
  <c r="G699" i="1"/>
  <c r="G695" i="1"/>
  <c r="G691" i="1"/>
  <c r="G687" i="1"/>
  <c r="G683" i="1"/>
  <c r="G679" i="1"/>
  <c r="G675" i="1"/>
  <c r="G671" i="1"/>
  <c r="G667" i="1"/>
  <c r="G663" i="1"/>
  <c r="G659" i="1"/>
  <c r="G655" i="1"/>
  <c r="G651" i="1"/>
  <c r="G647" i="1"/>
  <c r="G643" i="1"/>
  <c r="G639" i="1"/>
  <c r="G635" i="1"/>
  <c r="G631" i="1"/>
  <c r="G627" i="1"/>
  <c r="G623" i="1"/>
  <c r="G619" i="1"/>
  <c r="G615" i="1"/>
  <c r="G611" i="1"/>
  <c r="G607" i="1"/>
  <c r="G603" i="1"/>
  <c r="G599" i="1"/>
  <c r="G595" i="1"/>
  <c r="G591" i="1"/>
  <c r="G587" i="1"/>
  <c r="G583" i="1"/>
  <c r="G579" i="1"/>
  <c r="G575" i="1"/>
  <c r="G571" i="1"/>
  <c r="G567" i="1"/>
  <c r="G563" i="1"/>
  <c r="G559" i="1"/>
  <c r="G555" i="1"/>
  <c r="G551" i="1"/>
  <c r="G547" i="1"/>
  <c r="G543" i="1"/>
  <c r="G539" i="1"/>
  <c r="G535" i="1"/>
  <c r="G531" i="1"/>
  <c r="G527" i="1"/>
  <c r="G523" i="1"/>
  <c r="G519" i="1"/>
  <c r="G515" i="1"/>
  <c r="G511" i="1"/>
  <c r="G507" i="1"/>
  <c r="G503" i="1"/>
  <c r="G499" i="1"/>
  <c r="G495" i="1"/>
  <c r="G491" i="1"/>
  <c r="G487" i="1"/>
  <c r="G483" i="1"/>
  <c r="G479" i="1"/>
  <c r="G475" i="1"/>
  <c r="G471" i="1"/>
  <c r="G467" i="1"/>
  <c r="G463" i="1"/>
  <c r="G459" i="1"/>
  <c r="G455" i="1"/>
  <c r="G451" i="1"/>
  <c r="G447" i="1"/>
  <c r="G443" i="1"/>
  <c r="G439" i="1"/>
  <c r="G435" i="1"/>
  <c r="G431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0" i="1"/>
  <c r="G154" i="1"/>
  <c r="G138" i="1"/>
  <c r="G122" i="1"/>
  <c r="G106" i="1"/>
  <c r="G90" i="1"/>
  <c r="G74" i="1"/>
  <c r="G58" i="1"/>
  <c r="G42" i="1"/>
  <c r="G26" i="1"/>
  <c r="G10" i="1"/>
  <c r="H592" i="1"/>
  <c r="H2" i="1"/>
  <c r="H1000" i="1"/>
  <c r="H998" i="1"/>
  <c r="H996" i="1"/>
  <c r="H994" i="1"/>
  <c r="H992" i="1"/>
  <c r="H990" i="1"/>
  <c r="H988" i="1"/>
  <c r="H986" i="1"/>
  <c r="H984" i="1"/>
  <c r="H982" i="1"/>
  <c r="H980" i="1"/>
  <c r="H978" i="1"/>
  <c r="H976" i="1"/>
  <c r="H974" i="1"/>
  <c r="H972" i="1"/>
  <c r="H970" i="1"/>
  <c r="H968" i="1"/>
  <c r="H966" i="1"/>
  <c r="H964" i="1"/>
  <c r="H962" i="1"/>
  <c r="H960" i="1"/>
  <c r="H958" i="1"/>
  <c r="H956" i="1"/>
  <c r="H954" i="1"/>
  <c r="H952" i="1"/>
  <c r="H950" i="1"/>
  <c r="H948" i="1"/>
  <c r="H946" i="1"/>
  <c r="H944" i="1"/>
  <c r="H942" i="1"/>
  <c r="H940" i="1"/>
  <c r="H938" i="1"/>
  <c r="H936" i="1"/>
  <c r="H934" i="1"/>
  <c r="H932" i="1"/>
  <c r="H930" i="1"/>
  <c r="H928" i="1"/>
  <c r="H926" i="1"/>
  <c r="H924" i="1"/>
  <c r="H922" i="1"/>
  <c r="H920" i="1"/>
  <c r="H918" i="1"/>
  <c r="H916" i="1"/>
  <c r="H914" i="1"/>
  <c r="H912" i="1"/>
  <c r="H910" i="1"/>
  <c r="H908" i="1"/>
  <c r="H906" i="1"/>
  <c r="H904" i="1"/>
  <c r="H902" i="1"/>
  <c r="H900" i="1"/>
  <c r="H898" i="1"/>
  <c r="H896" i="1"/>
  <c r="H894" i="1"/>
  <c r="H892" i="1"/>
  <c r="H890" i="1"/>
  <c r="H888" i="1"/>
  <c r="H886" i="1"/>
  <c r="H884" i="1"/>
  <c r="H882" i="1"/>
  <c r="H880" i="1"/>
  <c r="H878" i="1"/>
  <c r="H876" i="1"/>
  <c r="H874" i="1"/>
  <c r="H872" i="1"/>
  <c r="H870" i="1"/>
  <c r="H868" i="1"/>
  <c r="H866" i="1"/>
  <c r="H864" i="1"/>
  <c r="H862" i="1"/>
  <c r="H860" i="1"/>
  <c r="H858" i="1"/>
  <c r="H856" i="1"/>
  <c r="H854" i="1"/>
  <c r="H852" i="1"/>
  <c r="H850" i="1"/>
  <c r="H848" i="1"/>
  <c r="H846" i="1"/>
  <c r="H844" i="1"/>
  <c r="H842" i="1"/>
  <c r="H840" i="1"/>
  <c r="H838" i="1"/>
  <c r="H836" i="1"/>
  <c r="H834" i="1"/>
  <c r="H832" i="1"/>
  <c r="H830" i="1"/>
  <c r="H828" i="1"/>
  <c r="H826" i="1"/>
  <c r="H824" i="1"/>
  <c r="H822" i="1"/>
  <c r="H820" i="1"/>
  <c r="H818" i="1"/>
  <c r="H816" i="1"/>
  <c r="H814" i="1"/>
  <c r="H812" i="1"/>
  <c r="H810" i="1"/>
  <c r="H808" i="1"/>
  <c r="H806" i="1"/>
  <c r="H804" i="1"/>
  <c r="H802" i="1"/>
  <c r="H800" i="1"/>
  <c r="H798" i="1"/>
  <c r="H796" i="1"/>
  <c r="H794" i="1"/>
  <c r="H792" i="1"/>
  <c r="H790" i="1"/>
  <c r="H788" i="1"/>
  <c r="H786" i="1"/>
  <c r="H784" i="1"/>
  <c r="H782" i="1"/>
  <c r="H780" i="1"/>
  <c r="H778" i="1"/>
  <c r="H776" i="1"/>
  <c r="H774" i="1"/>
  <c r="H772" i="1"/>
  <c r="H770" i="1"/>
  <c r="H768" i="1"/>
  <c r="H766" i="1"/>
  <c r="H764" i="1"/>
  <c r="H762" i="1"/>
  <c r="H760" i="1"/>
  <c r="H758" i="1"/>
  <c r="H756" i="1"/>
  <c r="H754" i="1"/>
  <c r="H752" i="1"/>
  <c r="H750" i="1"/>
  <c r="H748" i="1"/>
  <c r="H746" i="1"/>
  <c r="H744" i="1"/>
  <c r="H742" i="1"/>
  <c r="H740" i="1"/>
  <c r="H738" i="1"/>
  <c r="H736" i="1"/>
  <c r="H734" i="1"/>
  <c r="H732" i="1"/>
  <c r="H730" i="1"/>
  <c r="H728" i="1"/>
  <c r="H726" i="1"/>
  <c r="H724" i="1"/>
  <c r="H722" i="1"/>
  <c r="H720" i="1"/>
  <c r="H718" i="1"/>
  <c r="H716" i="1"/>
  <c r="H714" i="1"/>
  <c r="H712" i="1"/>
  <c r="H710" i="1"/>
  <c r="H708" i="1"/>
  <c r="H706" i="1"/>
  <c r="H704" i="1"/>
  <c r="H702" i="1"/>
  <c r="H700" i="1"/>
  <c r="H698" i="1"/>
  <c r="H696" i="1"/>
  <c r="H694" i="1"/>
  <c r="H692" i="1"/>
  <c r="H690" i="1"/>
  <c r="H688" i="1"/>
  <c r="H686" i="1"/>
  <c r="H684" i="1"/>
  <c r="H682" i="1"/>
  <c r="H680" i="1"/>
  <c r="H678" i="1"/>
  <c r="H676" i="1"/>
  <c r="H674" i="1"/>
  <c r="H672" i="1"/>
  <c r="H670" i="1"/>
  <c r="H668" i="1"/>
  <c r="H666" i="1"/>
  <c r="H664" i="1"/>
  <c r="H662" i="1"/>
  <c r="H660" i="1"/>
  <c r="H658" i="1"/>
  <c r="H656" i="1"/>
  <c r="H654" i="1"/>
  <c r="H652" i="1"/>
  <c r="H650" i="1"/>
  <c r="H648" i="1"/>
  <c r="H646" i="1"/>
  <c r="H644" i="1"/>
  <c r="H642" i="1"/>
  <c r="H640" i="1"/>
  <c r="H638" i="1"/>
  <c r="H636" i="1"/>
  <c r="H634" i="1"/>
  <c r="H632" i="1"/>
  <c r="H630" i="1"/>
  <c r="H628" i="1"/>
  <c r="H626" i="1"/>
  <c r="H624" i="1"/>
  <c r="H622" i="1"/>
  <c r="H620" i="1"/>
  <c r="H618" i="1"/>
  <c r="H616" i="1"/>
  <c r="H614" i="1"/>
  <c r="H612" i="1"/>
  <c r="H610" i="1"/>
  <c r="H608" i="1"/>
  <c r="H606" i="1"/>
  <c r="H604" i="1"/>
  <c r="H602" i="1"/>
  <c r="H600" i="1"/>
  <c r="H598" i="1"/>
  <c r="H596" i="1"/>
  <c r="H594" i="1"/>
  <c r="H4" i="1"/>
  <c r="H5" i="1"/>
  <c r="H7" i="1"/>
  <c r="H9" i="1"/>
  <c r="H11" i="1"/>
  <c r="H13" i="1"/>
  <c r="H15" i="1"/>
  <c r="H6" i="1"/>
  <c r="H10" i="1"/>
  <c r="H14" i="1"/>
  <c r="H17" i="1"/>
  <c r="H19" i="1"/>
  <c r="H21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H97" i="1"/>
  <c r="H99" i="1"/>
  <c r="H101" i="1"/>
  <c r="H103" i="1"/>
  <c r="H105" i="1"/>
  <c r="H107" i="1"/>
  <c r="H109" i="1"/>
  <c r="H111" i="1"/>
  <c r="H113" i="1"/>
  <c r="H115" i="1"/>
  <c r="H117" i="1"/>
  <c r="H119" i="1"/>
  <c r="H121" i="1"/>
  <c r="H123" i="1"/>
  <c r="H125" i="1"/>
  <c r="H127" i="1"/>
  <c r="H129" i="1"/>
  <c r="H131" i="1"/>
  <c r="H133" i="1"/>
  <c r="H135" i="1"/>
  <c r="H137" i="1"/>
  <c r="H139" i="1"/>
  <c r="H141" i="1"/>
  <c r="H143" i="1"/>
  <c r="H145" i="1"/>
  <c r="H147" i="1"/>
  <c r="H149" i="1"/>
  <c r="H151" i="1"/>
  <c r="H153" i="1"/>
  <c r="H155" i="1"/>
  <c r="H157" i="1"/>
  <c r="H159" i="1"/>
  <c r="H161" i="1"/>
  <c r="H163" i="1"/>
  <c r="H165" i="1"/>
  <c r="H167" i="1"/>
  <c r="H169" i="1"/>
  <c r="H171" i="1"/>
  <c r="H173" i="1"/>
  <c r="H175" i="1"/>
  <c r="H177" i="1"/>
  <c r="H179" i="1"/>
  <c r="H181" i="1"/>
  <c r="H183" i="1"/>
  <c r="H185" i="1"/>
  <c r="H187" i="1"/>
  <c r="H189" i="1"/>
  <c r="H191" i="1"/>
  <c r="H193" i="1"/>
  <c r="H195" i="1"/>
  <c r="H197" i="1"/>
  <c r="H199" i="1"/>
  <c r="H201" i="1"/>
  <c r="H203" i="1"/>
  <c r="H205" i="1"/>
  <c r="H207" i="1"/>
  <c r="H209" i="1"/>
  <c r="H211" i="1"/>
  <c r="H213" i="1"/>
  <c r="H215" i="1"/>
  <c r="H217" i="1"/>
  <c r="H219" i="1"/>
  <c r="H221" i="1"/>
  <c r="H223" i="1"/>
  <c r="H225" i="1"/>
  <c r="H227" i="1"/>
  <c r="H229" i="1"/>
  <c r="H231" i="1"/>
  <c r="H233" i="1"/>
  <c r="H235" i="1"/>
  <c r="H237" i="1"/>
  <c r="H239" i="1"/>
  <c r="H241" i="1"/>
  <c r="H243" i="1"/>
  <c r="H245" i="1"/>
  <c r="H247" i="1"/>
  <c r="H249" i="1"/>
  <c r="H251" i="1"/>
  <c r="H253" i="1"/>
  <c r="H255" i="1"/>
  <c r="H257" i="1"/>
  <c r="H259" i="1"/>
  <c r="H261" i="1"/>
  <c r="H263" i="1"/>
  <c r="H265" i="1"/>
  <c r="H267" i="1"/>
  <c r="H269" i="1"/>
  <c r="H271" i="1"/>
  <c r="H273" i="1"/>
  <c r="H275" i="1"/>
  <c r="H277" i="1"/>
  <c r="H279" i="1"/>
  <c r="H281" i="1"/>
  <c r="H283" i="1"/>
  <c r="H285" i="1"/>
  <c r="H287" i="1"/>
  <c r="H289" i="1"/>
  <c r="H291" i="1"/>
  <c r="H293" i="1"/>
  <c r="H295" i="1"/>
  <c r="H297" i="1"/>
  <c r="H299" i="1"/>
  <c r="H301" i="1"/>
  <c r="H303" i="1"/>
  <c r="H305" i="1"/>
  <c r="H307" i="1"/>
  <c r="H309" i="1"/>
  <c r="H311" i="1"/>
  <c r="H313" i="1"/>
  <c r="H315" i="1"/>
  <c r="H317" i="1"/>
  <c r="H319" i="1"/>
  <c r="H321" i="1"/>
  <c r="H323" i="1"/>
  <c r="H325" i="1"/>
  <c r="H327" i="1"/>
  <c r="H329" i="1"/>
  <c r="H331" i="1"/>
  <c r="H333" i="1"/>
  <c r="H335" i="1"/>
  <c r="H337" i="1"/>
  <c r="H339" i="1"/>
  <c r="H341" i="1"/>
  <c r="H343" i="1"/>
  <c r="H345" i="1"/>
  <c r="H347" i="1"/>
  <c r="H349" i="1"/>
  <c r="H351" i="1"/>
  <c r="H353" i="1"/>
  <c r="H355" i="1"/>
  <c r="H357" i="1"/>
  <c r="H359" i="1"/>
  <c r="H361" i="1"/>
  <c r="H363" i="1"/>
  <c r="H365" i="1"/>
  <c r="H367" i="1"/>
  <c r="H369" i="1"/>
  <c r="H371" i="1"/>
  <c r="H373" i="1"/>
  <c r="H375" i="1"/>
  <c r="H377" i="1"/>
  <c r="H379" i="1"/>
  <c r="H381" i="1"/>
  <c r="H383" i="1"/>
  <c r="H385" i="1"/>
  <c r="H387" i="1"/>
  <c r="H389" i="1"/>
  <c r="H391" i="1"/>
  <c r="H393" i="1"/>
  <c r="H395" i="1"/>
  <c r="H397" i="1"/>
  <c r="H399" i="1"/>
  <c r="H401" i="1"/>
  <c r="H403" i="1"/>
  <c r="H405" i="1"/>
  <c r="H407" i="1"/>
  <c r="H409" i="1"/>
  <c r="H411" i="1"/>
  <c r="H413" i="1"/>
  <c r="H415" i="1"/>
  <c r="H417" i="1"/>
  <c r="H419" i="1"/>
  <c r="H421" i="1"/>
  <c r="H423" i="1"/>
  <c r="H425" i="1"/>
  <c r="H427" i="1"/>
  <c r="H429" i="1"/>
  <c r="H431" i="1"/>
  <c r="H433" i="1"/>
  <c r="H435" i="1"/>
  <c r="H437" i="1"/>
  <c r="H439" i="1"/>
  <c r="H441" i="1"/>
  <c r="H443" i="1"/>
  <c r="H445" i="1"/>
  <c r="H447" i="1"/>
  <c r="H449" i="1"/>
  <c r="H451" i="1"/>
  <c r="H453" i="1"/>
  <c r="H455" i="1"/>
  <c r="H457" i="1"/>
  <c r="H459" i="1"/>
  <c r="H461" i="1"/>
  <c r="H463" i="1"/>
  <c r="H465" i="1"/>
  <c r="H467" i="1"/>
  <c r="H469" i="1"/>
  <c r="H471" i="1"/>
  <c r="H473" i="1"/>
  <c r="H475" i="1"/>
  <c r="H477" i="1"/>
  <c r="H479" i="1"/>
  <c r="H481" i="1"/>
  <c r="H483" i="1"/>
  <c r="H485" i="1"/>
  <c r="H487" i="1"/>
  <c r="H489" i="1"/>
  <c r="H491" i="1"/>
  <c r="H493" i="1"/>
  <c r="H495" i="1"/>
  <c r="H497" i="1"/>
  <c r="H499" i="1"/>
  <c r="H501" i="1"/>
  <c r="H503" i="1"/>
  <c r="H505" i="1"/>
  <c r="H507" i="1"/>
  <c r="H509" i="1"/>
  <c r="H511" i="1"/>
  <c r="H513" i="1"/>
  <c r="H515" i="1"/>
  <c r="H517" i="1"/>
  <c r="H519" i="1"/>
  <c r="H521" i="1"/>
  <c r="H523" i="1"/>
  <c r="H525" i="1"/>
  <c r="H527" i="1"/>
  <c r="H529" i="1"/>
  <c r="H531" i="1"/>
  <c r="H533" i="1"/>
  <c r="H535" i="1"/>
  <c r="H537" i="1"/>
  <c r="H539" i="1"/>
  <c r="H541" i="1"/>
  <c r="H543" i="1"/>
  <c r="H545" i="1"/>
  <c r="H547" i="1"/>
  <c r="H549" i="1"/>
  <c r="H551" i="1"/>
  <c r="H553" i="1"/>
  <c r="H555" i="1"/>
  <c r="H557" i="1"/>
  <c r="H559" i="1"/>
  <c r="H561" i="1"/>
  <c r="H563" i="1"/>
  <c r="H565" i="1"/>
  <c r="H567" i="1"/>
  <c r="H569" i="1"/>
  <c r="H571" i="1"/>
  <c r="H573" i="1"/>
  <c r="H575" i="1"/>
  <c r="H577" i="1"/>
  <c r="H579" i="1"/>
  <c r="H581" i="1"/>
  <c r="H583" i="1"/>
  <c r="H585" i="1"/>
  <c r="H587" i="1"/>
  <c r="H589" i="1"/>
  <c r="H3" i="1"/>
  <c r="H8" i="1"/>
  <c r="H12" i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H54" i="1"/>
  <c r="H56" i="1"/>
  <c r="H58" i="1"/>
  <c r="H60" i="1"/>
  <c r="H62" i="1"/>
  <c r="H64" i="1"/>
  <c r="H66" i="1"/>
  <c r="H68" i="1"/>
  <c r="H70" i="1"/>
  <c r="H72" i="1"/>
  <c r="H74" i="1"/>
  <c r="H76" i="1"/>
  <c r="H78" i="1"/>
  <c r="H80" i="1"/>
  <c r="H82" i="1"/>
  <c r="H84" i="1"/>
  <c r="H86" i="1"/>
  <c r="H88" i="1"/>
  <c r="H90" i="1"/>
  <c r="H92" i="1"/>
  <c r="H94" i="1"/>
  <c r="H96" i="1"/>
  <c r="H98" i="1"/>
  <c r="H100" i="1"/>
  <c r="H102" i="1"/>
  <c r="H104" i="1"/>
  <c r="H106" i="1"/>
  <c r="H108" i="1"/>
  <c r="H110" i="1"/>
  <c r="H112" i="1"/>
  <c r="H114" i="1"/>
  <c r="H116" i="1"/>
  <c r="H118" i="1"/>
  <c r="H120" i="1"/>
  <c r="H122" i="1"/>
  <c r="H124" i="1"/>
  <c r="H126" i="1"/>
  <c r="H128" i="1"/>
  <c r="H130" i="1"/>
  <c r="H132" i="1"/>
  <c r="H134" i="1"/>
  <c r="H136" i="1"/>
  <c r="H138" i="1"/>
  <c r="H140" i="1"/>
  <c r="H142" i="1"/>
  <c r="H144" i="1"/>
  <c r="H146" i="1"/>
  <c r="H148" i="1"/>
  <c r="H150" i="1"/>
  <c r="H152" i="1"/>
  <c r="H154" i="1"/>
  <c r="H156" i="1"/>
  <c r="H158" i="1"/>
  <c r="H160" i="1"/>
  <c r="H162" i="1"/>
  <c r="H164" i="1"/>
  <c r="H166" i="1"/>
  <c r="H168" i="1"/>
  <c r="H170" i="1"/>
  <c r="H172" i="1"/>
  <c r="H174" i="1"/>
  <c r="H176" i="1"/>
  <c r="H178" i="1"/>
  <c r="H180" i="1"/>
  <c r="H182" i="1"/>
  <c r="H184" i="1"/>
  <c r="H186" i="1"/>
  <c r="H188" i="1"/>
  <c r="H190" i="1"/>
  <c r="H192" i="1"/>
  <c r="H194" i="1"/>
  <c r="H196" i="1"/>
  <c r="H198" i="1"/>
  <c r="H200" i="1"/>
  <c r="H202" i="1"/>
  <c r="H204" i="1"/>
  <c r="H206" i="1"/>
  <c r="H208" i="1"/>
  <c r="H210" i="1"/>
  <c r="H212" i="1"/>
  <c r="H214" i="1"/>
  <c r="H216" i="1"/>
  <c r="H218" i="1"/>
  <c r="H220" i="1"/>
  <c r="H222" i="1"/>
  <c r="H224" i="1"/>
  <c r="H226" i="1"/>
  <c r="H228" i="1"/>
  <c r="H230" i="1"/>
  <c r="H232" i="1"/>
  <c r="H234" i="1"/>
  <c r="H236" i="1"/>
  <c r="H238" i="1"/>
  <c r="H240" i="1"/>
  <c r="H242" i="1"/>
  <c r="H244" i="1"/>
  <c r="H246" i="1"/>
  <c r="H248" i="1"/>
  <c r="H250" i="1"/>
  <c r="H252" i="1"/>
  <c r="H254" i="1"/>
  <c r="H256" i="1"/>
  <c r="H258" i="1"/>
  <c r="H260" i="1"/>
  <c r="H262" i="1"/>
  <c r="H264" i="1"/>
  <c r="H266" i="1"/>
  <c r="H268" i="1"/>
  <c r="H270" i="1"/>
  <c r="H272" i="1"/>
  <c r="H274" i="1"/>
  <c r="H276" i="1"/>
  <c r="H278" i="1"/>
  <c r="H280" i="1"/>
  <c r="H282" i="1"/>
  <c r="H284" i="1"/>
  <c r="H286" i="1"/>
  <c r="H288" i="1"/>
  <c r="H290" i="1"/>
  <c r="H292" i="1"/>
  <c r="H294" i="1"/>
  <c r="H296" i="1"/>
  <c r="H298" i="1"/>
  <c r="H300" i="1"/>
  <c r="H302" i="1"/>
  <c r="H304" i="1"/>
  <c r="H306" i="1"/>
  <c r="H308" i="1"/>
  <c r="H310" i="1"/>
  <c r="H312" i="1"/>
  <c r="H314" i="1"/>
  <c r="H316" i="1"/>
  <c r="H318" i="1"/>
  <c r="H320" i="1"/>
  <c r="H322" i="1"/>
  <c r="H324" i="1"/>
  <c r="H326" i="1"/>
  <c r="H328" i="1"/>
  <c r="H330" i="1"/>
  <c r="H332" i="1"/>
  <c r="H334" i="1"/>
  <c r="H336" i="1"/>
  <c r="H338" i="1"/>
  <c r="H340" i="1"/>
  <c r="H342" i="1"/>
  <c r="H344" i="1"/>
  <c r="H346" i="1"/>
  <c r="H348" i="1"/>
  <c r="H350" i="1"/>
  <c r="H352" i="1"/>
  <c r="H354" i="1"/>
  <c r="H356" i="1"/>
  <c r="H358" i="1"/>
  <c r="H360" i="1"/>
  <c r="H362" i="1"/>
  <c r="H364" i="1"/>
  <c r="H366" i="1"/>
  <c r="H368" i="1"/>
  <c r="H370" i="1"/>
  <c r="H372" i="1"/>
  <c r="H374" i="1"/>
  <c r="H376" i="1"/>
  <c r="H378" i="1"/>
  <c r="H380" i="1"/>
  <c r="H382" i="1"/>
  <c r="H384" i="1"/>
  <c r="H386" i="1"/>
  <c r="H388" i="1"/>
  <c r="H390" i="1"/>
  <c r="H392" i="1"/>
  <c r="H394" i="1"/>
  <c r="H396" i="1"/>
  <c r="H398" i="1"/>
  <c r="H400" i="1"/>
  <c r="H402" i="1"/>
  <c r="H404" i="1"/>
  <c r="H406" i="1"/>
  <c r="H408" i="1"/>
  <c r="H410" i="1"/>
  <c r="H412" i="1"/>
  <c r="H414" i="1"/>
  <c r="H416" i="1"/>
  <c r="H418" i="1"/>
  <c r="H420" i="1"/>
  <c r="H422" i="1"/>
  <c r="H424" i="1"/>
  <c r="H426" i="1"/>
  <c r="H428" i="1"/>
  <c r="H430" i="1"/>
  <c r="H432" i="1"/>
  <c r="H434" i="1"/>
  <c r="H436" i="1"/>
  <c r="H438" i="1"/>
  <c r="H440" i="1"/>
  <c r="H442" i="1"/>
  <c r="H444" i="1"/>
  <c r="H446" i="1"/>
  <c r="H448" i="1"/>
  <c r="H450" i="1"/>
  <c r="H452" i="1"/>
  <c r="H454" i="1"/>
  <c r="H456" i="1"/>
  <c r="H458" i="1"/>
  <c r="H460" i="1"/>
  <c r="H462" i="1"/>
  <c r="H464" i="1"/>
  <c r="H466" i="1"/>
  <c r="H468" i="1"/>
  <c r="H470" i="1"/>
  <c r="H472" i="1"/>
  <c r="H474" i="1"/>
  <c r="H476" i="1"/>
  <c r="H478" i="1"/>
  <c r="H480" i="1"/>
  <c r="H482" i="1"/>
  <c r="H484" i="1"/>
  <c r="H486" i="1"/>
  <c r="H488" i="1"/>
  <c r="H490" i="1"/>
  <c r="H492" i="1"/>
  <c r="H494" i="1"/>
  <c r="H496" i="1"/>
  <c r="H498" i="1"/>
  <c r="H500" i="1"/>
  <c r="H502" i="1"/>
  <c r="H504" i="1"/>
  <c r="H506" i="1"/>
  <c r="H508" i="1"/>
  <c r="H510" i="1"/>
  <c r="H512" i="1"/>
  <c r="H514" i="1"/>
  <c r="H516" i="1"/>
  <c r="H518" i="1"/>
  <c r="H520" i="1"/>
  <c r="H522" i="1"/>
  <c r="H524" i="1"/>
  <c r="H526" i="1"/>
  <c r="H528" i="1"/>
  <c r="H530" i="1"/>
  <c r="H532" i="1"/>
  <c r="H534" i="1"/>
  <c r="H536" i="1"/>
  <c r="H538" i="1"/>
  <c r="H540" i="1"/>
  <c r="H542" i="1"/>
  <c r="H544" i="1"/>
  <c r="H546" i="1"/>
  <c r="H548" i="1"/>
  <c r="H550" i="1"/>
  <c r="H552" i="1"/>
  <c r="H554" i="1"/>
  <c r="H556" i="1"/>
  <c r="H558" i="1"/>
  <c r="H560" i="1"/>
  <c r="H562" i="1"/>
  <c r="H564" i="1"/>
  <c r="H566" i="1"/>
  <c r="H568" i="1"/>
  <c r="H570" i="1"/>
  <c r="H572" i="1"/>
  <c r="H574" i="1"/>
  <c r="H576" i="1"/>
  <c r="H578" i="1"/>
  <c r="H580" i="1"/>
  <c r="H582" i="1"/>
  <c r="H584" i="1"/>
  <c r="H586" i="1"/>
  <c r="H588" i="1"/>
  <c r="H590" i="1"/>
  <c r="H1001" i="1"/>
  <c r="H999" i="1"/>
  <c r="H997" i="1"/>
  <c r="H995" i="1"/>
  <c r="H993" i="1"/>
  <c r="H991" i="1"/>
  <c r="H989" i="1"/>
  <c r="H987" i="1"/>
  <c r="H985" i="1"/>
  <c r="H983" i="1"/>
  <c r="H981" i="1"/>
  <c r="H979" i="1"/>
  <c r="H977" i="1"/>
  <c r="H975" i="1"/>
  <c r="H973" i="1"/>
  <c r="H971" i="1"/>
  <c r="H969" i="1"/>
  <c r="H967" i="1"/>
  <c r="H965" i="1"/>
  <c r="H963" i="1"/>
  <c r="H961" i="1"/>
  <c r="H959" i="1"/>
  <c r="H957" i="1"/>
  <c r="H955" i="1"/>
  <c r="H953" i="1"/>
  <c r="H951" i="1"/>
  <c r="H949" i="1"/>
  <c r="H947" i="1"/>
  <c r="H945" i="1"/>
  <c r="H943" i="1"/>
  <c r="H941" i="1"/>
  <c r="H939" i="1"/>
  <c r="H937" i="1"/>
  <c r="H935" i="1"/>
  <c r="H933" i="1"/>
  <c r="H931" i="1"/>
  <c r="H929" i="1"/>
  <c r="H927" i="1"/>
  <c r="H925" i="1"/>
  <c r="H923" i="1"/>
  <c r="H921" i="1"/>
  <c r="H919" i="1"/>
  <c r="H917" i="1"/>
  <c r="H915" i="1"/>
  <c r="H913" i="1"/>
  <c r="H911" i="1"/>
  <c r="H909" i="1"/>
  <c r="H907" i="1"/>
  <c r="H905" i="1"/>
  <c r="H903" i="1"/>
  <c r="H901" i="1"/>
  <c r="H899" i="1"/>
  <c r="H897" i="1"/>
  <c r="H895" i="1"/>
  <c r="H893" i="1"/>
  <c r="H891" i="1"/>
  <c r="H889" i="1"/>
  <c r="H887" i="1"/>
  <c r="H885" i="1"/>
  <c r="H883" i="1"/>
  <c r="H881" i="1"/>
  <c r="H879" i="1"/>
  <c r="H877" i="1"/>
  <c r="H875" i="1"/>
  <c r="H873" i="1"/>
  <c r="H871" i="1"/>
  <c r="H869" i="1"/>
  <c r="H867" i="1"/>
  <c r="H865" i="1"/>
  <c r="H863" i="1"/>
  <c r="H861" i="1"/>
  <c r="H859" i="1"/>
  <c r="H857" i="1"/>
  <c r="H855" i="1"/>
  <c r="H853" i="1"/>
  <c r="H851" i="1"/>
  <c r="H849" i="1"/>
  <c r="H847" i="1"/>
  <c r="H845" i="1"/>
  <c r="H843" i="1"/>
  <c r="H841" i="1"/>
  <c r="H839" i="1"/>
  <c r="H837" i="1"/>
  <c r="H835" i="1"/>
  <c r="H833" i="1"/>
  <c r="H831" i="1"/>
  <c r="H829" i="1"/>
  <c r="H827" i="1"/>
  <c r="H825" i="1"/>
  <c r="H823" i="1"/>
  <c r="H821" i="1"/>
  <c r="H819" i="1"/>
  <c r="H817" i="1"/>
  <c r="H815" i="1"/>
  <c r="H813" i="1"/>
  <c r="H811" i="1"/>
  <c r="H809" i="1"/>
  <c r="H807" i="1"/>
  <c r="H805" i="1"/>
  <c r="H803" i="1"/>
  <c r="H801" i="1"/>
  <c r="H799" i="1"/>
  <c r="H797" i="1"/>
  <c r="H795" i="1"/>
  <c r="H793" i="1"/>
  <c r="H791" i="1"/>
  <c r="H789" i="1"/>
  <c r="H787" i="1"/>
  <c r="H785" i="1"/>
  <c r="H783" i="1"/>
  <c r="H781" i="1"/>
  <c r="H779" i="1"/>
  <c r="H777" i="1"/>
  <c r="H775" i="1"/>
  <c r="H773" i="1"/>
  <c r="H771" i="1"/>
  <c r="H769" i="1"/>
  <c r="H767" i="1"/>
  <c r="H765" i="1"/>
  <c r="H763" i="1"/>
  <c r="H761" i="1"/>
  <c r="H759" i="1"/>
  <c r="H757" i="1"/>
  <c r="H755" i="1"/>
  <c r="H753" i="1"/>
  <c r="H751" i="1"/>
  <c r="H749" i="1"/>
  <c r="H747" i="1"/>
  <c r="H745" i="1"/>
  <c r="H743" i="1"/>
  <c r="H741" i="1"/>
  <c r="H739" i="1"/>
  <c r="H737" i="1"/>
  <c r="H735" i="1"/>
  <c r="H733" i="1"/>
  <c r="H731" i="1"/>
  <c r="H729" i="1"/>
  <c r="H727" i="1"/>
  <c r="H725" i="1"/>
  <c r="H723" i="1"/>
  <c r="H721" i="1"/>
  <c r="H719" i="1"/>
  <c r="H717" i="1"/>
  <c r="H715" i="1"/>
  <c r="H713" i="1"/>
  <c r="H711" i="1"/>
  <c r="H709" i="1"/>
  <c r="H707" i="1"/>
  <c r="H705" i="1"/>
  <c r="H703" i="1"/>
  <c r="H701" i="1"/>
  <c r="H699" i="1"/>
  <c r="H697" i="1"/>
  <c r="H695" i="1"/>
  <c r="H693" i="1"/>
  <c r="H691" i="1"/>
  <c r="H689" i="1"/>
  <c r="H687" i="1"/>
  <c r="H685" i="1"/>
  <c r="H683" i="1"/>
  <c r="H681" i="1"/>
  <c r="H679" i="1"/>
  <c r="H677" i="1"/>
  <c r="H675" i="1"/>
  <c r="H673" i="1"/>
  <c r="H671" i="1"/>
  <c r="H669" i="1"/>
  <c r="H667" i="1"/>
  <c r="H665" i="1"/>
  <c r="H663" i="1"/>
  <c r="H661" i="1"/>
  <c r="H659" i="1"/>
  <c r="H657" i="1"/>
  <c r="H655" i="1"/>
  <c r="H653" i="1"/>
  <c r="H651" i="1"/>
  <c r="H649" i="1"/>
  <c r="H647" i="1"/>
  <c r="H645" i="1"/>
  <c r="H643" i="1"/>
  <c r="H641" i="1"/>
  <c r="H639" i="1"/>
  <c r="H637" i="1"/>
  <c r="H635" i="1"/>
  <c r="H633" i="1"/>
  <c r="H631" i="1"/>
  <c r="H629" i="1"/>
  <c r="H627" i="1"/>
  <c r="H625" i="1"/>
  <c r="H623" i="1"/>
  <c r="H621" i="1"/>
  <c r="H619" i="1"/>
  <c r="H617" i="1"/>
  <c r="H615" i="1"/>
  <c r="H613" i="1"/>
  <c r="H611" i="1"/>
  <c r="H609" i="1"/>
  <c r="H607" i="1"/>
  <c r="H605" i="1"/>
  <c r="H603" i="1"/>
  <c r="H601" i="1"/>
  <c r="H599" i="1"/>
  <c r="H597" i="1"/>
  <c r="H595" i="1"/>
  <c r="H593" i="1"/>
  <c r="H591" i="1"/>
  <c r="M9" i="2"/>
  <c r="M6" i="2"/>
  <c r="M4" i="2"/>
  <c r="M7" i="2"/>
  <c r="M5" i="2"/>
  <c r="F68" i="2" s="1"/>
  <c r="M3" i="2"/>
  <c r="F146" i="2" l="1"/>
  <c r="F365" i="2"/>
  <c r="F179" i="2"/>
  <c r="I179" i="2" s="1"/>
  <c r="F353" i="2"/>
  <c r="F230" i="2"/>
  <c r="I230" i="2" s="1"/>
  <c r="F73" i="2"/>
  <c r="I73" i="2" s="1"/>
  <c r="F151" i="2"/>
  <c r="I151" i="2" s="1"/>
  <c r="F137" i="2"/>
  <c r="I137" i="2" s="1"/>
  <c r="F215" i="2"/>
  <c r="I215" i="2" s="1"/>
  <c r="F243" i="2"/>
  <c r="I243" i="2" s="1"/>
  <c r="F374" i="2"/>
  <c r="I374" i="2" s="1"/>
  <c r="F252" i="2"/>
  <c r="I252" i="2" s="1"/>
  <c r="F173" i="2"/>
  <c r="I173" i="2" s="1"/>
  <c r="F216" i="2"/>
  <c r="I216" i="2" s="1"/>
  <c r="F256" i="2"/>
  <c r="I256" i="2" s="1"/>
  <c r="F226" i="2"/>
  <c r="I226" i="2" s="1"/>
  <c r="F307" i="2"/>
  <c r="I307" i="2" s="1"/>
  <c r="F188" i="2"/>
  <c r="I188" i="2" s="1"/>
  <c r="F96" i="2"/>
  <c r="I96" i="2" s="1"/>
  <c r="F279" i="2"/>
  <c r="I279" i="2" s="1"/>
  <c r="F290" i="2"/>
  <c r="I290" i="2" s="1"/>
  <c r="F371" i="2"/>
  <c r="I371" i="2" s="1"/>
  <c r="F348" i="2"/>
  <c r="I348" i="2" s="1"/>
  <c r="F45" i="2"/>
  <c r="I45" i="2" s="1"/>
  <c r="F343" i="2"/>
  <c r="I343" i="2" s="1"/>
  <c r="F161" i="2"/>
  <c r="F20" i="2"/>
  <c r="I20" i="2" s="1"/>
  <c r="F392" i="2"/>
  <c r="I392" i="2" s="1"/>
  <c r="F54" i="2"/>
  <c r="I54" i="2" s="1"/>
  <c r="F376" i="2"/>
  <c r="I376" i="2" s="1"/>
  <c r="F354" i="2"/>
  <c r="F136" i="2"/>
  <c r="I136" i="2" s="1"/>
  <c r="F109" i="2"/>
  <c r="I109" i="2" s="1"/>
  <c r="F18" i="2"/>
  <c r="F225" i="2"/>
  <c r="I225" i="2" s="1"/>
  <c r="F164" i="2"/>
  <c r="I164" i="2" s="1"/>
  <c r="F51" i="2"/>
  <c r="I51" i="2" s="1"/>
  <c r="F182" i="2"/>
  <c r="I182" i="2" s="1"/>
  <c r="F237" i="2"/>
  <c r="I237" i="2" s="1"/>
  <c r="F23" i="2"/>
  <c r="I23" i="2" s="1"/>
  <c r="F9" i="2"/>
  <c r="I9" i="2" s="1"/>
  <c r="F82" i="2"/>
  <c r="I82" i="2" s="1"/>
  <c r="F289" i="2"/>
  <c r="I289" i="2" s="1"/>
  <c r="F372" i="2"/>
  <c r="I372" i="2" s="1"/>
  <c r="F115" i="2"/>
  <c r="I115" i="2" s="1"/>
  <c r="F294" i="2"/>
  <c r="I294" i="2" s="1"/>
  <c r="F301" i="2"/>
  <c r="I301" i="2" s="1"/>
  <c r="F94" i="2"/>
  <c r="I94" i="2" s="1"/>
  <c r="F87" i="2"/>
  <c r="I146" i="2"/>
  <c r="I353" i="2"/>
  <c r="I365" i="2"/>
  <c r="I161" i="2"/>
  <c r="I18" i="2"/>
  <c r="I68" i="2"/>
  <c r="I354" i="2"/>
  <c r="I87" i="2"/>
  <c r="I11" i="4"/>
  <c r="I59" i="4"/>
  <c r="I267" i="4"/>
  <c r="I286" i="4"/>
  <c r="I430" i="4"/>
  <c r="I226" i="4"/>
  <c r="I651" i="4"/>
  <c r="I467" i="4"/>
  <c r="I578" i="4"/>
  <c r="I688" i="4"/>
  <c r="F49" i="2"/>
  <c r="I49" i="2" s="1"/>
  <c r="F113" i="2"/>
  <c r="I113" i="2" s="1"/>
  <c r="F58" i="2"/>
  <c r="I58" i="2" s="1"/>
  <c r="F122" i="2"/>
  <c r="I122" i="2" s="1"/>
  <c r="I814" i="4"/>
  <c r="F201" i="2"/>
  <c r="I201" i="2" s="1"/>
  <c r="F265" i="2"/>
  <c r="I265" i="2" s="1"/>
  <c r="F329" i="2"/>
  <c r="I329" i="2" s="1"/>
  <c r="F393" i="2"/>
  <c r="I393" i="2" s="1"/>
  <c r="F356" i="2"/>
  <c r="I356" i="2" s="1"/>
  <c r="F202" i="2"/>
  <c r="I202" i="2" s="1"/>
  <c r="F266" i="2"/>
  <c r="I266" i="2" s="1"/>
  <c r="F330" i="2"/>
  <c r="I330" i="2" s="1"/>
  <c r="F394" i="2"/>
  <c r="I394" i="2" s="1"/>
  <c r="F108" i="2"/>
  <c r="I108" i="2" s="1"/>
  <c r="F268" i="2"/>
  <c r="I268" i="2" s="1"/>
  <c r="F120" i="2"/>
  <c r="I120" i="2" s="1"/>
  <c r="F400" i="2"/>
  <c r="I400" i="2" s="1"/>
  <c r="I689" i="4"/>
  <c r="F27" i="2"/>
  <c r="I27" i="2" s="1"/>
  <c r="F91" i="2"/>
  <c r="I91" i="2" s="1"/>
  <c r="F155" i="2"/>
  <c r="I155" i="2" s="1"/>
  <c r="F219" i="2"/>
  <c r="I219" i="2" s="1"/>
  <c r="F283" i="2"/>
  <c r="I283" i="2" s="1"/>
  <c r="F347" i="2"/>
  <c r="I347" i="2" s="1"/>
  <c r="I730" i="4"/>
  <c r="F48" i="2"/>
  <c r="I48" i="2" s="1"/>
  <c r="F296" i="2"/>
  <c r="I296" i="2" s="1"/>
  <c r="F28" i="2"/>
  <c r="I28" i="2" s="1"/>
  <c r="F140" i="2"/>
  <c r="I140" i="2" s="1"/>
  <c r="F276" i="2"/>
  <c r="I276" i="2" s="1"/>
  <c r="F22" i="2"/>
  <c r="I22" i="2" s="1"/>
  <c r="F134" i="2"/>
  <c r="I134" i="2" s="1"/>
  <c r="F254" i="2"/>
  <c r="I254" i="2" s="1"/>
  <c r="F366" i="2"/>
  <c r="I366" i="2" s="1"/>
  <c r="I709" i="4"/>
  <c r="I969" i="4"/>
  <c r="I762" i="4"/>
  <c r="I694" i="4"/>
  <c r="F21" i="2"/>
  <c r="I21" i="2" s="1"/>
  <c r="F85" i="2"/>
  <c r="I85" i="2" s="1"/>
  <c r="F149" i="2"/>
  <c r="I149" i="2" s="1"/>
  <c r="F213" i="2"/>
  <c r="I213" i="2" s="1"/>
  <c r="F277" i="2"/>
  <c r="I277" i="2" s="1"/>
  <c r="F341" i="2"/>
  <c r="I341" i="2" s="1"/>
  <c r="F288" i="2"/>
  <c r="I288" i="2" s="1"/>
  <c r="F38" i="2"/>
  <c r="I38" i="2" s="1"/>
  <c r="F174" i="2"/>
  <c r="I174" i="2" s="1"/>
  <c r="F318" i="2"/>
  <c r="I318" i="2" s="1"/>
  <c r="F63" i="2"/>
  <c r="I63" i="2" s="1"/>
  <c r="F127" i="2"/>
  <c r="I127" i="2" s="1"/>
  <c r="F191" i="2"/>
  <c r="I191" i="2" s="1"/>
  <c r="F255" i="2"/>
  <c r="I255" i="2" s="1"/>
  <c r="F319" i="2"/>
  <c r="I319" i="2" s="1"/>
  <c r="F383" i="2"/>
  <c r="I383" i="2" s="1"/>
  <c r="F144" i="2"/>
  <c r="I144" i="2" s="1"/>
  <c r="I606" i="4"/>
  <c r="I859" i="4"/>
  <c r="I4" i="4"/>
  <c r="I302" i="4"/>
  <c r="I384" i="4"/>
  <c r="I431" i="4"/>
  <c r="I774" i="4"/>
  <c r="I790" i="4"/>
  <c r="I469" i="4"/>
  <c r="I822" i="4"/>
  <c r="I923" i="4"/>
  <c r="I321" i="4"/>
  <c r="I281" i="4"/>
  <c r="I234" i="4"/>
  <c r="I109" i="4"/>
  <c r="I126" i="4"/>
  <c r="I62" i="4"/>
  <c r="I674" i="4"/>
  <c r="F57" i="2"/>
  <c r="I57" i="2" s="1"/>
  <c r="F121" i="2"/>
  <c r="I121" i="2" s="1"/>
  <c r="F66" i="2"/>
  <c r="I66" i="2" s="1"/>
  <c r="F130" i="2"/>
  <c r="I130" i="2" s="1"/>
  <c r="F209" i="2"/>
  <c r="I209" i="2" s="1"/>
  <c r="F273" i="2"/>
  <c r="I273" i="2" s="1"/>
  <c r="F337" i="2"/>
  <c r="I337" i="2" s="1"/>
  <c r="F401" i="2"/>
  <c r="I401" i="2" s="1"/>
  <c r="F380" i="2"/>
  <c r="I380" i="2" s="1"/>
  <c r="F210" i="2"/>
  <c r="I210" i="2" s="1"/>
  <c r="F274" i="2"/>
  <c r="I274" i="2" s="1"/>
  <c r="F338" i="2"/>
  <c r="I338" i="2" s="1"/>
  <c r="F2" i="2"/>
  <c r="I2" i="2" s="1"/>
  <c r="I995" i="4"/>
  <c r="F124" i="2"/>
  <c r="I124" i="2" s="1"/>
  <c r="F292" i="2"/>
  <c r="I292" i="2" s="1"/>
  <c r="F152" i="2"/>
  <c r="I152" i="2" s="1"/>
  <c r="F35" i="2"/>
  <c r="I35" i="2" s="1"/>
  <c r="F99" i="2"/>
  <c r="I99" i="2" s="1"/>
  <c r="F163" i="2"/>
  <c r="I163" i="2" s="1"/>
  <c r="F227" i="2"/>
  <c r="I227" i="2" s="1"/>
  <c r="F291" i="2"/>
  <c r="I291" i="2" s="1"/>
  <c r="F355" i="2"/>
  <c r="I355" i="2" s="1"/>
  <c r="F88" i="2"/>
  <c r="I88" i="2" s="1"/>
  <c r="F328" i="2"/>
  <c r="I328" i="2" s="1"/>
  <c r="F36" i="2"/>
  <c r="I36" i="2" s="1"/>
  <c r="F156" i="2"/>
  <c r="I156" i="2" s="1"/>
  <c r="F300" i="2"/>
  <c r="I300" i="2" s="1"/>
  <c r="F30" i="2"/>
  <c r="I30" i="2" s="1"/>
  <c r="F150" i="2"/>
  <c r="I150" i="2" s="1"/>
  <c r="F270" i="2"/>
  <c r="I270" i="2" s="1"/>
  <c r="F382" i="2"/>
  <c r="I382" i="2" s="1"/>
  <c r="I550" i="4"/>
  <c r="F29" i="2"/>
  <c r="I29" i="2" s="1"/>
  <c r="F93" i="2"/>
  <c r="I93" i="2" s="1"/>
  <c r="F157" i="2"/>
  <c r="I157" i="2" s="1"/>
  <c r="F221" i="2"/>
  <c r="I221" i="2" s="1"/>
  <c r="F285" i="2"/>
  <c r="I285" i="2" s="1"/>
  <c r="F349" i="2"/>
  <c r="I349" i="2" s="1"/>
  <c r="F24" i="2"/>
  <c r="I24" i="2" s="1"/>
  <c r="F320" i="2"/>
  <c r="I320" i="2" s="1"/>
  <c r="I766" i="4"/>
  <c r="F62" i="2"/>
  <c r="I62" i="2" s="1"/>
  <c r="F190" i="2"/>
  <c r="I190" i="2" s="1"/>
  <c r="F334" i="2"/>
  <c r="I334" i="2" s="1"/>
  <c r="I882" i="4"/>
  <c r="I944" i="4"/>
  <c r="F7" i="2"/>
  <c r="I7" i="2" s="1"/>
  <c r="F71" i="2"/>
  <c r="I71" i="2" s="1"/>
  <c r="F135" i="2"/>
  <c r="I135" i="2" s="1"/>
  <c r="F199" i="2"/>
  <c r="I199" i="2" s="1"/>
  <c r="F263" i="2"/>
  <c r="I263" i="2" s="1"/>
  <c r="F327" i="2"/>
  <c r="I327" i="2" s="1"/>
  <c r="F391" i="2"/>
  <c r="I391" i="2" s="1"/>
  <c r="F176" i="2"/>
  <c r="I176" i="2" s="1"/>
  <c r="I582" i="4"/>
  <c r="I662" i="4"/>
  <c r="I189" i="4"/>
  <c r="I270" i="4"/>
  <c r="I214" i="4"/>
  <c r="I230" i="4"/>
  <c r="I471" i="4"/>
  <c r="F65" i="2"/>
  <c r="I65" i="2" s="1"/>
  <c r="F129" i="2"/>
  <c r="I129" i="2" s="1"/>
  <c r="F10" i="2"/>
  <c r="I10" i="2" s="1"/>
  <c r="F74" i="2"/>
  <c r="I74" i="2" s="1"/>
  <c r="F138" i="2"/>
  <c r="I138" i="2" s="1"/>
  <c r="F217" i="2"/>
  <c r="I217" i="2" s="1"/>
  <c r="F281" i="2"/>
  <c r="I281" i="2" s="1"/>
  <c r="F345" i="2"/>
  <c r="I345" i="2" s="1"/>
  <c r="F212" i="2"/>
  <c r="I212" i="2" s="1"/>
  <c r="F396" i="2"/>
  <c r="I396" i="2" s="1"/>
  <c r="I834" i="4"/>
  <c r="F218" i="2"/>
  <c r="I218" i="2" s="1"/>
  <c r="F282" i="2"/>
  <c r="I282" i="2" s="1"/>
  <c r="F346" i="2"/>
  <c r="I346" i="2" s="1"/>
  <c r="F12" i="2"/>
  <c r="I12" i="2" s="1"/>
  <c r="F148" i="2"/>
  <c r="I148" i="2" s="1"/>
  <c r="F332" i="2"/>
  <c r="I332" i="2" s="1"/>
  <c r="F184" i="2"/>
  <c r="I184" i="2" s="1"/>
  <c r="F43" i="2"/>
  <c r="I43" i="2" s="1"/>
  <c r="F107" i="2"/>
  <c r="I107" i="2" s="1"/>
  <c r="F171" i="2"/>
  <c r="I171" i="2" s="1"/>
  <c r="F235" i="2"/>
  <c r="I235" i="2" s="1"/>
  <c r="F299" i="2"/>
  <c r="I299" i="2" s="1"/>
  <c r="F363" i="2"/>
  <c r="I363" i="2" s="1"/>
  <c r="F112" i="2"/>
  <c r="I112" i="2" s="1"/>
  <c r="F352" i="2"/>
  <c r="I352" i="2" s="1"/>
  <c r="F52" i="2"/>
  <c r="I52" i="2" s="1"/>
  <c r="F172" i="2"/>
  <c r="I172" i="2" s="1"/>
  <c r="F324" i="2"/>
  <c r="I324" i="2" s="1"/>
  <c r="F46" i="2"/>
  <c r="I46" i="2" s="1"/>
  <c r="F166" i="2"/>
  <c r="I166" i="2" s="1"/>
  <c r="F286" i="2"/>
  <c r="I286" i="2" s="1"/>
  <c r="F398" i="2"/>
  <c r="I398" i="2" s="1"/>
  <c r="I948" i="4"/>
  <c r="I542" i="4"/>
  <c r="I738" i="4"/>
  <c r="F37" i="2"/>
  <c r="I37" i="2" s="1"/>
  <c r="F101" i="2"/>
  <c r="I101" i="2" s="1"/>
  <c r="F165" i="2"/>
  <c r="I165" i="2" s="1"/>
  <c r="F229" i="2"/>
  <c r="I229" i="2" s="1"/>
  <c r="F293" i="2"/>
  <c r="I293" i="2" s="1"/>
  <c r="F357" i="2"/>
  <c r="I357" i="2" s="1"/>
  <c r="F64" i="2"/>
  <c r="I64" i="2" s="1"/>
  <c r="F360" i="2"/>
  <c r="I360" i="2" s="1"/>
  <c r="F78" i="2"/>
  <c r="I78" i="2" s="1"/>
  <c r="F214" i="2"/>
  <c r="I214" i="2" s="1"/>
  <c r="F350" i="2"/>
  <c r="I350" i="2" s="1"/>
  <c r="F15" i="2"/>
  <c r="I15" i="2" s="1"/>
  <c r="F79" i="2"/>
  <c r="I79" i="2" s="1"/>
  <c r="F143" i="2"/>
  <c r="I143" i="2" s="1"/>
  <c r="F207" i="2"/>
  <c r="I207" i="2" s="1"/>
  <c r="F271" i="2"/>
  <c r="I271" i="2" s="1"/>
  <c r="F335" i="2"/>
  <c r="I335" i="2" s="1"/>
  <c r="F399" i="2"/>
  <c r="I399" i="2" s="1"/>
  <c r="F200" i="2"/>
  <c r="I200" i="2" s="1"/>
  <c r="F232" i="2"/>
  <c r="I232" i="2" s="1"/>
  <c r="I478" i="4"/>
  <c r="I494" i="4"/>
  <c r="I785" i="4"/>
  <c r="I913" i="4"/>
  <c r="I31" i="4"/>
  <c r="I75" i="4"/>
  <c r="I107" i="4"/>
  <c r="I131" i="4"/>
  <c r="I342" i="4"/>
  <c r="I378" i="4"/>
  <c r="I218" i="4"/>
  <c r="I440" i="4"/>
  <c r="I669" i="4"/>
  <c r="F17" i="2"/>
  <c r="I17" i="2" s="1"/>
  <c r="F81" i="2"/>
  <c r="I81" i="2" s="1"/>
  <c r="F145" i="2"/>
  <c r="I145" i="2" s="1"/>
  <c r="F26" i="2"/>
  <c r="I26" i="2" s="1"/>
  <c r="F90" i="2"/>
  <c r="I90" i="2" s="1"/>
  <c r="F154" i="2"/>
  <c r="I154" i="2" s="1"/>
  <c r="F169" i="2"/>
  <c r="I169" i="2" s="1"/>
  <c r="F233" i="2"/>
  <c r="I233" i="2" s="1"/>
  <c r="F297" i="2"/>
  <c r="I297" i="2" s="1"/>
  <c r="F361" i="2"/>
  <c r="I361" i="2" s="1"/>
  <c r="F284" i="2"/>
  <c r="I284" i="2" s="1"/>
  <c r="F344" i="2"/>
  <c r="I344" i="2" s="1"/>
  <c r="F234" i="2"/>
  <c r="I234" i="2" s="1"/>
  <c r="F298" i="2"/>
  <c r="I298" i="2" s="1"/>
  <c r="F362" i="2"/>
  <c r="I362" i="2" s="1"/>
  <c r="I940" i="4"/>
  <c r="F44" i="2"/>
  <c r="I44" i="2" s="1"/>
  <c r="F180" i="2"/>
  <c r="I180" i="2" s="1"/>
  <c r="F248" i="2"/>
  <c r="I248" i="2" s="1"/>
  <c r="F59" i="2"/>
  <c r="I59" i="2" s="1"/>
  <c r="F123" i="2"/>
  <c r="I123" i="2" s="1"/>
  <c r="F187" i="2"/>
  <c r="I187" i="2" s="1"/>
  <c r="F251" i="2"/>
  <c r="I251" i="2" s="1"/>
  <c r="F315" i="2"/>
  <c r="I315" i="2" s="1"/>
  <c r="F379" i="2"/>
  <c r="I379" i="2" s="1"/>
  <c r="F160" i="2"/>
  <c r="I160" i="2" s="1"/>
  <c r="F84" i="2"/>
  <c r="I84" i="2" s="1"/>
  <c r="F204" i="2"/>
  <c r="I204" i="2" s="1"/>
  <c r="F364" i="2"/>
  <c r="I364" i="2" s="1"/>
  <c r="F70" i="2"/>
  <c r="I70" i="2" s="1"/>
  <c r="F198" i="2"/>
  <c r="I198" i="2" s="1"/>
  <c r="F310" i="2"/>
  <c r="I310" i="2" s="1"/>
  <c r="I710" i="4"/>
  <c r="I754" i="4"/>
  <c r="I554" i="4"/>
  <c r="I693" i="4"/>
  <c r="F53" i="2"/>
  <c r="I53" i="2" s="1"/>
  <c r="F117" i="2"/>
  <c r="I117" i="2" s="1"/>
  <c r="F181" i="2"/>
  <c r="I181" i="2" s="1"/>
  <c r="F245" i="2"/>
  <c r="I245" i="2" s="1"/>
  <c r="F309" i="2"/>
  <c r="I309" i="2" s="1"/>
  <c r="F373" i="2"/>
  <c r="I373" i="2" s="1"/>
  <c r="F128" i="2"/>
  <c r="I128" i="2" s="1"/>
  <c r="F110" i="2"/>
  <c r="I110" i="2" s="1"/>
  <c r="F246" i="2"/>
  <c r="I246" i="2" s="1"/>
  <c r="F390" i="2"/>
  <c r="I390" i="2" s="1"/>
  <c r="F31" i="2"/>
  <c r="I31" i="2" s="1"/>
  <c r="F95" i="2"/>
  <c r="I95" i="2" s="1"/>
  <c r="F159" i="2"/>
  <c r="I159" i="2" s="1"/>
  <c r="F223" i="2"/>
  <c r="I223" i="2" s="1"/>
  <c r="F287" i="2"/>
  <c r="I287" i="2" s="1"/>
  <c r="F351" i="2"/>
  <c r="I351" i="2" s="1"/>
  <c r="I701" i="4"/>
  <c r="F8" i="2"/>
  <c r="I8" i="2" s="1"/>
  <c r="F272" i="2"/>
  <c r="I272" i="2" s="1"/>
  <c r="I209" i="4"/>
  <c r="I225" i="4"/>
  <c r="I241" i="4"/>
  <c r="I652" i="4"/>
  <c r="I43" i="4"/>
  <c r="I87" i="4"/>
  <c r="I439" i="4"/>
  <c r="I782" i="4"/>
  <c r="I610" i="4"/>
  <c r="I722" i="4"/>
  <c r="I381" i="4"/>
  <c r="I343" i="4"/>
  <c r="I301" i="4"/>
  <c r="I133" i="4"/>
  <c r="I94" i="4"/>
  <c r="I30" i="4"/>
  <c r="I681" i="4"/>
  <c r="F25" i="2"/>
  <c r="I25" i="2" s="1"/>
  <c r="F89" i="2"/>
  <c r="I89" i="2" s="1"/>
  <c r="F153" i="2"/>
  <c r="I153" i="2" s="1"/>
  <c r="F34" i="2"/>
  <c r="I34" i="2" s="1"/>
  <c r="F98" i="2"/>
  <c r="I98" i="2" s="1"/>
  <c r="F162" i="2"/>
  <c r="I162" i="2" s="1"/>
  <c r="F177" i="2"/>
  <c r="I177" i="2" s="1"/>
  <c r="F241" i="2"/>
  <c r="I241" i="2" s="1"/>
  <c r="F305" i="2"/>
  <c r="I305" i="2" s="1"/>
  <c r="F369" i="2"/>
  <c r="I369" i="2" s="1"/>
  <c r="F308" i="2"/>
  <c r="I308" i="2" s="1"/>
  <c r="F384" i="2"/>
  <c r="I384" i="2" s="1"/>
  <c r="F178" i="2"/>
  <c r="I178" i="2" s="1"/>
  <c r="F242" i="2"/>
  <c r="I242" i="2" s="1"/>
  <c r="F306" i="2"/>
  <c r="I306" i="2" s="1"/>
  <c r="F370" i="2"/>
  <c r="I370" i="2" s="1"/>
  <c r="F60" i="2"/>
  <c r="I60" i="2" s="1"/>
  <c r="F196" i="2"/>
  <c r="I196" i="2" s="1"/>
  <c r="F32" i="2"/>
  <c r="I32" i="2" s="1"/>
  <c r="F280" i="2"/>
  <c r="I280" i="2" s="1"/>
  <c r="F3" i="2"/>
  <c r="I3" i="2" s="1"/>
  <c r="F67" i="2"/>
  <c r="I67" i="2" s="1"/>
  <c r="F131" i="2"/>
  <c r="I131" i="2" s="1"/>
  <c r="F195" i="2"/>
  <c r="I195" i="2" s="1"/>
  <c r="F259" i="2"/>
  <c r="I259" i="2" s="1"/>
  <c r="F323" i="2"/>
  <c r="I323" i="2" s="1"/>
  <c r="F387" i="2"/>
  <c r="I387" i="2" s="1"/>
  <c r="I952" i="4"/>
  <c r="F192" i="2"/>
  <c r="I192" i="2" s="1"/>
  <c r="I590" i="4"/>
  <c r="F100" i="2"/>
  <c r="I100" i="2" s="1"/>
  <c r="F228" i="2"/>
  <c r="I228" i="2" s="1"/>
  <c r="F388" i="2"/>
  <c r="I388" i="2" s="1"/>
  <c r="F86" i="2"/>
  <c r="I86" i="2" s="1"/>
  <c r="F206" i="2"/>
  <c r="I206" i="2" s="1"/>
  <c r="F326" i="2"/>
  <c r="I326" i="2" s="1"/>
  <c r="I798" i="4"/>
  <c r="I702" i="4"/>
  <c r="I986" i="4"/>
  <c r="I924" i="4"/>
  <c r="I749" i="4"/>
  <c r="I902" i="4"/>
  <c r="F61" i="2"/>
  <c r="I61" i="2" s="1"/>
  <c r="F125" i="2"/>
  <c r="I125" i="2" s="1"/>
  <c r="F189" i="2"/>
  <c r="I189" i="2" s="1"/>
  <c r="F253" i="2"/>
  <c r="I253" i="2" s="1"/>
  <c r="F317" i="2"/>
  <c r="I317" i="2" s="1"/>
  <c r="F381" i="2"/>
  <c r="I381" i="2" s="1"/>
  <c r="F168" i="2"/>
  <c r="I168" i="2" s="1"/>
  <c r="F126" i="2"/>
  <c r="I126" i="2" s="1"/>
  <c r="F262" i="2"/>
  <c r="I262" i="2" s="1"/>
  <c r="F39" i="2"/>
  <c r="I39" i="2" s="1"/>
  <c r="F103" i="2"/>
  <c r="I103" i="2" s="1"/>
  <c r="F167" i="2"/>
  <c r="I167" i="2" s="1"/>
  <c r="F231" i="2"/>
  <c r="I231" i="2" s="1"/>
  <c r="F295" i="2"/>
  <c r="I295" i="2" s="1"/>
  <c r="F359" i="2"/>
  <c r="I359" i="2" s="1"/>
  <c r="F40" i="2"/>
  <c r="I40" i="2" s="1"/>
  <c r="F304" i="2"/>
  <c r="I304" i="2" s="1"/>
  <c r="I211" i="4"/>
  <c r="I789" i="4"/>
  <c r="I67" i="4"/>
  <c r="I99" i="4"/>
  <c r="I415" i="4"/>
  <c r="I534" i="4"/>
  <c r="I673" i="4"/>
  <c r="I685" i="4"/>
  <c r="I705" i="4"/>
  <c r="I678" i="4"/>
  <c r="F33" i="2"/>
  <c r="I33" i="2" s="1"/>
  <c r="F97" i="2"/>
  <c r="I97" i="2" s="1"/>
  <c r="F42" i="2"/>
  <c r="I42" i="2" s="1"/>
  <c r="F106" i="2"/>
  <c r="I106" i="2" s="1"/>
  <c r="F170" i="2"/>
  <c r="I170" i="2" s="1"/>
  <c r="F185" i="2"/>
  <c r="I185" i="2" s="1"/>
  <c r="F249" i="2"/>
  <c r="I249" i="2" s="1"/>
  <c r="F313" i="2"/>
  <c r="I313" i="2" s="1"/>
  <c r="F377" i="2"/>
  <c r="I377" i="2" s="1"/>
  <c r="F316" i="2"/>
  <c r="I316" i="2" s="1"/>
  <c r="I965" i="4"/>
  <c r="F186" i="2"/>
  <c r="I186" i="2" s="1"/>
  <c r="F250" i="2"/>
  <c r="I250" i="2" s="1"/>
  <c r="F314" i="2"/>
  <c r="I314" i="2" s="1"/>
  <c r="F378" i="2"/>
  <c r="I378" i="2" s="1"/>
  <c r="F76" i="2"/>
  <c r="I76" i="2" s="1"/>
  <c r="F220" i="2"/>
  <c r="I220" i="2" s="1"/>
  <c r="F56" i="2"/>
  <c r="I56" i="2" s="1"/>
  <c r="F312" i="2"/>
  <c r="I312" i="2" s="1"/>
  <c r="F11" i="2"/>
  <c r="I11" i="2" s="1"/>
  <c r="F75" i="2"/>
  <c r="I75" i="2" s="1"/>
  <c r="F139" i="2"/>
  <c r="I139" i="2" s="1"/>
  <c r="F203" i="2"/>
  <c r="I203" i="2" s="1"/>
  <c r="F267" i="2"/>
  <c r="I267" i="2" s="1"/>
  <c r="F331" i="2"/>
  <c r="I331" i="2" s="1"/>
  <c r="F395" i="2"/>
  <c r="I395" i="2" s="1"/>
  <c r="F224" i="2"/>
  <c r="I224" i="2" s="1"/>
  <c r="F116" i="2"/>
  <c r="I116" i="2" s="1"/>
  <c r="F236" i="2"/>
  <c r="I236" i="2" s="1"/>
  <c r="F102" i="2"/>
  <c r="I102" i="2" s="1"/>
  <c r="F222" i="2"/>
  <c r="I222" i="2" s="1"/>
  <c r="F342" i="2"/>
  <c r="I342" i="2" s="1"/>
  <c r="I870" i="4"/>
  <c r="F5" i="2"/>
  <c r="I5" i="2" s="1"/>
  <c r="F69" i="2"/>
  <c r="I69" i="2" s="1"/>
  <c r="F133" i="2"/>
  <c r="I133" i="2" s="1"/>
  <c r="F197" i="2"/>
  <c r="I197" i="2" s="1"/>
  <c r="F261" i="2"/>
  <c r="I261" i="2" s="1"/>
  <c r="F325" i="2"/>
  <c r="I325" i="2" s="1"/>
  <c r="F389" i="2"/>
  <c r="I389" i="2" s="1"/>
  <c r="F208" i="2"/>
  <c r="I208" i="2" s="1"/>
  <c r="I983" i="4"/>
  <c r="F142" i="2"/>
  <c r="I142" i="2" s="1"/>
  <c r="F278" i="2"/>
  <c r="I278" i="2" s="1"/>
  <c r="F47" i="2"/>
  <c r="I47" i="2" s="1"/>
  <c r="F111" i="2"/>
  <c r="I111" i="2" s="1"/>
  <c r="F175" i="2"/>
  <c r="I175" i="2" s="1"/>
  <c r="F239" i="2"/>
  <c r="I239" i="2" s="1"/>
  <c r="F303" i="2"/>
  <c r="I303" i="2" s="1"/>
  <c r="F367" i="2"/>
  <c r="I367" i="2" s="1"/>
  <c r="F72" i="2"/>
  <c r="I72" i="2" s="1"/>
  <c r="F336" i="2"/>
  <c r="I336" i="2" s="1"/>
  <c r="I47" i="4"/>
  <c r="I79" i="4"/>
  <c r="I443" i="4"/>
  <c r="I459" i="4"/>
  <c r="I242" i="4"/>
  <c r="I291" i="4"/>
  <c r="I355" i="4"/>
  <c r="I470" i="4"/>
  <c r="I665" i="4"/>
  <c r="I466" i="4"/>
  <c r="I558" i="4"/>
  <c r="I720" i="4"/>
  <c r="I125" i="4"/>
  <c r="I45" i="4"/>
  <c r="I78" i="4"/>
  <c r="F41" i="2"/>
  <c r="I41" i="2" s="1"/>
  <c r="F105" i="2"/>
  <c r="I105" i="2" s="1"/>
  <c r="F50" i="2"/>
  <c r="I50" i="2" s="1"/>
  <c r="F114" i="2"/>
  <c r="I114" i="2" s="1"/>
  <c r="F193" i="2"/>
  <c r="I193" i="2" s="1"/>
  <c r="F257" i="2"/>
  <c r="I257" i="2" s="1"/>
  <c r="F321" i="2"/>
  <c r="I321" i="2" s="1"/>
  <c r="F385" i="2"/>
  <c r="I385" i="2" s="1"/>
  <c r="F340" i="2"/>
  <c r="I340" i="2" s="1"/>
  <c r="F194" i="2"/>
  <c r="I194" i="2" s="1"/>
  <c r="F258" i="2"/>
  <c r="I258" i="2" s="1"/>
  <c r="F322" i="2"/>
  <c r="I322" i="2" s="1"/>
  <c r="F386" i="2"/>
  <c r="I386" i="2" s="1"/>
  <c r="I990" i="4"/>
  <c r="F92" i="2"/>
  <c r="I92" i="2" s="1"/>
  <c r="F244" i="2"/>
  <c r="I244" i="2" s="1"/>
  <c r="F80" i="2"/>
  <c r="I80" i="2" s="1"/>
  <c r="F368" i="2"/>
  <c r="I368" i="2" s="1"/>
  <c r="F19" i="2"/>
  <c r="I19" i="2" s="1"/>
  <c r="F83" i="2"/>
  <c r="I83" i="2" s="1"/>
  <c r="F147" i="2"/>
  <c r="I147" i="2" s="1"/>
  <c r="F211" i="2"/>
  <c r="I211" i="2" s="1"/>
  <c r="F275" i="2"/>
  <c r="I275" i="2" s="1"/>
  <c r="F339" i="2"/>
  <c r="I339" i="2" s="1"/>
  <c r="I698" i="4"/>
  <c r="F16" i="2"/>
  <c r="I16" i="2" s="1"/>
  <c r="F264" i="2"/>
  <c r="I264" i="2" s="1"/>
  <c r="F4" i="2"/>
  <c r="I4" i="2" s="1"/>
  <c r="F132" i="2"/>
  <c r="I132" i="2" s="1"/>
  <c r="F260" i="2"/>
  <c r="I260" i="2" s="1"/>
  <c r="F6" i="2"/>
  <c r="I6" i="2" s="1"/>
  <c r="F118" i="2"/>
  <c r="I118" i="2" s="1"/>
  <c r="F238" i="2"/>
  <c r="I238" i="2" s="1"/>
  <c r="F358" i="2"/>
  <c r="I358" i="2" s="1"/>
  <c r="I955" i="4"/>
  <c r="I838" i="4"/>
  <c r="F13" i="2"/>
  <c r="I13" i="2" s="1"/>
  <c r="F77" i="2"/>
  <c r="I77" i="2" s="1"/>
  <c r="F141" i="2"/>
  <c r="I141" i="2" s="1"/>
  <c r="F205" i="2"/>
  <c r="I205" i="2" s="1"/>
  <c r="F269" i="2"/>
  <c r="I269" i="2" s="1"/>
  <c r="F333" i="2"/>
  <c r="I333" i="2" s="1"/>
  <c r="F397" i="2"/>
  <c r="I397" i="2" s="1"/>
  <c r="F240" i="2"/>
  <c r="I240" i="2" s="1"/>
  <c r="F14" i="2"/>
  <c r="I14" i="2" s="1"/>
  <c r="F158" i="2"/>
  <c r="I158" i="2" s="1"/>
  <c r="F302" i="2"/>
  <c r="I302" i="2" s="1"/>
  <c r="F55" i="2"/>
  <c r="I55" i="2" s="1"/>
  <c r="F119" i="2"/>
  <c r="I119" i="2" s="1"/>
  <c r="F183" i="2"/>
  <c r="I183" i="2" s="1"/>
  <c r="F247" i="2"/>
  <c r="I247" i="2" s="1"/>
  <c r="F311" i="2"/>
  <c r="I311" i="2" s="1"/>
  <c r="F375" i="2"/>
  <c r="I375" i="2" s="1"/>
  <c r="F104" i="2"/>
  <c r="I104" i="2" s="1"/>
  <c r="I645" i="4"/>
  <c r="I649" i="4"/>
  <c r="I661" i="4"/>
  <c r="I567" i="4"/>
  <c r="I518" i="4"/>
  <c r="I35" i="4"/>
  <c r="I287" i="4"/>
  <c r="I351" i="4"/>
  <c r="I8" i="4"/>
  <c r="I14" i="4"/>
  <c r="I28" i="4"/>
  <c r="I171" i="4"/>
  <c r="I185" i="4"/>
  <c r="I193" i="4"/>
  <c r="I5" i="4"/>
  <c r="I21" i="4"/>
  <c r="I55" i="4"/>
  <c r="I255" i="4"/>
  <c r="I263" i="4"/>
  <c r="I331" i="4"/>
  <c r="I359" i="4"/>
  <c r="I371" i="4"/>
  <c r="I16" i="4"/>
  <c r="I22" i="4"/>
  <c r="I25" i="4"/>
  <c r="I36" i="4"/>
  <c r="I44" i="4"/>
  <c r="I52" i="4"/>
  <c r="I60" i="4"/>
  <c r="I68" i="4"/>
  <c r="I76" i="4"/>
  <c r="I84" i="4"/>
  <c r="I92" i="4"/>
  <c r="I100" i="4"/>
  <c r="I108" i="4"/>
  <c r="I116" i="4"/>
  <c r="I124" i="4"/>
  <c r="I132" i="4"/>
  <c r="I137" i="4"/>
  <c r="I139" i="4"/>
  <c r="I14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80" i="4"/>
  <c r="I182" i="4"/>
  <c r="I184" i="4"/>
  <c r="I190" i="4"/>
  <c r="I192" i="4"/>
  <c r="I194" i="4"/>
  <c r="I196" i="4"/>
  <c r="I3" i="4"/>
  <c r="I39" i="4"/>
  <c r="I63" i="4"/>
  <c r="I103" i="4"/>
  <c r="I111" i="4"/>
  <c r="I119" i="4"/>
  <c r="I135" i="4"/>
  <c r="I339" i="4"/>
  <c r="I6" i="4"/>
  <c r="I12" i="4"/>
  <c r="I15" i="4"/>
  <c r="I26" i="4"/>
  <c r="I32" i="4"/>
  <c r="I40" i="4"/>
  <c r="I48" i="4"/>
  <c r="I56" i="4"/>
  <c r="I64" i="4"/>
  <c r="I72" i="4"/>
  <c r="I80" i="4"/>
  <c r="I88" i="4"/>
  <c r="I96" i="4"/>
  <c r="I104" i="4"/>
  <c r="I112" i="4"/>
  <c r="I120" i="4"/>
  <c r="I128" i="4"/>
  <c r="I136" i="4"/>
  <c r="I138" i="4"/>
  <c r="I140" i="4"/>
  <c r="I142" i="4"/>
  <c r="I144" i="4"/>
  <c r="I146" i="4"/>
  <c r="I148" i="4"/>
  <c r="I150" i="4"/>
  <c r="I152" i="4"/>
  <c r="I154" i="4"/>
  <c r="I156" i="4"/>
  <c r="I158" i="4"/>
  <c r="I160" i="4"/>
  <c r="I162" i="4"/>
  <c r="I164" i="4"/>
  <c r="I166" i="4"/>
  <c r="I168" i="4"/>
  <c r="I173" i="4"/>
  <c r="I175" i="4"/>
  <c r="I177" i="4"/>
  <c r="I179" i="4"/>
  <c r="I181" i="4"/>
  <c r="I183" i="4"/>
  <c r="I187" i="4"/>
  <c r="I191" i="4"/>
  <c r="I195" i="4"/>
  <c r="I51" i="4"/>
  <c r="I83" i="4"/>
  <c r="I115" i="4"/>
  <c r="I123" i="4"/>
  <c r="I319" i="4"/>
  <c r="B2" i="1"/>
  <c r="C2" i="1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2" i="3"/>
  <c r="B15" i="1" l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2" i="3"/>
  <c r="M7" i="1" l="1"/>
  <c r="M5" i="1"/>
  <c r="M4" i="1"/>
  <c r="F987" i="1" s="1"/>
  <c r="I987" i="1" s="1"/>
  <c r="M9" i="1"/>
  <c r="M6" i="1"/>
  <c r="F991" i="1" s="1"/>
  <c r="I991" i="1" s="1"/>
  <c r="M3" i="1"/>
  <c r="F983" i="1"/>
  <c r="I983" i="1" s="1"/>
  <c r="F979" i="1"/>
  <c r="I979" i="1" s="1"/>
  <c r="F945" i="1"/>
  <c r="I945" i="1" s="1"/>
  <c r="F941" i="1"/>
  <c r="I941" i="1" s="1"/>
  <c r="F903" i="1"/>
  <c r="I903" i="1" s="1"/>
  <c r="F891" i="1"/>
  <c r="I891" i="1" s="1"/>
  <c r="F853" i="1"/>
  <c r="I853" i="1" s="1"/>
  <c r="F847" i="1"/>
  <c r="I847" i="1" s="1"/>
  <c r="F803" i="1"/>
  <c r="I803" i="1" s="1"/>
  <c r="F799" i="1"/>
  <c r="I799" i="1" s="1"/>
  <c r="F757" i="1"/>
  <c r="I757" i="1" s="1"/>
  <c r="F753" i="1"/>
  <c r="I753" i="1" s="1"/>
  <c r="F717" i="1"/>
  <c r="I717" i="1" s="1"/>
  <c r="F713" i="1"/>
  <c r="I713" i="1" s="1"/>
  <c r="F980" i="1"/>
  <c r="I980" i="1" s="1"/>
  <c r="F974" i="1"/>
  <c r="I974" i="1" s="1"/>
  <c r="F938" i="1"/>
  <c r="I938" i="1" s="1"/>
  <c r="F930" i="1"/>
  <c r="I930" i="1" s="1"/>
  <c r="F886" i="1"/>
  <c r="I886" i="1" s="1"/>
  <c r="F882" i="1"/>
  <c r="I882" i="1" s="1"/>
  <c r="F852" i="1"/>
  <c r="I852" i="1" s="1"/>
  <c r="F850" i="1"/>
  <c r="I850" i="1" s="1"/>
  <c r="F822" i="1"/>
  <c r="I822" i="1" s="1"/>
  <c r="F820" i="1"/>
  <c r="I820" i="1" s="1"/>
  <c r="F804" i="1"/>
  <c r="I804" i="1" s="1"/>
  <c r="F802" i="1"/>
  <c r="I802" i="1" s="1"/>
  <c r="F788" i="1"/>
  <c r="I788" i="1" s="1"/>
  <c r="F786" i="1"/>
  <c r="I786" i="1" s="1"/>
  <c r="F768" i="1"/>
  <c r="I768" i="1" s="1"/>
  <c r="F766" i="1"/>
  <c r="I766" i="1" s="1"/>
  <c r="F742" i="1"/>
  <c r="I742" i="1" s="1"/>
  <c r="F738" i="1"/>
  <c r="I738" i="1" s="1"/>
  <c r="F720" i="1"/>
  <c r="I720" i="1" s="1"/>
  <c r="F718" i="1"/>
  <c r="I718" i="1" s="1"/>
  <c r="F698" i="1"/>
  <c r="I698" i="1" s="1"/>
  <c r="F694" i="1"/>
  <c r="I694" i="1" s="1"/>
  <c r="F677" i="1"/>
  <c r="I677" i="1" s="1"/>
  <c r="F675" i="1"/>
  <c r="I675" i="1" s="1"/>
  <c r="F651" i="1"/>
  <c r="I651" i="1" s="1"/>
  <c r="F649" i="1"/>
  <c r="I649" i="1" s="1"/>
  <c r="F633" i="1"/>
  <c r="I633" i="1" s="1"/>
  <c r="F631" i="1"/>
  <c r="I631" i="1" s="1"/>
  <c r="F615" i="1"/>
  <c r="I615" i="1" s="1"/>
  <c r="F611" i="1"/>
  <c r="I611" i="1" s="1"/>
  <c r="F587" i="1"/>
  <c r="I587" i="1" s="1"/>
  <c r="F583" i="1"/>
  <c r="I583" i="1" s="1"/>
  <c r="F563" i="1"/>
  <c r="I563" i="1" s="1"/>
  <c r="F559" i="1"/>
  <c r="I559" i="1" s="1"/>
  <c r="F539" i="1"/>
  <c r="I539" i="1" s="1"/>
  <c r="F535" i="1"/>
  <c r="I535" i="1" s="1"/>
  <c r="F515" i="1"/>
  <c r="I515" i="1" s="1"/>
  <c r="F513" i="1"/>
  <c r="I513" i="1" s="1"/>
  <c r="F493" i="1"/>
  <c r="I493" i="1" s="1"/>
  <c r="F491" i="1"/>
  <c r="I491" i="1" s="1"/>
  <c r="F469" i="1"/>
  <c r="I469" i="1" s="1"/>
  <c r="F467" i="1"/>
  <c r="I467" i="1" s="1"/>
  <c r="F447" i="1"/>
  <c r="I447" i="1" s="1"/>
  <c r="F445" i="1"/>
  <c r="I445" i="1" s="1"/>
  <c r="F427" i="1"/>
  <c r="I427" i="1" s="1"/>
  <c r="F423" i="1"/>
  <c r="I423" i="1" s="1"/>
  <c r="F403" i="1"/>
  <c r="I403" i="1" s="1"/>
  <c r="F401" i="1"/>
  <c r="I401" i="1" s="1"/>
  <c r="F383" i="1"/>
  <c r="I383" i="1" s="1"/>
  <c r="F381" i="1"/>
  <c r="I381" i="1" s="1"/>
  <c r="F367" i="1"/>
  <c r="I367" i="1" s="1"/>
  <c r="F365" i="1"/>
  <c r="I365" i="1" s="1"/>
  <c r="F351" i="1"/>
  <c r="I351" i="1" s="1"/>
  <c r="F349" i="1"/>
  <c r="I349" i="1" s="1"/>
  <c r="F335" i="1"/>
  <c r="I335" i="1" s="1"/>
  <c r="F333" i="1"/>
  <c r="I333" i="1" s="1"/>
  <c r="F319" i="1"/>
  <c r="I319" i="1" s="1"/>
  <c r="F317" i="1"/>
  <c r="I317" i="1" s="1"/>
  <c r="F303" i="1"/>
  <c r="I303" i="1" s="1"/>
  <c r="F301" i="1"/>
  <c r="I301" i="1" s="1"/>
  <c r="F287" i="1"/>
  <c r="I287" i="1" s="1"/>
  <c r="F285" i="1"/>
  <c r="I285" i="1" s="1"/>
  <c r="F271" i="1"/>
  <c r="I271" i="1" s="1"/>
  <c r="F269" i="1"/>
  <c r="I269" i="1" s="1"/>
  <c r="F255" i="1"/>
  <c r="I255" i="1" s="1"/>
  <c r="F253" i="1"/>
  <c r="I253" i="1" s="1"/>
  <c r="F239" i="1"/>
  <c r="I239" i="1" s="1"/>
  <c r="F237" i="1"/>
  <c r="I237" i="1" s="1"/>
  <c r="F223" i="1"/>
  <c r="I223" i="1" s="1"/>
  <c r="F221" i="1"/>
  <c r="I221" i="1" s="1"/>
  <c r="F207" i="1"/>
  <c r="I207" i="1" s="1"/>
  <c r="F205" i="1"/>
  <c r="I205" i="1" s="1"/>
  <c r="F191" i="1"/>
  <c r="I191" i="1" s="1"/>
  <c r="F189" i="1"/>
  <c r="I189" i="1" s="1"/>
  <c r="F175" i="1"/>
  <c r="I175" i="1" s="1"/>
  <c r="F173" i="1"/>
  <c r="I173" i="1" s="1"/>
  <c r="F159" i="1"/>
  <c r="I159" i="1" s="1"/>
  <c r="F157" i="1"/>
  <c r="I157" i="1" s="1"/>
  <c r="F143" i="1"/>
  <c r="I143" i="1" s="1"/>
  <c r="F141" i="1"/>
  <c r="I141" i="1" s="1"/>
  <c r="F127" i="1"/>
  <c r="I127" i="1" s="1"/>
  <c r="F125" i="1"/>
  <c r="I125" i="1" s="1"/>
  <c r="F111" i="1"/>
  <c r="I111" i="1" s="1"/>
  <c r="F109" i="1"/>
  <c r="I109" i="1" s="1"/>
  <c r="F95" i="1"/>
  <c r="I95" i="1" s="1"/>
  <c r="F93" i="1"/>
  <c r="I93" i="1" s="1"/>
  <c r="F79" i="1"/>
  <c r="I79" i="1" s="1"/>
  <c r="F77" i="1"/>
  <c r="I77" i="1" s="1"/>
  <c r="F63" i="1"/>
  <c r="I63" i="1" s="1"/>
  <c r="F61" i="1"/>
  <c r="I61" i="1" s="1"/>
  <c r="F47" i="1"/>
  <c r="I47" i="1" s="1"/>
  <c r="F45" i="1"/>
  <c r="I45" i="1" s="1"/>
  <c r="F31" i="1"/>
  <c r="I31" i="1" s="1"/>
  <c r="F29" i="1"/>
  <c r="I29" i="1" s="1"/>
  <c r="F15" i="1"/>
  <c r="I15" i="1" s="1"/>
  <c r="F13" i="1"/>
  <c r="I13" i="1" s="1"/>
  <c r="F680" i="1"/>
  <c r="I680" i="1" s="1"/>
  <c r="F678" i="1"/>
  <c r="I678" i="1" s="1"/>
  <c r="F664" i="1"/>
  <c r="I664" i="1" s="1"/>
  <c r="F662" i="1"/>
  <c r="I662" i="1" s="1"/>
  <c r="F648" i="1"/>
  <c r="I648" i="1" s="1"/>
  <c r="F646" i="1"/>
  <c r="I646" i="1" s="1"/>
  <c r="F632" i="1"/>
  <c r="I632" i="1" s="1"/>
  <c r="F630" i="1"/>
  <c r="I630" i="1" s="1"/>
  <c r="F616" i="1"/>
  <c r="I616" i="1" s="1"/>
  <c r="F614" i="1"/>
  <c r="I614" i="1" s="1"/>
  <c r="F600" i="1"/>
  <c r="I600" i="1" s="1"/>
  <c r="F598" i="1"/>
  <c r="I598" i="1" s="1"/>
  <c r="F584" i="1"/>
  <c r="I584" i="1" s="1"/>
  <c r="F582" i="1"/>
  <c r="I582" i="1" s="1"/>
  <c r="F568" i="1"/>
  <c r="I568" i="1" s="1"/>
  <c r="F566" i="1"/>
  <c r="I566" i="1" s="1"/>
  <c r="F562" i="1"/>
  <c r="I562" i="1" s="1"/>
  <c r="F552" i="1"/>
  <c r="I552" i="1" s="1"/>
  <c r="F550" i="1"/>
  <c r="I550" i="1" s="1"/>
  <c r="F546" i="1"/>
  <c r="I546" i="1" s="1"/>
  <c r="F536" i="1"/>
  <c r="I536" i="1" s="1"/>
  <c r="F534" i="1"/>
  <c r="I534" i="1" s="1"/>
  <c r="F530" i="1"/>
  <c r="I530" i="1" s="1"/>
  <c r="F520" i="1"/>
  <c r="I520" i="1" s="1"/>
  <c r="F518" i="1"/>
  <c r="I518" i="1" s="1"/>
  <c r="F514" i="1"/>
  <c r="I514" i="1" s="1"/>
  <c r="F504" i="1"/>
  <c r="I504" i="1" s="1"/>
  <c r="F502" i="1"/>
  <c r="I502" i="1" s="1"/>
  <c r="F498" i="1"/>
  <c r="I498" i="1" s="1"/>
  <c r="F488" i="1"/>
  <c r="I488" i="1" s="1"/>
  <c r="F486" i="1"/>
  <c r="I486" i="1" s="1"/>
  <c r="F482" i="1"/>
  <c r="I482" i="1" s="1"/>
  <c r="F472" i="1"/>
  <c r="I472" i="1" s="1"/>
  <c r="F470" i="1"/>
  <c r="I470" i="1" s="1"/>
  <c r="F466" i="1"/>
  <c r="I466" i="1" s="1"/>
  <c r="F456" i="1"/>
  <c r="I456" i="1" s="1"/>
  <c r="F454" i="1"/>
  <c r="I454" i="1" s="1"/>
  <c r="F450" i="1"/>
  <c r="I450" i="1" s="1"/>
  <c r="F440" i="1"/>
  <c r="I440" i="1" s="1"/>
  <c r="F438" i="1"/>
  <c r="I438" i="1" s="1"/>
  <c r="F434" i="1"/>
  <c r="I434" i="1" s="1"/>
  <c r="F424" i="1"/>
  <c r="I424" i="1" s="1"/>
  <c r="F422" i="1"/>
  <c r="I422" i="1" s="1"/>
  <c r="F418" i="1"/>
  <c r="I418" i="1" s="1"/>
  <c r="F412" i="1"/>
  <c r="I412" i="1" s="1"/>
  <c r="F408" i="1"/>
  <c r="I408" i="1" s="1"/>
  <c r="F406" i="1"/>
  <c r="I406" i="1" s="1"/>
  <c r="F402" i="1"/>
  <c r="I402" i="1" s="1"/>
  <c r="F396" i="1"/>
  <c r="I396" i="1" s="1"/>
  <c r="F392" i="1"/>
  <c r="I392" i="1" s="1"/>
  <c r="F390" i="1"/>
  <c r="I390" i="1" s="1"/>
  <c r="F386" i="1"/>
  <c r="I386" i="1" s="1"/>
  <c r="F380" i="1"/>
  <c r="I380" i="1" s="1"/>
  <c r="F376" i="1"/>
  <c r="I376" i="1" s="1"/>
  <c r="F374" i="1"/>
  <c r="I374" i="1" s="1"/>
  <c r="F370" i="1"/>
  <c r="I370" i="1" s="1"/>
  <c r="F364" i="1"/>
  <c r="I364" i="1" s="1"/>
  <c r="F360" i="1"/>
  <c r="I360" i="1" s="1"/>
  <c r="F358" i="1"/>
  <c r="I358" i="1" s="1"/>
  <c r="F354" i="1"/>
  <c r="I354" i="1" s="1"/>
  <c r="F348" i="1"/>
  <c r="I348" i="1" s="1"/>
  <c r="F344" i="1"/>
  <c r="I344" i="1" s="1"/>
  <c r="F342" i="1"/>
  <c r="I342" i="1" s="1"/>
  <c r="F338" i="1"/>
  <c r="I338" i="1" s="1"/>
  <c r="F332" i="1"/>
  <c r="I332" i="1" s="1"/>
  <c r="F328" i="1"/>
  <c r="I328" i="1" s="1"/>
  <c r="F326" i="1"/>
  <c r="I326" i="1" s="1"/>
  <c r="F322" i="1"/>
  <c r="I322" i="1" s="1"/>
  <c r="F316" i="1"/>
  <c r="I316" i="1" s="1"/>
  <c r="F312" i="1"/>
  <c r="I312" i="1" s="1"/>
  <c r="F310" i="1"/>
  <c r="I310" i="1" s="1"/>
  <c r="F306" i="1"/>
  <c r="I306" i="1" s="1"/>
  <c r="F300" i="1"/>
  <c r="I300" i="1" s="1"/>
  <c r="F296" i="1"/>
  <c r="I296" i="1" s="1"/>
  <c r="F294" i="1"/>
  <c r="I294" i="1" s="1"/>
  <c r="F290" i="1"/>
  <c r="I290" i="1" s="1"/>
  <c r="F284" i="1"/>
  <c r="I284" i="1" s="1"/>
  <c r="F280" i="1"/>
  <c r="I280" i="1" s="1"/>
  <c r="F278" i="1"/>
  <c r="I278" i="1" s="1"/>
  <c r="F274" i="1"/>
  <c r="I274" i="1" s="1"/>
  <c r="F268" i="1"/>
  <c r="I268" i="1" s="1"/>
  <c r="F264" i="1"/>
  <c r="I264" i="1" s="1"/>
  <c r="F262" i="1"/>
  <c r="I262" i="1" s="1"/>
  <c r="F258" i="1"/>
  <c r="I258" i="1" s="1"/>
  <c r="F252" i="1"/>
  <c r="I252" i="1" s="1"/>
  <c r="F248" i="1"/>
  <c r="I248" i="1" s="1"/>
  <c r="F246" i="1"/>
  <c r="I246" i="1" s="1"/>
  <c r="F242" i="1"/>
  <c r="I242" i="1" s="1"/>
  <c r="F240" i="1"/>
  <c r="I240" i="1" s="1"/>
  <c r="F236" i="1"/>
  <c r="I236" i="1" s="1"/>
  <c r="F232" i="1"/>
  <c r="I232" i="1" s="1"/>
  <c r="F230" i="1"/>
  <c r="I230" i="1" s="1"/>
  <c r="F226" i="1"/>
  <c r="I226" i="1" s="1"/>
  <c r="F224" i="1"/>
  <c r="I224" i="1" s="1"/>
  <c r="F220" i="1"/>
  <c r="I220" i="1" s="1"/>
  <c r="F216" i="1"/>
  <c r="I216" i="1" s="1"/>
  <c r="F214" i="1"/>
  <c r="I214" i="1" s="1"/>
  <c r="F210" i="1"/>
  <c r="I210" i="1" s="1"/>
  <c r="F208" i="1"/>
  <c r="I208" i="1" s="1"/>
  <c r="F204" i="1"/>
  <c r="I204" i="1" s="1"/>
  <c r="F200" i="1"/>
  <c r="I200" i="1" s="1"/>
  <c r="F198" i="1"/>
  <c r="I198" i="1" s="1"/>
  <c r="F194" i="1"/>
  <c r="I194" i="1" s="1"/>
  <c r="F192" i="1"/>
  <c r="I192" i="1" s="1"/>
  <c r="F188" i="1"/>
  <c r="I188" i="1" s="1"/>
  <c r="F184" i="1"/>
  <c r="I184" i="1" s="1"/>
  <c r="F182" i="1"/>
  <c r="I182" i="1" s="1"/>
  <c r="F178" i="1"/>
  <c r="I178" i="1" s="1"/>
  <c r="F176" i="1"/>
  <c r="I176" i="1" s="1"/>
  <c r="F172" i="1"/>
  <c r="I172" i="1" s="1"/>
  <c r="F168" i="1"/>
  <c r="I168" i="1" s="1"/>
  <c r="F166" i="1"/>
  <c r="I166" i="1" s="1"/>
  <c r="F162" i="1"/>
  <c r="I162" i="1" s="1"/>
  <c r="F160" i="1"/>
  <c r="I160" i="1" s="1"/>
  <c r="F156" i="1"/>
  <c r="I156" i="1" s="1"/>
  <c r="F152" i="1"/>
  <c r="I152" i="1" s="1"/>
  <c r="F150" i="1"/>
  <c r="I150" i="1" s="1"/>
  <c r="F146" i="1"/>
  <c r="I146" i="1" s="1"/>
  <c r="F144" i="1"/>
  <c r="I144" i="1" s="1"/>
  <c r="F140" i="1"/>
  <c r="I140" i="1" s="1"/>
  <c r="F136" i="1"/>
  <c r="I136" i="1" s="1"/>
  <c r="F134" i="1"/>
  <c r="I134" i="1" s="1"/>
  <c r="F130" i="1"/>
  <c r="I130" i="1" s="1"/>
  <c r="F128" i="1"/>
  <c r="I128" i="1" s="1"/>
  <c r="F124" i="1"/>
  <c r="I124" i="1" s="1"/>
  <c r="F120" i="1"/>
  <c r="I120" i="1" s="1"/>
  <c r="F118" i="1"/>
  <c r="I118" i="1" s="1"/>
  <c r="F114" i="1"/>
  <c r="I114" i="1" s="1"/>
  <c r="F112" i="1"/>
  <c r="I112" i="1" s="1"/>
  <c r="F108" i="1"/>
  <c r="I108" i="1" s="1"/>
  <c r="F104" i="1"/>
  <c r="I104" i="1" s="1"/>
  <c r="F102" i="1"/>
  <c r="I102" i="1" s="1"/>
  <c r="F98" i="1"/>
  <c r="I98" i="1" s="1"/>
  <c r="F96" i="1"/>
  <c r="I96" i="1" s="1"/>
  <c r="F92" i="1"/>
  <c r="I92" i="1" s="1"/>
  <c r="F88" i="1"/>
  <c r="I88" i="1" s="1"/>
  <c r="F86" i="1"/>
  <c r="I86" i="1" s="1"/>
  <c r="F82" i="1"/>
  <c r="I82" i="1" s="1"/>
  <c r="F80" i="1"/>
  <c r="I80" i="1" s="1"/>
  <c r="F76" i="1"/>
  <c r="I76" i="1" s="1"/>
  <c r="F72" i="1"/>
  <c r="I72" i="1" s="1"/>
  <c r="F70" i="1"/>
  <c r="I70" i="1" s="1"/>
  <c r="F66" i="1"/>
  <c r="I66" i="1" s="1"/>
  <c r="F64" i="1"/>
  <c r="I64" i="1" s="1"/>
  <c r="F60" i="1"/>
  <c r="I60" i="1" s="1"/>
  <c r="F56" i="1"/>
  <c r="I56" i="1" s="1"/>
  <c r="F54" i="1"/>
  <c r="I54" i="1" s="1"/>
  <c r="F50" i="1"/>
  <c r="I50" i="1" s="1"/>
  <c r="F48" i="1"/>
  <c r="I48" i="1" s="1"/>
  <c r="F44" i="1"/>
  <c r="I44" i="1" s="1"/>
  <c r="F40" i="1"/>
  <c r="I40" i="1" s="1"/>
  <c r="F38" i="1"/>
  <c r="I38" i="1" s="1"/>
  <c r="F34" i="1"/>
  <c r="I34" i="1" s="1"/>
  <c r="F32" i="1"/>
  <c r="I32" i="1" s="1"/>
  <c r="F28" i="1"/>
  <c r="I28" i="1" s="1"/>
  <c r="F24" i="1"/>
  <c r="I24" i="1" s="1"/>
  <c r="F22" i="1"/>
  <c r="I22" i="1" s="1"/>
  <c r="F18" i="1"/>
  <c r="I18" i="1" s="1"/>
  <c r="F16" i="1"/>
  <c r="I16" i="1" s="1"/>
  <c r="F12" i="1"/>
  <c r="I12" i="1" s="1"/>
  <c r="F8" i="1"/>
  <c r="I8" i="1" s="1"/>
  <c r="F6" i="1"/>
  <c r="I6" i="1" s="1"/>
  <c r="F428" i="1" l="1"/>
  <c r="I428" i="1" s="1"/>
  <c r="F444" i="1"/>
  <c r="I444" i="1" s="1"/>
  <c r="F460" i="1"/>
  <c r="I460" i="1" s="1"/>
  <c r="F476" i="1"/>
  <c r="I476" i="1" s="1"/>
  <c r="F492" i="1"/>
  <c r="I492" i="1" s="1"/>
  <c r="F508" i="1"/>
  <c r="I508" i="1" s="1"/>
  <c r="F524" i="1"/>
  <c r="I524" i="1" s="1"/>
  <c r="F540" i="1"/>
  <c r="I540" i="1" s="1"/>
  <c r="F556" i="1"/>
  <c r="I556" i="1" s="1"/>
  <c r="F572" i="1"/>
  <c r="I572" i="1" s="1"/>
  <c r="F588" i="1"/>
  <c r="I588" i="1" s="1"/>
  <c r="F604" i="1"/>
  <c r="I604" i="1" s="1"/>
  <c r="F620" i="1"/>
  <c r="I620" i="1" s="1"/>
  <c r="F636" i="1"/>
  <c r="I636" i="1" s="1"/>
  <c r="F652" i="1"/>
  <c r="I652" i="1" s="1"/>
  <c r="F668" i="1"/>
  <c r="I668" i="1" s="1"/>
  <c r="F684" i="1"/>
  <c r="I684" i="1" s="1"/>
  <c r="F19" i="1"/>
  <c r="I19" i="1" s="1"/>
  <c r="F35" i="1"/>
  <c r="I35" i="1" s="1"/>
  <c r="F51" i="1"/>
  <c r="I51" i="1" s="1"/>
  <c r="F67" i="1"/>
  <c r="I67" i="1" s="1"/>
  <c r="F83" i="1"/>
  <c r="I83" i="1" s="1"/>
  <c r="F99" i="1"/>
  <c r="I99" i="1" s="1"/>
  <c r="F115" i="1"/>
  <c r="I115" i="1" s="1"/>
  <c r="F131" i="1"/>
  <c r="I131" i="1" s="1"/>
  <c r="F147" i="1"/>
  <c r="I147" i="1" s="1"/>
  <c r="F163" i="1"/>
  <c r="I163" i="1" s="1"/>
  <c r="F179" i="1"/>
  <c r="I179" i="1" s="1"/>
  <c r="F195" i="1"/>
  <c r="I195" i="1" s="1"/>
  <c r="F211" i="1"/>
  <c r="I211" i="1" s="1"/>
  <c r="F227" i="1"/>
  <c r="I227" i="1" s="1"/>
  <c r="F243" i="1"/>
  <c r="I243" i="1" s="1"/>
  <c r="F259" i="1"/>
  <c r="I259" i="1" s="1"/>
  <c r="F275" i="1"/>
  <c r="I275" i="1" s="1"/>
  <c r="F291" i="1"/>
  <c r="I291" i="1" s="1"/>
  <c r="F307" i="1"/>
  <c r="I307" i="1" s="1"/>
  <c r="F323" i="1"/>
  <c r="I323" i="1" s="1"/>
  <c r="F339" i="1"/>
  <c r="I339" i="1" s="1"/>
  <c r="F355" i="1"/>
  <c r="I355" i="1" s="1"/>
  <c r="F371" i="1"/>
  <c r="I371" i="1" s="1"/>
  <c r="F387" i="1"/>
  <c r="I387" i="1" s="1"/>
  <c r="F409" i="1"/>
  <c r="I409" i="1" s="1"/>
  <c r="F431" i="1"/>
  <c r="I431" i="1" s="1"/>
  <c r="F451" i="1"/>
  <c r="I451" i="1" s="1"/>
  <c r="F475" i="1"/>
  <c r="I475" i="1" s="1"/>
  <c r="F497" i="1"/>
  <c r="I497" i="1" s="1"/>
  <c r="F519" i="1"/>
  <c r="I519" i="1" s="1"/>
  <c r="F545" i="1"/>
  <c r="I545" i="1" s="1"/>
  <c r="F571" i="1"/>
  <c r="I571" i="1" s="1"/>
  <c r="F595" i="1"/>
  <c r="I595" i="1" s="1"/>
  <c r="F619" i="1"/>
  <c r="I619" i="1" s="1"/>
  <c r="F639" i="1"/>
  <c r="I639" i="1" s="1"/>
  <c r="F659" i="1"/>
  <c r="I659" i="1" s="1"/>
  <c r="F683" i="1"/>
  <c r="I683" i="1" s="1"/>
  <c r="F706" i="1"/>
  <c r="I706" i="1" s="1"/>
  <c r="F726" i="1"/>
  <c r="I726" i="1" s="1"/>
  <c r="F748" i="1"/>
  <c r="I748" i="1" s="1"/>
  <c r="F772" i="1"/>
  <c r="I772" i="1" s="1"/>
  <c r="F792" i="1"/>
  <c r="I792" i="1" s="1"/>
  <c r="F808" i="1"/>
  <c r="I808" i="1" s="1"/>
  <c r="F834" i="1"/>
  <c r="I834" i="1" s="1"/>
  <c r="F858" i="1"/>
  <c r="I858" i="1" s="1"/>
  <c r="F890" i="1"/>
  <c r="I890" i="1" s="1"/>
  <c r="F948" i="1"/>
  <c r="I948" i="1" s="1"/>
  <c r="F990" i="1"/>
  <c r="I990" i="1" s="1"/>
  <c r="F725" i="1"/>
  <c r="I725" i="1" s="1"/>
  <c r="F769" i="1"/>
  <c r="I769" i="1" s="1"/>
  <c r="F813" i="1"/>
  <c r="I813" i="1" s="1"/>
  <c r="F861" i="1"/>
  <c r="I861" i="1" s="1"/>
  <c r="F911" i="1"/>
  <c r="I911" i="1" s="1"/>
  <c r="F957" i="1"/>
  <c r="I957" i="1" s="1"/>
  <c r="F993" i="1"/>
  <c r="I993" i="1" s="1"/>
  <c r="F14" i="1"/>
  <c r="I14" i="1" s="1"/>
  <c r="F30" i="1"/>
  <c r="I30" i="1" s="1"/>
  <c r="F46" i="1"/>
  <c r="I46" i="1" s="1"/>
  <c r="F62" i="1"/>
  <c r="I62" i="1" s="1"/>
  <c r="F78" i="1"/>
  <c r="I78" i="1" s="1"/>
  <c r="F94" i="1"/>
  <c r="I94" i="1" s="1"/>
  <c r="F110" i="1"/>
  <c r="I110" i="1" s="1"/>
  <c r="F126" i="1"/>
  <c r="I126" i="1" s="1"/>
  <c r="F142" i="1"/>
  <c r="I142" i="1" s="1"/>
  <c r="F158" i="1"/>
  <c r="I158" i="1" s="1"/>
  <c r="F174" i="1"/>
  <c r="I174" i="1" s="1"/>
  <c r="F190" i="1"/>
  <c r="I190" i="1" s="1"/>
  <c r="F206" i="1"/>
  <c r="I206" i="1" s="1"/>
  <c r="F222" i="1"/>
  <c r="I222" i="1" s="1"/>
  <c r="F238" i="1"/>
  <c r="I238" i="1" s="1"/>
  <c r="F254" i="1"/>
  <c r="I254" i="1" s="1"/>
  <c r="F270" i="1"/>
  <c r="I270" i="1" s="1"/>
  <c r="F286" i="1"/>
  <c r="I286" i="1" s="1"/>
  <c r="F302" i="1"/>
  <c r="I302" i="1" s="1"/>
  <c r="F318" i="1"/>
  <c r="I318" i="1" s="1"/>
  <c r="F334" i="1"/>
  <c r="I334" i="1" s="1"/>
  <c r="F350" i="1"/>
  <c r="I350" i="1" s="1"/>
  <c r="F366" i="1"/>
  <c r="I366" i="1" s="1"/>
  <c r="F382" i="1"/>
  <c r="I382" i="1" s="1"/>
  <c r="F398" i="1"/>
  <c r="I398" i="1" s="1"/>
  <c r="F414" i="1"/>
  <c r="I414" i="1" s="1"/>
  <c r="F430" i="1"/>
  <c r="I430" i="1" s="1"/>
  <c r="F446" i="1"/>
  <c r="I446" i="1" s="1"/>
  <c r="F462" i="1"/>
  <c r="I462" i="1" s="1"/>
  <c r="F478" i="1"/>
  <c r="I478" i="1" s="1"/>
  <c r="F494" i="1"/>
  <c r="I494" i="1" s="1"/>
  <c r="F510" i="1"/>
  <c r="I510" i="1" s="1"/>
  <c r="F526" i="1"/>
  <c r="I526" i="1" s="1"/>
  <c r="F542" i="1"/>
  <c r="I542" i="1" s="1"/>
  <c r="F558" i="1"/>
  <c r="I558" i="1" s="1"/>
  <c r="F574" i="1"/>
  <c r="I574" i="1" s="1"/>
  <c r="F590" i="1"/>
  <c r="I590" i="1" s="1"/>
  <c r="F606" i="1"/>
  <c r="I606" i="1" s="1"/>
  <c r="F622" i="1"/>
  <c r="I622" i="1" s="1"/>
  <c r="F638" i="1"/>
  <c r="I638" i="1" s="1"/>
  <c r="F654" i="1"/>
  <c r="I654" i="1" s="1"/>
  <c r="F670" i="1"/>
  <c r="I670" i="1" s="1"/>
  <c r="F5" i="1"/>
  <c r="I5" i="1" s="1"/>
  <c r="F21" i="1"/>
  <c r="I21" i="1" s="1"/>
  <c r="F37" i="1"/>
  <c r="I37" i="1" s="1"/>
  <c r="F53" i="1"/>
  <c r="I53" i="1" s="1"/>
  <c r="F69" i="1"/>
  <c r="I69" i="1" s="1"/>
  <c r="F85" i="1"/>
  <c r="I85" i="1" s="1"/>
  <c r="F101" i="1"/>
  <c r="I101" i="1" s="1"/>
  <c r="F117" i="1"/>
  <c r="I117" i="1" s="1"/>
  <c r="F133" i="1"/>
  <c r="I133" i="1" s="1"/>
  <c r="F149" i="1"/>
  <c r="I149" i="1" s="1"/>
  <c r="F165" i="1"/>
  <c r="I165" i="1" s="1"/>
  <c r="F181" i="1"/>
  <c r="I181" i="1" s="1"/>
  <c r="F197" i="1"/>
  <c r="I197" i="1" s="1"/>
  <c r="F213" i="1"/>
  <c r="I213" i="1" s="1"/>
  <c r="F229" i="1"/>
  <c r="I229" i="1" s="1"/>
  <c r="F245" i="1"/>
  <c r="I245" i="1" s="1"/>
  <c r="F261" i="1"/>
  <c r="I261" i="1" s="1"/>
  <c r="F277" i="1"/>
  <c r="I277" i="1" s="1"/>
  <c r="F293" i="1"/>
  <c r="I293" i="1" s="1"/>
  <c r="F309" i="1"/>
  <c r="I309" i="1" s="1"/>
  <c r="F325" i="1"/>
  <c r="I325" i="1" s="1"/>
  <c r="F341" i="1"/>
  <c r="I341" i="1" s="1"/>
  <c r="F357" i="1"/>
  <c r="I357" i="1" s="1"/>
  <c r="F373" i="1"/>
  <c r="I373" i="1" s="1"/>
  <c r="F391" i="1"/>
  <c r="I391" i="1" s="1"/>
  <c r="F411" i="1"/>
  <c r="I411" i="1" s="1"/>
  <c r="F433" i="1"/>
  <c r="I433" i="1" s="1"/>
  <c r="F453" i="1"/>
  <c r="I453" i="1" s="1"/>
  <c r="F479" i="1"/>
  <c r="I479" i="1" s="1"/>
  <c r="F499" i="1"/>
  <c r="I499" i="1" s="1"/>
  <c r="F523" i="1"/>
  <c r="I523" i="1" s="1"/>
  <c r="F547" i="1"/>
  <c r="I547" i="1" s="1"/>
  <c r="F573" i="1"/>
  <c r="I573" i="1" s="1"/>
  <c r="F597" i="1"/>
  <c r="I597" i="1" s="1"/>
  <c r="F621" i="1"/>
  <c r="I621" i="1" s="1"/>
  <c r="F641" i="1"/>
  <c r="I641" i="1" s="1"/>
  <c r="F663" i="1"/>
  <c r="I663" i="1" s="1"/>
  <c r="F685" i="1"/>
  <c r="I685" i="1" s="1"/>
  <c r="F708" i="1"/>
  <c r="I708" i="1" s="1"/>
  <c r="F728" i="1"/>
  <c r="I728" i="1" s="1"/>
  <c r="F750" i="1"/>
  <c r="I750" i="1" s="1"/>
  <c r="F774" i="1"/>
  <c r="I774" i="1" s="1"/>
  <c r="F794" i="1"/>
  <c r="I794" i="1" s="1"/>
  <c r="F810" i="1"/>
  <c r="I810" i="1" s="1"/>
  <c r="F840" i="1"/>
  <c r="I840" i="1" s="1"/>
  <c r="F862" i="1"/>
  <c r="I862" i="1" s="1"/>
  <c r="F896" i="1"/>
  <c r="I896" i="1" s="1"/>
  <c r="F954" i="1"/>
  <c r="I954" i="1" s="1"/>
  <c r="F3" i="1"/>
  <c r="I3" i="1" s="1"/>
  <c r="F729" i="1"/>
  <c r="I729" i="1" s="1"/>
  <c r="F773" i="1"/>
  <c r="I773" i="1" s="1"/>
  <c r="F821" i="1"/>
  <c r="I821" i="1" s="1"/>
  <c r="F865" i="1"/>
  <c r="I865" i="1" s="1"/>
  <c r="F915" i="1"/>
  <c r="I915" i="1" s="1"/>
  <c r="F961" i="1"/>
  <c r="I961" i="1" s="1"/>
  <c r="F1001" i="1"/>
  <c r="I1001" i="1" s="1"/>
  <c r="F256" i="1"/>
  <c r="I256" i="1" s="1"/>
  <c r="F272" i="1"/>
  <c r="I272" i="1" s="1"/>
  <c r="F288" i="1"/>
  <c r="I288" i="1" s="1"/>
  <c r="F304" i="1"/>
  <c r="I304" i="1" s="1"/>
  <c r="F320" i="1"/>
  <c r="I320" i="1" s="1"/>
  <c r="F336" i="1"/>
  <c r="I336" i="1" s="1"/>
  <c r="F352" i="1"/>
  <c r="I352" i="1" s="1"/>
  <c r="F368" i="1"/>
  <c r="I368" i="1" s="1"/>
  <c r="F384" i="1"/>
  <c r="I384" i="1" s="1"/>
  <c r="F400" i="1"/>
  <c r="I400" i="1" s="1"/>
  <c r="F416" i="1"/>
  <c r="I416" i="1" s="1"/>
  <c r="F432" i="1"/>
  <c r="I432" i="1" s="1"/>
  <c r="F448" i="1"/>
  <c r="I448" i="1" s="1"/>
  <c r="F464" i="1"/>
  <c r="I464" i="1" s="1"/>
  <c r="F480" i="1"/>
  <c r="I480" i="1" s="1"/>
  <c r="F496" i="1"/>
  <c r="I496" i="1" s="1"/>
  <c r="F512" i="1"/>
  <c r="I512" i="1" s="1"/>
  <c r="F528" i="1"/>
  <c r="I528" i="1" s="1"/>
  <c r="F544" i="1"/>
  <c r="I544" i="1" s="1"/>
  <c r="F560" i="1"/>
  <c r="I560" i="1" s="1"/>
  <c r="F576" i="1"/>
  <c r="I576" i="1" s="1"/>
  <c r="F592" i="1"/>
  <c r="I592" i="1" s="1"/>
  <c r="F608" i="1"/>
  <c r="I608" i="1" s="1"/>
  <c r="F624" i="1"/>
  <c r="I624" i="1" s="1"/>
  <c r="F640" i="1"/>
  <c r="I640" i="1" s="1"/>
  <c r="F656" i="1"/>
  <c r="I656" i="1" s="1"/>
  <c r="F672" i="1"/>
  <c r="I672" i="1" s="1"/>
  <c r="F7" i="1"/>
  <c r="I7" i="1" s="1"/>
  <c r="F23" i="1"/>
  <c r="I23" i="1" s="1"/>
  <c r="F39" i="1"/>
  <c r="I39" i="1" s="1"/>
  <c r="F55" i="1"/>
  <c r="I55" i="1" s="1"/>
  <c r="F71" i="1"/>
  <c r="I71" i="1" s="1"/>
  <c r="F87" i="1"/>
  <c r="I87" i="1" s="1"/>
  <c r="F103" i="1"/>
  <c r="I103" i="1" s="1"/>
  <c r="F119" i="1"/>
  <c r="I119" i="1" s="1"/>
  <c r="F135" i="1"/>
  <c r="I135" i="1" s="1"/>
  <c r="F151" i="1"/>
  <c r="I151" i="1" s="1"/>
  <c r="F167" i="1"/>
  <c r="I167" i="1" s="1"/>
  <c r="F183" i="1"/>
  <c r="I183" i="1" s="1"/>
  <c r="F199" i="1"/>
  <c r="I199" i="1" s="1"/>
  <c r="F215" i="1"/>
  <c r="I215" i="1" s="1"/>
  <c r="F231" i="1"/>
  <c r="I231" i="1" s="1"/>
  <c r="F247" i="1"/>
  <c r="I247" i="1" s="1"/>
  <c r="F263" i="1"/>
  <c r="I263" i="1" s="1"/>
  <c r="F279" i="1"/>
  <c r="I279" i="1" s="1"/>
  <c r="F295" i="1"/>
  <c r="I295" i="1" s="1"/>
  <c r="F311" i="1"/>
  <c r="I311" i="1" s="1"/>
  <c r="F327" i="1"/>
  <c r="I327" i="1" s="1"/>
  <c r="F343" i="1"/>
  <c r="I343" i="1" s="1"/>
  <c r="F359" i="1"/>
  <c r="I359" i="1" s="1"/>
  <c r="F375" i="1"/>
  <c r="I375" i="1" s="1"/>
  <c r="F395" i="1"/>
  <c r="I395" i="1" s="1"/>
  <c r="F415" i="1"/>
  <c r="I415" i="1" s="1"/>
  <c r="F435" i="1"/>
  <c r="I435" i="1" s="1"/>
  <c r="F455" i="1"/>
  <c r="I455" i="1" s="1"/>
  <c r="F483" i="1"/>
  <c r="I483" i="1" s="1"/>
  <c r="F503" i="1"/>
  <c r="I503" i="1" s="1"/>
  <c r="F525" i="1"/>
  <c r="I525" i="1" s="1"/>
  <c r="F549" i="1"/>
  <c r="I549" i="1" s="1"/>
  <c r="F575" i="1"/>
  <c r="I575" i="1" s="1"/>
  <c r="F599" i="1"/>
  <c r="I599" i="1" s="1"/>
  <c r="F623" i="1"/>
  <c r="I623" i="1" s="1"/>
  <c r="F643" i="1"/>
  <c r="I643" i="1" s="1"/>
  <c r="F667" i="1"/>
  <c r="I667" i="1" s="1"/>
  <c r="F686" i="1"/>
  <c r="I686" i="1" s="1"/>
  <c r="F710" i="1"/>
  <c r="I710" i="1" s="1"/>
  <c r="F730" i="1"/>
  <c r="I730" i="1" s="1"/>
  <c r="F754" i="1"/>
  <c r="I754" i="1" s="1"/>
  <c r="F778" i="1"/>
  <c r="I778" i="1" s="1"/>
  <c r="F796" i="1"/>
  <c r="I796" i="1" s="1"/>
  <c r="F812" i="1"/>
  <c r="I812" i="1" s="1"/>
  <c r="F844" i="1"/>
  <c r="I844" i="1" s="1"/>
  <c r="F870" i="1"/>
  <c r="I870" i="1" s="1"/>
  <c r="F910" i="1"/>
  <c r="I910" i="1" s="1"/>
  <c r="F962" i="1"/>
  <c r="I962" i="1" s="1"/>
  <c r="F693" i="1"/>
  <c r="I693" i="1" s="1"/>
  <c r="F733" i="1"/>
  <c r="I733" i="1" s="1"/>
  <c r="F781" i="1"/>
  <c r="I781" i="1" s="1"/>
  <c r="F827" i="1"/>
  <c r="I827" i="1" s="1"/>
  <c r="F869" i="1"/>
  <c r="I869" i="1" s="1"/>
  <c r="F921" i="1"/>
  <c r="I921" i="1" s="1"/>
  <c r="F965" i="1"/>
  <c r="I965" i="1" s="1"/>
  <c r="F578" i="1"/>
  <c r="I578" i="1" s="1"/>
  <c r="F594" i="1"/>
  <c r="I594" i="1" s="1"/>
  <c r="F610" i="1"/>
  <c r="I610" i="1" s="1"/>
  <c r="F626" i="1"/>
  <c r="I626" i="1" s="1"/>
  <c r="F642" i="1"/>
  <c r="I642" i="1" s="1"/>
  <c r="F658" i="1"/>
  <c r="I658" i="1" s="1"/>
  <c r="F674" i="1"/>
  <c r="I674" i="1" s="1"/>
  <c r="F9" i="1"/>
  <c r="I9" i="1" s="1"/>
  <c r="F25" i="1"/>
  <c r="I25" i="1" s="1"/>
  <c r="F41" i="1"/>
  <c r="I41" i="1" s="1"/>
  <c r="F57" i="1"/>
  <c r="I57" i="1" s="1"/>
  <c r="F73" i="1"/>
  <c r="I73" i="1" s="1"/>
  <c r="F89" i="1"/>
  <c r="I89" i="1" s="1"/>
  <c r="F105" i="1"/>
  <c r="I105" i="1" s="1"/>
  <c r="F121" i="1"/>
  <c r="I121" i="1" s="1"/>
  <c r="F137" i="1"/>
  <c r="I137" i="1" s="1"/>
  <c r="F153" i="1"/>
  <c r="I153" i="1" s="1"/>
  <c r="F169" i="1"/>
  <c r="I169" i="1" s="1"/>
  <c r="F185" i="1"/>
  <c r="I185" i="1" s="1"/>
  <c r="F201" i="1"/>
  <c r="I201" i="1" s="1"/>
  <c r="F217" i="1"/>
  <c r="I217" i="1" s="1"/>
  <c r="F233" i="1"/>
  <c r="I233" i="1" s="1"/>
  <c r="F249" i="1"/>
  <c r="I249" i="1" s="1"/>
  <c r="F265" i="1"/>
  <c r="I265" i="1" s="1"/>
  <c r="F281" i="1"/>
  <c r="I281" i="1" s="1"/>
  <c r="F297" i="1"/>
  <c r="I297" i="1" s="1"/>
  <c r="F313" i="1"/>
  <c r="I313" i="1" s="1"/>
  <c r="F329" i="1"/>
  <c r="I329" i="1" s="1"/>
  <c r="F345" i="1"/>
  <c r="I345" i="1" s="1"/>
  <c r="F361" i="1"/>
  <c r="I361" i="1" s="1"/>
  <c r="F377" i="1"/>
  <c r="I377" i="1" s="1"/>
  <c r="F397" i="1"/>
  <c r="I397" i="1" s="1"/>
  <c r="F417" i="1"/>
  <c r="I417" i="1" s="1"/>
  <c r="F439" i="1"/>
  <c r="I439" i="1" s="1"/>
  <c r="F459" i="1"/>
  <c r="I459" i="1" s="1"/>
  <c r="F485" i="1"/>
  <c r="I485" i="1" s="1"/>
  <c r="F507" i="1"/>
  <c r="I507" i="1" s="1"/>
  <c r="F527" i="1"/>
  <c r="I527" i="1" s="1"/>
  <c r="F551" i="1"/>
  <c r="I551" i="1" s="1"/>
  <c r="F579" i="1"/>
  <c r="I579" i="1" s="1"/>
  <c r="F603" i="1"/>
  <c r="I603" i="1" s="1"/>
  <c r="F627" i="1"/>
  <c r="I627" i="1" s="1"/>
  <c r="F645" i="1"/>
  <c r="I645" i="1" s="1"/>
  <c r="F671" i="1"/>
  <c r="I671" i="1" s="1"/>
  <c r="F690" i="1"/>
  <c r="I690" i="1" s="1"/>
  <c r="F712" i="1"/>
  <c r="I712" i="1" s="1"/>
  <c r="F734" i="1"/>
  <c r="I734" i="1" s="1"/>
  <c r="F758" i="1"/>
  <c r="I758" i="1" s="1"/>
  <c r="F780" i="1"/>
  <c r="I780" i="1" s="1"/>
  <c r="F798" i="1"/>
  <c r="I798" i="1" s="1"/>
  <c r="F814" i="1"/>
  <c r="I814" i="1" s="1"/>
  <c r="F846" i="1"/>
  <c r="I846" i="1" s="1"/>
  <c r="F874" i="1"/>
  <c r="I874" i="1" s="1"/>
  <c r="F918" i="1"/>
  <c r="I918" i="1" s="1"/>
  <c r="F966" i="1"/>
  <c r="I966" i="1" s="1"/>
  <c r="F697" i="1"/>
  <c r="I697" i="1" s="1"/>
  <c r="F741" i="1"/>
  <c r="I741" i="1" s="1"/>
  <c r="F785" i="1"/>
  <c r="I785" i="1" s="1"/>
  <c r="F833" i="1"/>
  <c r="I833" i="1" s="1"/>
  <c r="F883" i="1"/>
  <c r="I883" i="1" s="1"/>
  <c r="F925" i="1"/>
  <c r="I925" i="1" s="1"/>
  <c r="F969" i="1"/>
  <c r="I969" i="1" s="1"/>
  <c r="F4" i="1"/>
  <c r="I4" i="1" s="1"/>
  <c r="F20" i="1"/>
  <c r="I20" i="1" s="1"/>
  <c r="F36" i="1"/>
  <c r="I36" i="1" s="1"/>
  <c r="F52" i="1"/>
  <c r="I52" i="1" s="1"/>
  <c r="F68" i="1"/>
  <c r="I68" i="1" s="1"/>
  <c r="F84" i="1"/>
  <c r="I84" i="1" s="1"/>
  <c r="F100" i="1"/>
  <c r="I100" i="1" s="1"/>
  <c r="F116" i="1"/>
  <c r="I116" i="1" s="1"/>
  <c r="F132" i="1"/>
  <c r="I132" i="1" s="1"/>
  <c r="F148" i="1"/>
  <c r="I148" i="1" s="1"/>
  <c r="F164" i="1"/>
  <c r="I164" i="1" s="1"/>
  <c r="F180" i="1"/>
  <c r="I180" i="1" s="1"/>
  <c r="F196" i="1"/>
  <c r="I196" i="1" s="1"/>
  <c r="F212" i="1"/>
  <c r="I212" i="1" s="1"/>
  <c r="F228" i="1"/>
  <c r="I228" i="1" s="1"/>
  <c r="F244" i="1"/>
  <c r="I244" i="1" s="1"/>
  <c r="F260" i="1"/>
  <c r="I260" i="1" s="1"/>
  <c r="F276" i="1"/>
  <c r="I276" i="1" s="1"/>
  <c r="F292" i="1"/>
  <c r="I292" i="1" s="1"/>
  <c r="F308" i="1"/>
  <c r="I308" i="1" s="1"/>
  <c r="F324" i="1"/>
  <c r="I324" i="1" s="1"/>
  <c r="F340" i="1"/>
  <c r="I340" i="1" s="1"/>
  <c r="F356" i="1"/>
  <c r="I356" i="1" s="1"/>
  <c r="F372" i="1"/>
  <c r="I372" i="1" s="1"/>
  <c r="F388" i="1"/>
  <c r="I388" i="1" s="1"/>
  <c r="F404" i="1"/>
  <c r="I404" i="1" s="1"/>
  <c r="F420" i="1"/>
  <c r="I420" i="1" s="1"/>
  <c r="F436" i="1"/>
  <c r="I436" i="1" s="1"/>
  <c r="F452" i="1"/>
  <c r="I452" i="1" s="1"/>
  <c r="F468" i="1"/>
  <c r="I468" i="1" s="1"/>
  <c r="F484" i="1"/>
  <c r="I484" i="1" s="1"/>
  <c r="F500" i="1"/>
  <c r="I500" i="1" s="1"/>
  <c r="F516" i="1"/>
  <c r="I516" i="1" s="1"/>
  <c r="F532" i="1"/>
  <c r="I532" i="1" s="1"/>
  <c r="F548" i="1"/>
  <c r="I548" i="1" s="1"/>
  <c r="F564" i="1"/>
  <c r="I564" i="1" s="1"/>
  <c r="F580" i="1"/>
  <c r="I580" i="1" s="1"/>
  <c r="F596" i="1"/>
  <c r="I596" i="1" s="1"/>
  <c r="F612" i="1"/>
  <c r="I612" i="1" s="1"/>
  <c r="F628" i="1"/>
  <c r="I628" i="1" s="1"/>
  <c r="F644" i="1"/>
  <c r="I644" i="1" s="1"/>
  <c r="F660" i="1"/>
  <c r="I660" i="1" s="1"/>
  <c r="F676" i="1"/>
  <c r="I676" i="1" s="1"/>
  <c r="F11" i="1"/>
  <c r="I11" i="1" s="1"/>
  <c r="F27" i="1"/>
  <c r="I27" i="1" s="1"/>
  <c r="F43" i="1"/>
  <c r="I43" i="1" s="1"/>
  <c r="F59" i="1"/>
  <c r="I59" i="1" s="1"/>
  <c r="F75" i="1"/>
  <c r="I75" i="1" s="1"/>
  <c r="F91" i="1"/>
  <c r="I91" i="1" s="1"/>
  <c r="F107" i="1"/>
  <c r="I107" i="1" s="1"/>
  <c r="F123" i="1"/>
  <c r="I123" i="1" s="1"/>
  <c r="F139" i="1"/>
  <c r="I139" i="1" s="1"/>
  <c r="F155" i="1"/>
  <c r="I155" i="1" s="1"/>
  <c r="F171" i="1"/>
  <c r="I171" i="1" s="1"/>
  <c r="F187" i="1"/>
  <c r="I187" i="1" s="1"/>
  <c r="F203" i="1"/>
  <c r="I203" i="1" s="1"/>
  <c r="F219" i="1"/>
  <c r="I219" i="1" s="1"/>
  <c r="F235" i="1"/>
  <c r="I235" i="1" s="1"/>
  <c r="F251" i="1"/>
  <c r="I251" i="1" s="1"/>
  <c r="F267" i="1"/>
  <c r="I267" i="1" s="1"/>
  <c r="F283" i="1"/>
  <c r="I283" i="1" s="1"/>
  <c r="F299" i="1"/>
  <c r="I299" i="1" s="1"/>
  <c r="F315" i="1"/>
  <c r="I315" i="1" s="1"/>
  <c r="F331" i="1"/>
  <c r="I331" i="1" s="1"/>
  <c r="F347" i="1"/>
  <c r="I347" i="1" s="1"/>
  <c r="F363" i="1"/>
  <c r="I363" i="1" s="1"/>
  <c r="F379" i="1"/>
  <c r="I379" i="1" s="1"/>
  <c r="F399" i="1"/>
  <c r="I399" i="1" s="1"/>
  <c r="F419" i="1"/>
  <c r="I419" i="1" s="1"/>
  <c r="F443" i="1"/>
  <c r="I443" i="1" s="1"/>
  <c r="F463" i="1"/>
  <c r="I463" i="1" s="1"/>
  <c r="F487" i="1"/>
  <c r="I487" i="1" s="1"/>
  <c r="F511" i="1"/>
  <c r="I511" i="1" s="1"/>
  <c r="F531" i="1"/>
  <c r="I531" i="1" s="1"/>
  <c r="F555" i="1"/>
  <c r="I555" i="1" s="1"/>
  <c r="F581" i="1"/>
  <c r="I581" i="1" s="1"/>
  <c r="F607" i="1"/>
  <c r="I607" i="1" s="1"/>
  <c r="F629" i="1"/>
  <c r="I629" i="1" s="1"/>
  <c r="F647" i="1"/>
  <c r="I647" i="1" s="1"/>
  <c r="F673" i="1"/>
  <c r="I673" i="1" s="1"/>
  <c r="F692" i="1"/>
  <c r="I692" i="1" s="1"/>
  <c r="F714" i="1"/>
  <c r="I714" i="1" s="1"/>
  <c r="F736" i="1"/>
  <c r="I736" i="1" s="1"/>
  <c r="F762" i="1"/>
  <c r="I762" i="1" s="1"/>
  <c r="F782" i="1"/>
  <c r="I782" i="1" s="1"/>
  <c r="F800" i="1"/>
  <c r="I800" i="1" s="1"/>
  <c r="F818" i="1"/>
  <c r="I818" i="1" s="1"/>
  <c r="F848" i="1"/>
  <c r="I848" i="1" s="1"/>
  <c r="F876" i="1"/>
  <c r="I876" i="1" s="1"/>
  <c r="F926" i="1"/>
  <c r="I926" i="1" s="1"/>
  <c r="F970" i="1"/>
  <c r="I970" i="1" s="1"/>
  <c r="F705" i="1"/>
  <c r="I705" i="1" s="1"/>
  <c r="F745" i="1"/>
  <c r="I745" i="1" s="1"/>
  <c r="F793" i="1"/>
  <c r="I793" i="1" s="1"/>
  <c r="F843" i="1"/>
  <c r="I843" i="1" s="1"/>
  <c r="F887" i="1"/>
  <c r="I887" i="1" s="1"/>
  <c r="F933" i="1"/>
  <c r="I933" i="1" s="1"/>
  <c r="F975" i="1"/>
  <c r="I975" i="1" s="1"/>
  <c r="F10" i="1"/>
  <c r="I10" i="1" s="1"/>
  <c r="F26" i="1"/>
  <c r="I26" i="1" s="1"/>
  <c r="F42" i="1"/>
  <c r="I42" i="1" s="1"/>
  <c r="F58" i="1"/>
  <c r="I58" i="1" s="1"/>
  <c r="F74" i="1"/>
  <c r="I74" i="1" s="1"/>
  <c r="F90" i="1"/>
  <c r="I90" i="1" s="1"/>
  <c r="F106" i="1"/>
  <c r="I106" i="1" s="1"/>
  <c r="F122" i="1"/>
  <c r="I122" i="1" s="1"/>
  <c r="F138" i="1"/>
  <c r="I138" i="1" s="1"/>
  <c r="F154" i="1"/>
  <c r="I154" i="1" s="1"/>
  <c r="F170" i="1"/>
  <c r="I170" i="1" s="1"/>
  <c r="F186" i="1"/>
  <c r="I186" i="1" s="1"/>
  <c r="F202" i="1"/>
  <c r="I202" i="1" s="1"/>
  <c r="F218" i="1"/>
  <c r="I218" i="1" s="1"/>
  <c r="F234" i="1"/>
  <c r="I234" i="1" s="1"/>
  <c r="F250" i="1"/>
  <c r="I250" i="1" s="1"/>
  <c r="F266" i="1"/>
  <c r="I266" i="1" s="1"/>
  <c r="F282" i="1"/>
  <c r="I282" i="1" s="1"/>
  <c r="F298" i="1"/>
  <c r="I298" i="1" s="1"/>
  <c r="F314" i="1"/>
  <c r="I314" i="1" s="1"/>
  <c r="F330" i="1"/>
  <c r="I330" i="1" s="1"/>
  <c r="F346" i="1"/>
  <c r="I346" i="1" s="1"/>
  <c r="F362" i="1"/>
  <c r="I362" i="1" s="1"/>
  <c r="F378" i="1"/>
  <c r="I378" i="1" s="1"/>
  <c r="F394" i="1"/>
  <c r="I394" i="1" s="1"/>
  <c r="F410" i="1"/>
  <c r="I410" i="1" s="1"/>
  <c r="F426" i="1"/>
  <c r="I426" i="1" s="1"/>
  <c r="F442" i="1"/>
  <c r="I442" i="1" s="1"/>
  <c r="F458" i="1"/>
  <c r="I458" i="1" s="1"/>
  <c r="F474" i="1"/>
  <c r="I474" i="1" s="1"/>
  <c r="F490" i="1"/>
  <c r="I490" i="1" s="1"/>
  <c r="F506" i="1"/>
  <c r="I506" i="1" s="1"/>
  <c r="F522" i="1"/>
  <c r="I522" i="1" s="1"/>
  <c r="F538" i="1"/>
  <c r="I538" i="1" s="1"/>
  <c r="F554" i="1"/>
  <c r="I554" i="1" s="1"/>
  <c r="F570" i="1"/>
  <c r="I570" i="1" s="1"/>
  <c r="F586" i="1"/>
  <c r="I586" i="1" s="1"/>
  <c r="F602" i="1"/>
  <c r="I602" i="1" s="1"/>
  <c r="F618" i="1"/>
  <c r="I618" i="1" s="1"/>
  <c r="F634" i="1"/>
  <c r="I634" i="1" s="1"/>
  <c r="F650" i="1"/>
  <c r="I650" i="1" s="1"/>
  <c r="F666" i="1"/>
  <c r="I666" i="1" s="1"/>
  <c r="F682" i="1"/>
  <c r="I682" i="1" s="1"/>
  <c r="F17" i="1"/>
  <c r="I17" i="1" s="1"/>
  <c r="F33" i="1"/>
  <c r="I33" i="1" s="1"/>
  <c r="F49" i="1"/>
  <c r="I49" i="1" s="1"/>
  <c r="F65" i="1"/>
  <c r="I65" i="1" s="1"/>
  <c r="F81" i="1"/>
  <c r="I81" i="1" s="1"/>
  <c r="F97" i="1"/>
  <c r="I97" i="1" s="1"/>
  <c r="F113" i="1"/>
  <c r="I113" i="1" s="1"/>
  <c r="F129" i="1"/>
  <c r="I129" i="1" s="1"/>
  <c r="F145" i="1"/>
  <c r="I145" i="1" s="1"/>
  <c r="F161" i="1"/>
  <c r="I161" i="1" s="1"/>
  <c r="F177" i="1"/>
  <c r="I177" i="1" s="1"/>
  <c r="F193" i="1"/>
  <c r="I193" i="1" s="1"/>
  <c r="F209" i="1"/>
  <c r="I209" i="1" s="1"/>
  <c r="F225" i="1"/>
  <c r="I225" i="1" s="1"/>
  <c r="F241" i="1"/>
  <c r="I241" i="1" s="1"/>
  <c r="F257" i="1"/>
  <c r="I257" i="1" s="1"/>
  <c r="F273" i="1"/>
  <c r="I273" i="1" s="1"/>
  <c r="F289" i="1"/>
  <c r="I289" i="1" s="1"/>
  <c r="F305" i="1"/>
  <c r="I305" i="1" s="1"/>
  <c r="F321" i="1"/>
  <c r="I321" i="1" s="1"/>
  <c r="F337" i="1"/>
  <c r="I337" i="1" s="1"/>
  <c r="F353" i="1"/>
  <c r="I353" i="1" s="1"/>
  <c r="F369" i="1"/>
  <c r="I369" i="1" s="1"/>
  <c r="F385" i="1"/>
  <c r="I385" i="1" s="1"/>
  <c r="F407" i="1"/>
  <c r="I407" i="1" s="1"/>
  <c r="F429" i="1"/>
  <c r="I429" i="1" s="1"/>
  <c r="F449" i="1"/>
  <c r="I449" i="1" s="1"/>
  <c r="F471" i="1"/>
  <c r="I471" i="1" s="1"/>
  <c r="F495" i="1"/>
  <c r="I495" i="1" s="1"/>
  <c r="F517" i="1"/>
  <c r="I517" i="1" s="1"/>
  <c r="F543" i="1"/>
  <c r="I543" i="1" s="1"/>
  <c r="F567" i="1"/>
  <c r="I567" i="1" s="1"/>
  <c r="F591" i="1"/>
  <c r="I591" i="1" s="1"/>
  <c r="F617" i="1"/>
  <c r="I617" i="1" s="1"/>
  <c r="F635" i="1"/>
  <c r="I635" i="1" s="1"/>
  <c r="F655" i="1"/>
  <c r="I655" i="1" s="1"/>
  <c r="F679" i="1"/>
  <c r="I679" i="1" s="1"/>
  <c r="F702" i="1"/>
  <c r="I702" i="1" s="1"/>
  <c r="F722" i="1"/>
  <c r="I722" i="1" s="1"/>
  <c r="F746" i="1"/>
  <c r="I746" i="1" s="1"/>
  <c r="F770" i="1"/>
  <c r="I770" i="1" s="1"/>
  <c r="F790" i="1"/>
  <c r="I790" i="1" s="1"/>
  <c r="F806" i="1"/>
  <c r="I806" i="1" s="1"/>
  <c r="F826" i="1"/>
  <c r="I826" i="1" s="1"/>
  <c r="F856" i="1"/>
  <c r="I856" i="1" s="1"/>
  <c r="F888" i="1"/>
  <c r="I888" i="1" s="1"/>
  <c r="F944" i="1"/>
  <c r="I944" i="1" s="1"/>
  <c r="F984" i="1"/>
  <c r="I984" i="1" s="1"/>
  <c r="F721" i="1"/>
  <c r="I721" i="1" s="1"/>
  <c r="F763" i="1"/>
  <c r="I763" i="1" s="1"/>
  <c r="F807" i="1"/>
  <c r="I807" i="1" s="1"/>
  <c r="F857" i="1"/>
  <c r="I857" i="1" s="1"/>
  <c r="F907" i="1"/>
  <c r="I907" i="1" s="1"/>
  <c r="F949" i="1"/>
  <c r="I949" i="1" s="1"/>
  <c r="F389" i="1"/>
  <c r="I389" i="1" s="1"/>
  <c r="F393" i="1"/>
  <c r="I393" i="1" s="1"/>
  <c r="F405" i="1"/>
  <c r="I405" i="1" s="1"/>
  <c r="F413" i="1"/>
  <c r="I413" i="1" s="1"/>
  <c r="F421" i="1"/>
  <c r="I421" i="1" s="1"/>
  <c r="F425" i="1"/>
  <c r="I425" i="1" s="1"/>
  <c r="F437" i="1"/>
  <c r="I437" i="1" s="1"/>
  <c r="F441" i="1"/>
  <c r="I441" i="1" s="1"/>
  <c r="F457" i="1"/>
  <c r="I457" i="1" s="1"/>
  <c r="F461" i="1"/>
  <c r="I461" i="1" s="1"/>
  <c r="F465" i="1"/>
  <c r="I465" i="1" s="1"/>
  <c r="F473" i="1"/>
  <c r="I473" i="1" s="1"/>
  <c r="F477" i="1"/>
  <c r="I477" i="1" s="1"/>
  <c r="F481" i="1"/>
  <c r="I481" i="1" s="1"/>
  <c r="F489" i="1"/>
  <c r="I489" i="1" s="1"/>
  <c r="F501" i="1"/>
  <c r="I501" i="1" s="1"/>
  <c r="F505" i="1"/>
  <c r="I505" i="1" s="1"/>
  <c r="F509" i="1"/>
  <c r="I509" i="1" s="1"/>
  <c r="F521" i="1"/>
  <c r="I521" i="1" s="1"/>
  <c r="F529" i="1"/>
  <c r="I529" i="1" s="1"/>
  <c r="F533" i="1"/>
  <c r="I533" i="1" s="1"/>
  <c r="F537" i="1"/>
  <c r="I537" i="1" s="1"/>
  <c r="F541" i="1"/>
  <c r="I541" i="1" s="1"/>
  <c r="F553" i="1"/>
  <c r="I553" i="1" s="1"/>
  <c r="F557" i="1"/>
  <c r="I557" i="1" s="1"/>
  <c r="F561" i="1"/>
  <c r="I561" i="1" s="1"/>
  <c r="F565" i="1"/>
  <c r="I565" i="1" s="1"/>
  <c r="F569" i="1"/>
  <c r="I569" i="1" s="1"/>
  <c r="F577" i="1"/>
  <c r="I577" i="1" s="1"/>
  <c r="F585" i="1"/>
  <c r="I585" i="1" s="1"/>
  <c r="F589" i="1"/>
  <c r="I589" i="1" s="1"/>
  <c r="F593" i="1"/>
  <c r="I593" i="1" s="1"/>
  <c r="F601" i="1"/>
  <c r="I601" i="1" s="1"/>
  <c r="F605" i="1"/>
  <c r="I605" i="1" s="1"/>
  <c r="F609" i="1"/>
  <c r="I609" i="1" s="1"/>
  <c r="F613" i="1"/>
  <c r="I613" i="1" s="1"/>
  <c r="F625" i="1"/>
  <c r="I625" i="1" s="1"/>
  <c r="F637" i="1"/>
  <c r="I637" i="1" s="1"/>
  <c r="F653" i="1"/>
  <c r="I653" i="1" s="1"/>
  <c r="F657" i="1"/>
  <c r="I657" i="1" s="1"/>
  <c r="F661" i="1"/>
  <c r="I661" i="1" s="1"/>
  <c r="F665" i="1"/>
  <c r="I665" i="1" s="1"/>
  <c r="F669" i="1"/>
  <c r="I669" i="1" s="1"/>
  <c r="F681" i="1"/>
  <c r="I681" i="1" s="1"/>
  <c r="F688" i="1"/>
  <c r="I688" i="1" s="1"/>
  <c r="F696" i="1"/>
  <c r="I696" i="1" s="1"/>
  <c r="F700" i="1"/>
  <c r="I700" i="1" s="1"/>
  <c r="F704" i="1"/>
  <c r="I704" i="1" s="1"/>
  <c r="F716" i="1"/>
  <c r="I716" i="1" s="1"/>
  <c r="F724" i="1"/>
  <c r="I724" i="1" s="1"/>
  <c r="F732" i="1"/>
  <c r="I732" i="1" s="1"/>
  <c r="F740" i="1"/>
  <c r="I740" i="1" s="1"/>
  <c r="F744" i="1"/>
  <c r="I744" i="1" s="1"/>
  <c r="F752" i="1"/>
  <c r="I752" i="1" s="1"/>
  <c r="F756" i="1"/>
  <c r="I756" i="1" s="1"/>
  <c r="F760" i="1"/>
  <c r="I760" i="1" s="1"/>
  <c r="F764" i="1"/>
  <c r="I764" i="1" s="1"/>
  <c r="F776" i="1"/>
  <c r="I776" i="1" s="1"/>
  <c r="F784" i="1"/>
  <c r="I784" i="1" s="1"/>
  <c r="F830" i="1"/>
  <c r="I830" i="1" s="1"/>
  <c r="F838" i="1"/>
  <c r="I838" i="1" s="1"/>
  <c r="F842" i="1"/>
  <c r="I842" i="1" s="1"/>
  <c r="F854" i="1"/>
  <c r="I854" i="1" s="1"/>
  <c r="F866" i="1"/>
  <c r="I866" i="1" s="1"/>
  <c r="F878" i="1"/>
  <c r="I878" i="1" s="1"/>
  <c r="F902" i="1"/>
  <c r="I902" i="1" s="1"/>
  <c r="F914" i="1"/>
  <c r="I914" i="1" s="1"/>
  <c r="F922" i="1"/>
  <c r="I922" i="1" s="1"/>
  <c r="F998" i="1"/>
  <c r="I998" i="1" s="1"/>
  <c r="F689" i="1"/>
  <c r="I689" i="1" s="1"/>
  <c r="F749" i="1"/>
  <c r="I749" i="1" s="1"/>
  <c r="F789" i="1"/>
  <c r="I789" i="1" s="1"/>
  <c r="F817" i="1"/>
  <c r="I817" i="1" s="1"/>
  <c r="F837" i="1"/>
  <c r="I837" i="1" s="1"/>
  <c r="F877" i="1"/>
  <c r="I877" i="1" s="1"/>
  <c r="F897" i="1"/>
  <c r="I897" i="1" s="1"/>
  <c r="F997" i="1"/>
  <c r="I997" i="1" s="1"/>
  <c r="F2" i="1"/>
  <c r="I2" i="1" s="1"/>
  <c r="F999" i="1"/>
  <c r="I999" i="1" s="1"/>
  <c r="F995" i="1"/>
  <c r="I995" i="1" s="1"/>
  <c r="F989" i="1"/>
  <c r="I989" i="1" s="1"/>
  <c r="F985" i="1"/>
  <c r="I985" i="1" s="1"/>
  <c r="F981" i="1"/>
  <c r="I981" i="1" s="1"/>
  <c r="F977" i="1"/>
  <c r="I977" i="1" s="1"/>
  <c r="F973" i="1"/>
  <c r="I973" i="1" s="1"/>
  <c r="F967" i="1"/>
  <c r="I967" i="1" s="1"/>
  <c r="F963" i="1"/>
  <c r="I963" i="1" s="1"/>
  <c r="F959" i="1"/>
  <c r="I959" i="1" s="1"/>
  <c r="F953" i="1"/>
  <c r="I953" i="1" s="1"/>
  <c r="F947" i="1"/>
  <c r="I947" i="1" s="1"/>
  <c r="F943" i="1"/>
  <c r="I943" i="1" s="1"/>
  <c r="F937" i="1"/>
  <c r="I937" i="1" s="1"/>
  <c r="F929" i="1"/>
  <c r="I929" i="1" s="1"/>
  <c r="F923" i="1"/>
  <c r="I923" i="1" s="1"/>
  <c r="F917" i="1"/>
  <c r="I917" i="1" s="1"/>
  <c r="F913" i="1"/>
  <c r="I913" i="1" s="1"/>
  <c r="F909" i="1"/>
  <c r="I909" i="1" s="1"/>
  <c r="F905" i="1"/>
  <c r="I905" i="1" s="1"/>
  <c r="F901" i="1"/>
  <c r="I901" i="1" s="1"/>
  <c r="F893" i="1"/>
  <c r="I893" i="1" s="1"/>
  <c r="F889" i="1"/>
  <c r="I889" i="1" s="1"/>
  <c r="F885" i="1"/>
  <c r="I885" i="1" s="1"/>
  <c r="F881" i="1"/>
  <c r="I881" i="1" s="1"/>
  <c r="F873" i="1"/>
  <c r="I873" i="1" s="1"/>
  <c r="F867" i="1"/>
  <c r="I867" i="1" s="1"/>
  <c r="F863" i="1"/>
  <c r="I863" i="1" s="1"/>
  <c r="F859" i="1"/>
  <c r="I859" i="1" s="1"/>
  <c r="F855" i="1"/>
  <c r="I855" i="1" s="1"/>
  <c r="F849" i="1"/>
  <c r="I849" i="1" s="1"/>
  <c r="F845" i="1"/>
  <c r="I845" i="1" s="1"/>
  <c r="F841" i="1"/>
  <c r="I841" i="1" s="1"/>
  <c r="F835" i="1"/>
  <c r="I835" i="1" s="1"/>
  <c r="F829" i="1"/>
  <c r="I829" i="1" s="1"/>
  <c r="F825" i="1"/>
  <c r="I825" i="1" s="1"/>
  <c r="F819" i="1"/>
  <c r="I819" i="1" s="1"/>
  <c r="F815" i="1"/>
  <c r="I815" i="1" s="1"/>
  <c r="F809" i="1"/>
  <c r="I809" i="1" s="1"/>
  <c r="F805" i="1"/>
  <c r="I805" i="1" s="1"/>
  <c r="F801" i="1"/>
  <c r="I801" i="1" s="1"/>
  <c r="F797" i="1"/>
  <c r="I797" i="1" s="1"/>
  <c r="F791" i="1"/>
  <c r="I791" i="1" s="1"/>
  <c r="F787" i="1"/>
  <c r="I787" i="1" s="1"/>
  <c r="F783" i="1"/>
  <c r="I783" i="1" s="1"/>
  <c r="F777" i="1"/>
  <c r="I777" i="1" s="1"/>
  <c r="F771" i="1"/>
  <c r="I771" i="1" s="1"/>
  <c r="F765" i="1"/>
  <c r="I765" i="1" s="1"/>
  <c r="F761" i="1"/>
  <c r="I761" i="1" s="1"/>
  <c r="F755" i="1"/>
  <c r="I755" i="1" s="1"/>
  <c r="F751" i="1"/>
  <c r="I751" i="1" s="1"/>
  <c r="F747" i="1"/>
  <c r="I747" i="1" s="1"/>
  <c r="F743" i="1"/>
  <c r="I743" i="1" s="1"/>
  <c r="F737" i="1"/>
  <c r="I737" i="1" s="1"/>
  <c r="F731" i="1"/>
  <c r="I731" i="1" s="1"/>
  <c r="F727" i="1"/>
  <c r="I727" i="1" s="1"/>
  <c r="F723" i="1"/>
  <c r="I723" i="1" s="1"/>
  <c r="F719" i="1"/>
  <c r="I719" i="1" s="1"/>
  <c r="F715" i="1"/>
  <c r="I715" i="1" s="1"/>
  <c r="F709" i="1"/>
  <c r="I709" i="1" s="1"/>
  <c r="F701" i="1"/>
  <c r="I701" i="1" s="1"/>
  <c r="F695" i="1"/>
  <c r="I695" i="1" s="1"/>
  <c r="F691" i="1"/>
  <c r="I691" i="1" s="1"/>
  <c r="F687" i="1"/>
  <c r="I687" i="1" s="1"/>
  <c r="F1000" i="1"/>
  <c r="I1000" i="1" s="1"/>
  <c r="F994" i="1"/>
  <c r="I994" i="1" s="1"/>
  <c r="F986" i="1"/>
  <c r="I986" i="1" s="1"/>
  <c r="F982" i="1"/>
  <c r="I982" i="1" s="1"/>
  <c r="F978" i="1"/>
  <c r="I978" i="1" s="1"/>
  <c r="F972" i="1"/>
  <c r="I972" i="1" s="1"/>
  <c r="F968" i="1"/>
  <c r="I968" i="1" s="1"/>
  <c r="F964" i="1"/>
  <c r="I964" i="1" s="1"/>
  <c r="F958" i="1"/>
  <c r="I958" i="1" s="1"/>
  <c r="F950" i="1"/>
  <c r="I950" i="1" s="1"/>
  <c r="F946" i="1"/>
  <c r="I946" i="1" s="1"/>
  <c r="F942" i="1"/>
  <c r="I942" i="1" s="1"/>
  <c r="F934" i="1"/>
  <c r="I934" i="1" s="1"/>
  <c r="F928" i="1"/>
  <c r="I928" i="1" s="1"/>
  <c r="F924" i="1"/>
  <c r="I924" i="1" s="1"/>
  <c r="F920" i="1"/>
  <c r="I920" i="1" s="1"/>
  <c r="F916" i="1"/>
  <c r="I916" i="1" s="1"/>
  <c r="F912" i="1"/>
  <c r="I912" i="1" s="1"/>
  <c r="F906" i="1"/>
  <c r="I906" i="1" s="1"/>
  <c r="F898" i="1"/>
  <c r="I898" i="1" s="1"/>
  <c r="F894" i="1"/>
  <c r="I894" i="1" s="1"/>
  <c r="F816" i="1"/>
  <c r="I816" i="1" s="1"/>
  <c r="F824" i="1"/>
  <c r="I824" i="1" s="1"/>
  <c r="F828" i="1"/>
  <c r="I828" i="1" s="1"/>
  <c r="F832" i="1"/>
  <c r="I832" i="1" s="1"/>
  <c r="F836" i="1"/>
  <c r="I836" i="1" s="1"/>
  <c r="F860" i="1"/>
  <c r="I860" i="1" s="1"/>
  <c r="F864" i="1"/>
  <c r="I864" i="1" s="1"/>
  <c r="F868" i="1"/>
  <c r="I868" i="1" s="1"/>
  <c r="F872" i="1"/>
  <c r="I872" i="1" s="1"/>
  <c r="F880" i="1"/>
  <c r="I880" i="1" s="1"/>
  <c r="F884" i="1"/>
  <c r="I884" i="1" s="1"/>
  <c r="F892" i="1"/>
  <c r="I892" i="1" s="1"/>
  <c r="F900" i="1"/>
  <c r="I900" i="1" s="1"/>
  <c r="F904" i="1"/>
  <c r="I904" i="1" s="1"/>
  <c r="F908" i="1"/>
  <c r="I908" i="1" s="1"/>
  <c r="F932" i="1"/>
  <c r="I932" i="1" s="1"/>
  <c r="F936" i="1"/>
  <c r="I936" i="1" s="1"/>
  <c r="F940" i="1"/>
  <c r="I940" i="1" s="1"/>
  <c r="F952" i="1"/>
  <c r="I952" i="1" s="1"/>
  <c r="F956" i="1"/>
  <c r="I956" i="1" s="1"/>
  <c r="F960" i="1"/>
  <c r="I960" i="1" s="1"/>
  <c r="F976" i="1"/>
  <c r="I976" i="1" s="1"/>
  <c r="F988" i="1"/>
  <c r="I988" i="1" s="1"/>
  <c r="F992" i="1"/>
  <c r="I992" i="1" s="1"/>
  <c r="F996" i="1"/>
  <c r="I996" i="1" s="1"/>
  <c r="F699" i="1"/>
  <c r="I699" i="1" s="1"/>
  <c r="F703" i="1"/>
  <c r="I703" i="1" s="1"/>
  <c r="F707" i="1"/>
  <c r="I707" i="1" s="1"/>
  <c r="F711" i="1"/>
  <c r="I711" i="1" s="1"/>
  <c r="F735" i="1"/>
  <c r="I735" i="1" s="1"/>
  <c r="F739" i="1"/>
  <c r="I739" i="1" s="1"/>
  <c r="F759" i="1"/>
  <c r="I759" i="1" s="1"/>
  <c r="F767" i="1"/>
  <c r="I767" i="1" s="1"/>
  <c r="F775" i="1"/>
  <c r="I775" i="1" s="1"/>
  <c r="F779" i="1"/>
  <c r="I779" i="1" s="1"/>
  <c r="F795" i="1"/>
  <c r="I795" i="1" s="1"/>
  <c r="F811" i="1"/>
  <c r="I811" i="1" s="1"/>
  <c r="F823" i="1"/>
  <c r="I823" i="1" s="1"/>
  <c r="F831" i="1"/>
  <c r="I831" i="1" s="1"/>
  <c r="F839" i="1"/>
  <c r="I839" i="1" s="1"/>
  <c r="F851" i="1"/>
  <c r="I851" i="1" s="1"/>
  <c r="F871" i="1"/>
  <c r="I871" i="1" s="1"/>
  <c r="F875" i="1"/>
  <c r="I875" i="1" s="1"/>
  <c r="F879" i="1"/>
  <c r="I879" i="1" s="1"/>
  <c r="F895" i="1"/>
  <c r="I895" i="1" s="1"/>
  <c r="F899" i="1"/>
  <c r="I899" i="1" s="1"/>
  <c r="F919" i="1"/>
  <c r="I919" i="1" s="1"/>
  <c r="F927" i="1"/>
  <c r="I927" i="1" s="1"/>
  <c r="F931" i="1"/>
  <c r="I931" i="1" s="1"/>
  <c r="F935" i="1"/>
  <c r="I935" i="1" s="1"/>
  <c r="F939" i="1"/>
  <c r="I939" i="1" s="1"/>
  <c r="F951" i="1"/>
  <c r="I951" i="1" s="1"/>
  <c r="F955" i="1"/>
  <c r="I955" i="1" s="1"/>
  <c r="F971" i="1"/>
  <c r="I971" i="1" s="1"/>
</calcChain>
</file>

<file path=xl/sharedStrings.xml><?xml version="1.0" encoding="utf-8"?>
<sst xmlns="http://schemas.openxmlformats.org/spreadsheetml/2006/main" count="2538" uniqueCount="1454">
  <si>
    <t>Customer ID</t>
  </si>
  <si>
    <t>monetary</t>
  </si>
  <si>
    <t>recency</t>
  </si>
  <si>
    <t>frequency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</si>
  <si>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</si>
  <si>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</si>
  <si>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</si>
  <si>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</si>
  <si>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</si>
  <si>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</si>
  <si>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</si>
  <si>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</si>
  <si>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</si>
  <si>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</si>
  <si>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</si>
  <si>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</si>
  <si>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</si>
  <si>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</si>
  <si>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</si>
  <si>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</si>
  <si>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</si>
  <si>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</si>
  <si>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</si>
  <si>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</si>
  <si>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</si>
  <si>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</si>
  <si>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</si>
  <si>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</si>
  <si>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</si>
  <si>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</si>
  <si>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</si>
  <si>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</si>
  <si>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</si>
  <si>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</si>
  <si>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</si>
  <si>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</si>
  <si>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</si>
  <si>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</si>
  <si>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</si>
  <si>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</si>
  <si>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</si>
  <si>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</si>
  <si>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</si>
  <si>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</si>
  <si>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</si>
  <si>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</si>
  <si>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</si>
  <si>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</si>
  <si>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</si>
  <si>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</si>
  <si>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</si>
  <si>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</si>
  <si>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</si>
  <si>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</si>
  <si>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</si>
  <si>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</si>
  <si>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</si>
  <si>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</si>
  <si>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</si>
  <si>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</si>
  <si>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</si>
  <si>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</si>
  <si>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</si>
  <si>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</si>
  <si>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</si>
  <si>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</si>
  <si>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</si>
  <si>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</si>
  <si>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</si>
  <si>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</si>
  <si>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</si>
  <si>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</si>
  <si>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</si>
  <si>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</si>
  <si>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</si>
  <si>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</si>
  <si>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</si>
  <si>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</si>
  <si>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</si>
  <si>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</si>
  <si>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</si>
  <si>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</si>
  <si>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</si>
  <si>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</si>
  <si>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</si>
  <si>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</si>
  <si>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</si>
  <si>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</si>
  <si>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</si>
  <si>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</si>
  <si>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</si>
  <si>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</si>
  <si>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</si>
  <si>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</si>
  <si>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</si>
  <si>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</si>
  <si>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</si>
  <si>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</si>
  <si>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</si>
  <si>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</si>
  <si>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</si>
  <si>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</si>
  <si>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</si>
  <si>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</si>
  <si>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</si>
  <si>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</si>
  <si>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</si>
  <si>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</si>
  <si>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</si>
  <si>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</si>
  <si>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</si>
  <si>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</si>
  <si>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</si>
  <si>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</si>
  <si>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</si>
  <si>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</si>
  <si>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</si>
  <si>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</si>
  <si>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</si>
  <si>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</si>
  <si>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</si>
  <si>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</si>
  <si>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</si>
  <si>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</si>
  <si>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</si>
  <si>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</si>
  <si>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</si>
  <si>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</si>
  <si>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</si>
  <si>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</si>
  <si>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</si>
  <si>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</si>
  <si>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</si>
  <si>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</si>
  <si>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</si>
  <si>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</si>
  <si>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</si>
  <si>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</si>
  <si>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</si>
  <si>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</si>
  <si>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</si>
  <si>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</si>
  <si>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</si>
  <si>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</si>
  <si>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</si>
  <si>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</si>
  <si>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</si>
  <si>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</si>
  <si>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</si>
  <si>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</si>
  <si>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</si>
  <si>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</si>
  <si>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</si>
  <si>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</si>
  <si>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</si>
  <si>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</si>
  <si>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</si>
  <si>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</si>
  <si>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</si>
  <si>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</si>
  <si>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</si>
  <si>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</si>
  <si>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</si>
  <si>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</si>
  <si>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</si>
  <si>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</si>
  <si>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</si>
  <si>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</si>
  <si>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</si>
  <si>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</si>
  <si>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</si>
  <si>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</si>
  <si>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</si>
  <si>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</si>
  <si>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</si>
  <si>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</si>
  <si>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</si>
  <si>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</si>
  <si>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</si>
  <si>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</si>
  <si>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</si>
  <si>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</si>
  <si>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</si>
  <si>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</si>
  <si>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</si>
  <si>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</si>
  <si>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</si>
  <si>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</si>
  <si>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</si>
  <si>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</si>
  <si>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</si>
  <si>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</si>
  <si>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</si>
  <si>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</si>
  <si>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</si>
  <si>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</si>
  <si>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</si>
  <si>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</si>
  <si>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</si>
  <si>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</si>
  <si>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</si>
  <si>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</si>
  <si>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</si>
  <si>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</si>
  <si>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</si>
  <si>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</si>
  <si>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</si>
  <si>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</si>
  <si>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</si>
  <si>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</si>
  <si>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</si>
  <si>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</si>
  <si>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</si>
  <si>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</si>
  <si>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</si>
  <si>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</si>
  <si>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</si>
  <si>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</si>
  <si>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</si>
  <si>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</si>
  <si>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</si>
  <si>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</si>
  <si>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</si>
  <si>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</si>
  <si>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</si>
  <si>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</si>
  <si>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</si>
  <si>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</si>
  <si>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</si>
  <si>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</si>
  <si>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</si>
  <si>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</si>
  <si>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</si>
  <si>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</si>
  <si>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</si>
  <si>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</si>
  <si>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</si>
  <si>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</si>
  <si>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</si>
  <si>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</si>
  <si>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</si>
  <si>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</si>
  <si>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</si>
  <si>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</si>
  <si>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</si>
  <si>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</si>
  <si>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</si>
  <si>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</si>
  <si>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</si>
  <si>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</si>
  <si>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</si>
  <si>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</si>
  <si>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</si>
  <si>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</si>
  <si>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</si>
  <si>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</si>
  <si>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</si>
  <si>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</si>
  <si>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</si>
  <si>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</si>
  <si>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</si>
  <si>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</si>
  <si>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</si>
  <si>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</si>
  <si>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</si>
  <si>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</si>
  <si>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</si>
  <si>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</si>
  <si>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</si>
  <si>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</si>
  <si>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</si>
  <si>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</si>
  <si>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</si>
  <si>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</si>
  <si>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</si>
  <si>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</si>
  <si>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</si>
  <si>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</si>
  <si>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</si>
  <si>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</si>
  <si>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</si>
  <si>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</si>
  <si>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</si>
  <si>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</si>
  <si>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</si>
  <si>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</si>
  <si>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</si>
  <si>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</si>
  <si>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</si>
  <si>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</si>
  <si>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</si>
  <si>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</si>
  <si>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</si>
  <si>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</si>
  <si>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</si>
  <si>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</si>
  <si>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</si>
  <si>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</si>
  <si>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</si>
  <si>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</si>
  <si>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</si>
  <si>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</si>
  <si>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</si>
  <si>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</si>
  <si>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</si>
  <si>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</si>
  <si>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</si>
  <si>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</si>
  <si>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</si>
  <si>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</si>
  <si>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</si>
  <si>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</si>
  <si>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</si>
  <si>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</si>
  <si>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</si>
  <si>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</si>
  <si>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</si>
  <si>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</si>
  <si>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</si>
  <si>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</si>
  <si>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</si>
  <si>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</si>
  <si>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</si>
  <si>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</si>
  <si>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</si>
  <si>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</si>
  <si>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</si>
  <si>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</si>
  <si>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</si>
  <si>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</si>
  <si>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</si>
  <si>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</si>
  <si>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</si>
  <si>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</si>
  <si>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</si>
  <si>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</si>
  <si>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</si>
  <si>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</si>
  <si>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</si>
  <si>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</si>
  <si>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</si>
  <si>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</si>
  <si>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</si>
  <si>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</si>
  <si>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</si>
  <si>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</si>
  <si>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</si>
  <si>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</si>
  <si>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</si>
  <si>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</si>
  <si>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</si>
  <si>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</si>
  <si>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</si>
  <si>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</si>
  <si>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</si>
  <si>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</si>
  <si>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</si>
  <si>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</si>
  <si>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</si>
  <si>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</si>
  <si>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</si>
  <si>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</si>
  <si>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</si>
  <si>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</si>
  <si>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</si>
  <si>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</si>
  <si>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</si>
  <si>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</si>
  <si>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</si>
  <si>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</si>
  <si>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</si>
  <si>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</si>
  <si>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</si>
  <si>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</si>
  <si>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</si>
  <si>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</si>
  <si>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</si>
  <si>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</si>
  <si>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</si>
  <si>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</si>
  <si>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</si>
  <si>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</si>
  <si>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</si>
  <si>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</si>
  <si>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</si>
  <si>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</si>
  <si>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</si>
  <si>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</si>
  <si>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</si>
  <si>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</si>
  <si>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</si>
  <si>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</si>
  <si>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</si>
  <si>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</si>
  <si>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</si>
  <si>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</si>
  <si>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</si>
  <si>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</si>
  <si>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</si>
  <si>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</si>
  <si>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</si>
  <si>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</si>
  <si>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</si>
  <si>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</si>
  <si>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</si>
  <si>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</si>
  <si>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</si>
  <si>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</si>
  <si>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</si>
  <si>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</si>
  <si>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</si>
  <si>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</si>
  <si>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</si>
  <si>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</si>
  <si>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</si>
  <si>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</si>
  <si>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</si>
  <si>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</si>
  <si>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</si>
  <si>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</si>
  <si>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</si>
  <si>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</si>
  <si>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</si>
  <si>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</si>
  <si>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</si>
  <si>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</si>
  <si>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</si>
  <si>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</si>
  <si>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</si>
  <si>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</si>
  <si>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</si>
  <si>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</si>
  <si>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</si>
  <si>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</si>
  <si>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</si>
  <si>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</si>
  <si>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</si>
  <si>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</si>
  <si>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</si>
  <si>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</si>
  <si>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</si>
  <si>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</si>
  <si>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</si>
  <si>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</si>
  <si>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</si>
  <si>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</si>
  <si>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</si>
  <si>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</si>
  <si>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</si>
  <si>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</si>
  <si>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</si>
  <si>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</si>
  <si>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</si>
  <si>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</si>
  <si>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</si>
  <si>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</si>
  <si>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</si>
  <si>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</si>
  <si>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</si>
  <si>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</si>
  <si>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</si>
  <si>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</si>
  <si>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</si>
  <si>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</si>
  <si>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</si>
  <si>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</si>
  <si>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</si>
  <si>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</si>
  <si>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</si>
  <si>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</si>
  <si>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</si>
  <si>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</si>
  <si>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</si>
  <si>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</si>
  <si>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</si>
  <si>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</si>
  <si>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</si>
  <si>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</si>
  <si>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</si>
  <si>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</si>
  <si>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</si>
  <si>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</si>
  <si>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</si>
  <si>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</si>
  <si>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</si>
  <si>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</si>
  <si>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</si>
  <si>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</si>
  <si>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</si>
  <si>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</si>
  <si>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</si>
  <si>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</si>
  <si>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</si>
  <si>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</si>
  <si>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</si>
  <si>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</si>
  <si>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</si>
  <si>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</si>
  <si>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</si>
  <si>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</si>
  <si>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</si>
  <si>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</si>
  <si>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</si>
  <si>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</si>
  <si>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</si>
  <si>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</si>
  <si>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</si>
  <si>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</si>
  <si>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</si>
  <si>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</si>
  <si>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</si>
  <si>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</si>
  <si>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</si>
  <si>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</si>
  <si>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</si>
  <si>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</si>
  <si>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</si>
  <si>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</si>
  <si>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</si>
  <si>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</si>
  <si>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</si>
  <si>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</si>
  <si>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</si>
  <si>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</si>
  <si>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</si>
  <si>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</si>
  <si>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</si>
  <si>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</si>
  <si>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</si>
  <si>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</si>
  <si>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</si>
  <si>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</si>
  <si>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</si>
  <si>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</si>
  <si>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</si>
  <si>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</si>
  <si>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</si>
  <si>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</si>
  <si>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</si>
  <si>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</si>
  <si>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</si>
  <si>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</si>
  <si>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</si>
  <si>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</si>
  <si>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</si>
  <si>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</si>
  <si>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</si>
  <si>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</si>
  <si>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</si>
  <si>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</si>
  <si>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</si>
  <si>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</si>
  <si>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</si>
  <si>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</si>
  <si>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</si>
  <si>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</si>
  <si>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</si>
  <si>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</si>
  <si>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</si>
  <si>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</si>
  <si>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</si>
  <si>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</si>
  <si>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</si>
  <si>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</si>
  <si>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</si>
  <si>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</si>
  <si>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</si>
  <si>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</si>
  <si>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</si>
  <si>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</si>
  <si>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</si>
  <si>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</si>
  <si>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</si>
  <si>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</si>
  <si>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</si>
  <si>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</si>
  <si>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</si>
  <si>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</si>
  <si>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</si>
  <si>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</si>
  <si>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</si>
  <si>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</si>
  <si>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</si>
  <si>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</si>
  <si>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</si>
  <si>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</si>
  <si>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</si>
  <si>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</si>
  <si>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</si>
  <si>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</si>
  <si>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</si>
  <si>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</si>
  <si>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</si>
  <si>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</si>
  <si>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</si>
  <si>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</si>
  <si>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</si>
  <si>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</si>
  <si>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</si>
  <si>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</si>
  <si>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</si>
  <si>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</si>
  <si>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</si>
  <si>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</si>
  <si>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</si>
  <si>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</si>
  <si>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</si>
  <si>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</si>
  <si>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</si>
  <si>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</si>
  <si>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</si>
  <si>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</si>
  <si>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</si>
  <si>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</si>
  <si>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</si>
  <si>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</si>
  <si>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</si>
  <si>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</si>
  <si>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</si>
  <si>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</si>
  <si>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</si>
  <si>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</si>
  <si>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</si>
  <si>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</si>
  <si>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</si>
  <si>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</si>
  <si>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</si>
  <si>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</si>
  <si>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</si>
  <si>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</si>
  <si>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</si>
  <si>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</si>
  <si>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</si>
  <si>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</si>
  <si>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</si>
  <si>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</si>
  <si>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</si>
  <si>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</si>
  <si>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</si>
  <si>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</si>
  <si>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</si>
  <si>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</si>
  <si>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</si>
  <si>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</si>
  <si>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</si>
  <si>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</si>
  <si>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</si>
  <si>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</si>
  <si>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</si>
  <si>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</si>
  <si>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</si>
  <si>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</si>
  <si>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</si>
  <si>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</si>
  <si>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</si>
  <si>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</si>
  <si>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</si>
  <si>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</si>
  <si>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</si>
  <si>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</si>
  <si>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</si>
  <si>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</si>
  <si>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</si>
  <si>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</si>
  <si>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</si>
  <si>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</si>
  <si>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</si>
  <si>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</si>
  <si>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</si>
  <si>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</si>
  <si>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</si>
  <si>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</si>
  <si>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</si>
  <si>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</si>
  <si>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</si>
  <si>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</si>
  <si>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</si>
  <si>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</si>
  <si>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</si>
  <si>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</si>
  <si>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</si>
  <si>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</si>
  <si>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</si>
  <si>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</si>
  <si>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</si>
  <si>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</si>
  <si>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</si>
  <si>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</si>
  <si>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</si>
  <si>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</si>
  <si>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</si>
  <si>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</si>
  <si>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</si>
  <si>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</si>
  <si>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</si>
  <si>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</si>
  <si>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</si>
  <si>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</si>
  <si>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</si>
  <si>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</si>
  <si>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</si>
  <si>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</si>
  <si>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</si>
  <si>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</si>
  <si>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</si>
  <si>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</si>
  <si>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</si>
  <si>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</si>
  <si>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</si>
  <si>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</si>
  <si>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</si>
  <si>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</si>
  <si>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</si>
  <si>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</si>
  <si>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</si>
  <si>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</si>
  <si>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</si>
  <si>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</si>
  <si>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</si>
  <si>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</si>
  <si>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</si>
  <si>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</si>
  <si>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</si>
  <si>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</si>
  <si>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</si>
  <si>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</si>
  <si>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</si>
  <si>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</si>
  <si>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</si>
  <si>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</si>
  <si>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</si>
  <si>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</si>
  <si>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</si>
  <si>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</si>
  <si>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</si>
  <si>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</si>
  <si>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</si>
  <si>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</si>
  <si>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</si>
  <si>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</si>
  <si>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</si>
  <si>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</si>
  <si>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</si>
  <si>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</si>
  <si>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</si>
  <si>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</si>
  <si>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</si>
  <si>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</si>
  <si>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</si>
  <si>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</si>
  <si>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</si>
  <si>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</si>
  <si>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</si>
  <si>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</si>
  <si>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</si>
  <si>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</si>
  <si>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</si>
  <si>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</si>
  <si>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</si>
  <si>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</si>
  <si>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</si>
  <si>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</si>
  <si>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</si>
  <si>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</si>
  <si>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</si>
  <si>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</si>
  <si>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</si>
  <si>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</si>
  <si>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</si>
  <si>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</si>
  <si>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</si>
  <si>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</si>
  <si>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</si>
  <si>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</si>
  <si>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</si>
  <si>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</si>
  <si>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</si>
  <si>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</si>
  <si>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</si>
  <si>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</si>
  <si>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</si>
  <si>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</si>
  <si>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</si>
  <si>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</si>
  <si>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</si>
  <si>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</si>
  <si>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</si>
  <si>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</si>
  <si>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</si>
  <si>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</si>
  <si>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</si>
  <si>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</si>
  <si>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</si>
  <si>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</si>
  <si>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</si>
  <si>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</si>
  <si>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</si>
  <si>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</si>
  <si>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</si>
  <si>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</si>
  <si>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</si>
  <si>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</si>
  <si>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</si>
  <si>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</si>
  <si>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</si>
  <si>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</si>
  <si>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</si>
  <si>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</si>
  <si>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</si>
  <si>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</si>
  <si>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</si>
  <si>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</si>
  <si>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</si>
  <si>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</si>
  <si>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</si>
  <si>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</si>
  <si>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</si>
  <si>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</si>
  <si>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</si>
  <si>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</si>
  <si>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</si>
  <si>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</si>
  <si>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</si>
  <si>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</si>
  <si>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</si>
  <si>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</si>
  <si>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</si>
  <si>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</si>
  <si>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</si>
  <si>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</si>
  <si>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</si>
  <si>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</si>
  <si>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</si>
  <si>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</si>
  <si>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</si>
  <si>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</si>
  <si>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</si>
  <si>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</si>
  <si>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</si>
  <si>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</si>
  <si>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</si>
  <si>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</si>
  <si>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</si>
  <si>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</si>
  <si>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</si>
  <si>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</si>
  <si>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</si>
  <si>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</si>
  <si>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</si>
  <si>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</si>
  <si>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</si>
  <si>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</si>
  <si>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</si>
  <si>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</si>
  <si>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</si>
  <si>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</si>
  <si>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</si>
  <si>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</si>
  <si>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</si>
  <si>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</si>
  <si>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</si>
  <si>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</si>
  <si>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</si>
  <si>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</si>
  <si>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</si>
  <si>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</si>
  <si>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</si>
  <si>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</si>
  <si>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</si>
  <si>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</si>
  <si>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</si>
  <si>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</si>
  <si>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</si>
  <si>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</si>
  <si>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</si>
  <si>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</si>
  <si>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</si>
  <si>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</si>
  <si>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</si>
  <si>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</si>
  <si>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</si>
  <si>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</si>
  <si>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</si>
  <si>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</si>
  <si>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</si>
  <si>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</si>
  <si>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</si>
  <si>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</si>
  <si>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</si>
  <si>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</si>
  <si>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</si>
  <si>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</si>
  <si>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</si>
  <si>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</si>
  <si>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</si>
  <si>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</si>
  <si>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</si>
  <si>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</si>
  <si>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</si>
  <si>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</si>
  <si>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</si>
  <si>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</si>
  <si>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</si>
  <si>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</si>
  <si>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</si>
  <si>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</si>
  <si>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</si>
  <si>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</si>
  <si>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</si>
  <si>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</si>
  <si>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</si>
  <si>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</si>
  <si>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</si>
  <si>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</si>
  <si>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</si>
  <si>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</si>
  <si>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</si>
  <si>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</si>
  <si>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</si>
  <si>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</si>
  <si>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</si>
  <si>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</si>
  <si>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</si>
  <si>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</si>
  <si>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</si>
  <si>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</si>
  <si>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</si>
  <si>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</si>
  <si>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</si>
  <si>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</si>
  <si>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</si>
  <si>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</si>
  <si>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</si>
  <si>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</si>
  <si>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</si>
  <si>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</si>
  <si>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</si>
  <si>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</si>
  <si>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</si>
  <si>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</si>
  <si>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</si>
  <si>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</si>
  <si>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</si>
  <si>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</si>
  <si>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</si>
  <si>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</si>
  <si>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</si>
  <si>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</si>
  <si>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</si>
  <si>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</si>
  <si>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</si>
  <si>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</si>
  <si>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</si>
  <si>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</si>
  <si>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</si>
  <si>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</si>
  <si>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</si>
  <si>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</si>
  <si>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</si>
  <si>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</si>
  <si>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</si>
  <si>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</si>
  <si>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</si>
  <si>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</si>
  <si>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</si>
  <si>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</si>
  <si>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</si>
  <si>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</si>
  <si>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</si>
  <si>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</si>
  <si>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</si>
  <si>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</si>
  <si>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</si>
  <si>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</si>
  <si>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</si>
  <si>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</si>
  <si>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</si>
  <si>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</si>
  <si>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</si>
  <si>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</si>
  <si>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</si>
  <si>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</si>
  <si>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</si>
  <si>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</si>
  <si>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</si>
  <si>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</si>
  <si>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</si>
  <si>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</si>
  <si>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</si>
  <si>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</si>
  <si>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</si>
  <si>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</si>
  <si>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</si>
  <si>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</si>
  <si>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</si>
  <si>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</si>
  <si>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</si>
  <si>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</si>
  <si>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</si>
  <si>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</si>
  <si>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</si>
  <si>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</si>
  <si>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</si>
  <si>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</si>
  <si>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COLONNA RIFERIMENTO PRIVATI</t>
  </si>
  <si>
    <t>Riferimento</t>
  </si>
  <si>
    <t xml:space="preserve">data inizio </t>
  </si>
  <si>
    <t>data fine</t>
  </si>
  <si>
    <t xml:space="preserve">snapshot date </t>
  </si>
  <si>
    <t>Rpoint</t>
  </si>
  <si>
    <t>Fpoint</t>
  </si>
  <si>
    <t>Mpoint</t>
  </si>
  <si>
    <t>RFM point</t>
  </si>
  <si>
    <t xml:space="preserve">Last purchase </t>
  </si>
  <si>
    <t>FAM001</t>
  </si>
  <si>
    <t>FAM002</t>
  </si>
  <si>
    <t>FAM003</t>
  </si>
  <si>
    <t>FAM004</t>
  </si>
  <si>
    <t>FAM005</t>
  </si>
  <si>
    <t>FAM006</t>
  </si>
  <si>
    <t>FAM007</t>
  </si>
  <si>
    <t>FAM008</t>
  </si>
  <si>
    <t>FAM009</t>
  </si>
  <si>
    <t>FAM010</t>
  </si>
  <si>
    <t>FAM011</t>
  </si>
  <si>
    <t>FAM012</t>
  </si>
  <si>
    <t>FAM013</t>
  </si>
  <si>
    <t>FAM014</t>
  </si>
  <si>
    <t>FAM015</t>
  </si>
  <si>
    <t>FAM016</t>
  </si>
  <si>
    <t>FAM017</t>
  </si>
  <si>
    <t>FAM018</t>
  </si>
  <si>
    <t>FAM019</t>
  </si>
  <si>
    <t>FAM020</t>
  </si>
  <si>
    <t>FAM021</t>
  </si>
  <si>
    <t>FAM022</t>
  </si>
  <si>
    <t>FAM023</t>
  </si>
  <si>
    <t>FAM024</t>
  </si>
  <si>
    <t>FAM025</t>
  </si>
  <si>
    <t>FAM026</t>
  </si>
  <si>
    <t>FAM027</t>
  </si>
  <si>
    <t>FAM028</t>
  </si>
  <si>
    <t>FAM029</t>
  </si>
  <si>
    <t>FAM030</t>
  </si>
  <si>
    <t>FAM031</t>
  </si>
  <si>
    <t>FAM032</t>
  </si>
  <si>
    <t>FAM033</t>
  </si>
  <si>
    <t>FAM034</t>
  </si>
  <si>
    <t>FAM035</t>
  </si>
  <si>
    <t>FAM036</t>
  </si>
  <si>
    <t>FAM037</t>
  </si>
  <si>
    <t>FAM038</t>
  </si>
  <si>
    <t>FAM039</t>
  </si>
  <si>
    <t>FAM040</t>
  </si>
  <si>
    <t>FAM041</t>
  </si>
  <si>
    <t>FAM042</t>
  </si>
  <si>
    <t>FAM043</t>
  </si>
  <si>
    <t>FAM044</t>
  </si>
  <si>
    <t>FAM045</t>
  </si>
  <si>
    <t>FAM046</t>
  </si>
  <si>
    <t>FAM047</t>
  </si>
  <si>
    <t>FAM048</t>
  </si>
  <si>
    <t>FAM049</t>
  </si>
  <si>
    <t>FAM050</t>
  </si>
  <si>
    <t>FAM051</t>
  </si>
  <si>
    <t>FAM052</t>
  </si>
  <si>
    <t>FAM053</t>
  </si>
  <si>
    <t>FAM054</t>
  </si>
  <si>
    <t>FAM055</t>
  </si>
  <si>
    <t>FAM056</t>
  </si>
  <si>
    <t>FAM057</t>
  </si>
  <si>
    <t>FAM058</t>
  </si>
  <si>
    <t>FAM059</t>
  </si>
  <si>
    <t>FAM060</t>
  </si>
  <si>
    <t>FAM061</t>
  </si>
  <si>
    <t>FAM062</t>
  </si>
  <si>
    <t>FAM063</t>
  </si>
  <si>
    <t>FAM064</t>
  </si>
  <si>
    <t>FAM065</t>
  </si>
  <si>
    <t>FAM066</t>
  </si>
  <si>
    <t>FAM067</t>
  </si>
  <si>
    <t>FAM068</t>
  </si>
  <si>
    <t>FAM069</t>
  </si>
  <si>
    <t>FAM070</t>
  </si>
  <si>
    <t>FAM071</t>
  </si>
  <si>
    <t>FAM072</t>
  </si>
  <si>
    <t>FAM073</t>
  </si>
  <si>
    <t>FAM074</t>
  </si>
  <si>
    <t>FAM075</t>
  </si>
  <si>
    <t>FAM076</t>
  </si>
  <si>
    <t>FAM077</t>
  </si>
  <si>
    <t>FAM078</t>
  </si>
  <si>
    <t>FAM079</t>
  </si>
  <si>
    <t>FAM080</t>
  </si>
  <si>
    <t>FAM081</t>
  </si>
  <si>
    <t>FAM082</t>
  </si>
  <si>
    <t>FAM083</t>
  </si>
  <si>
    <t>FAM084</t>
  </si>
  <si>
    <t>FAM085</t>
  </si>
  <si>
    <t>FAM086</t>
  </si>
  <si>
    <t>FAM087</t>
  </si>
  <si>
    <t>FAM088</t>
  </si>
  <si>
    <t>FAM089</t>
  </si>
  <si>
    <t>FAM090</t>
  </si>
  <si>
    <t>FAM091</t>
  </si>
  <si>
    <t>FAM092</t>
  </si>
  <si>
    <t>FAM093</t>
  </si>
  <si>
    <t>FAM094</t>
  </si>
  <si>
    <t>FAM095</t>
  </si>
  <si>
    <t>FAM096</t>
  </si>
  <si>
    <t>FAM097</t>
  </si>
  <si>
    <t>FAM098</t>
  </si>
  <si>
    <t>FAM099</t>
  </si>
  <si>
    <t>FAM100</t>
  </si>
  <si>
    <t>FAM101</t>
  </si>
  <si>
    <t>FAM102</t>
  </si>
  <si>
    <t>FAM103</t>
  </si>
  <si>
    <t>FAM104</t>
  </si>
  <si>
    <t>FAM105</t>
  </si>
  <si>
    <t>FAM106</t>
  </si>
  <si>
    <t>FAM107</t>
  </si>
  <si>
    <t>FAM108</t>
  </si>
  <si>
    <t>FAM109</t>
  </si>
  <si>
    <t>FAM110</t>
  </si>
  <si>
    <t>FAM111</t>
  </si>
  <si>
    <t>FAM112</t>
  </si>
  <si>
    <t>FAM113</t>
  </si>
  <si>
    <t>FAM114</t>
  </si>
  <si>
    <t>FAM115</t>
  </si>
  <si>
    <t>FAM116</t>
  </si>
  <si>
    <t>FAM117</t>
  </si>
  <si>
    <t>FAM118</t>
  </si>
  <si>
    <t>FAM119</t>
  </si>
  <si>
    <t>FAM120</t>
  </si>
  <si>
    <t>FAM121</t>
  </si>
  <si>
    <t>FAM122</t>
  </si>
  <si>
    <t>FAM123</t>
  </si>
  <si>
    <t>FAM124</t>
  </si>
  <si>
    <t>FAM125</t>
  </si>
  <si>
    <t>FAM126</t>
  </si>
  <si>
    <t>FAM127</t>
  </si>
  <si>
    <t>FAM128</t>
  </si>
  <si>
    <t>FAM129</t>
  </si>
  <si>
    <t>FAM130</t>
  </si>
  <si>
    <t>FAM131</t>
  </si>
  <si>
    <t>FAM132</t>
  </si>
  <si>
    <t>FAM133</t>
  </si>
  <si>
    <t>FAM134</t>
  </si>
  <si>
    <t>FAM135</t>
  </si>
  <si>
    <t>FAM136</t>
  </si>
  <si>
    <t>FAM137</t>
  </si>
  <si>
    <t>FAM138</t>
  </si>
  <si>
    <t>FAM139</t>
  </si>
  <si>
    <t>FAM140</t>
  </si>
  <si>
    <t>FAM141</t>
  </si>
  <si>
    <t>FAM142</t>
  </si>
  <si>
    <t>FAM143</t>
  </si>
  <si>
    <t>FAM144</t>
  </si>
  <si>
    <t>FAM145</t>
  </si>
  <si>
    <t>FAM146</t>
  </si>
  <si>
    <t>FAM147</t>
  </si>
  <si>
    <t>FAM148</t>
  </si>
  <si>
    <t>FAM149</t>
  </si>
  <si>
    <t>FAM150</t>
  </si>
  <si>
    <t>FAM151</t>
  </si>
  <si>
    <t>FAM152</t>
  </si>
  <si>
    <t>FAM153</t>
  </si>
  <si>
    <t>FAM154</t>
  </si>
  <si>
    <t>FAM155</t>
  </si>
  <si>
    <t>FAM156</t>
  </si>
  <si>
    <t>FAM157</t>
  </si>
  <si>
    <t>FAM158</t>
  </si>
  <si>
    <t>FAM159</t>
  </si>
  <si>
    <t>FAM160</t>
  </si>
  <si>
    <t>FAM161</t>
  </si>
  <si>
    <t>FAM162</t>
  </si>
  <si>
    <t>FAM163</t>
  </si>
  <si>
    <t>FAM164</t>
  </si>
  <si>
    <t>FAM165</t>
  </si>
  <si>
    <t>FAM166</t>
  </si>
  <si>
    <t>FAM167</t>
  </si>
  <si>
    <t>FAM168</t>
  </si>
  <si>
    <t>FAM169</t>
  </si>
  <si>
    <t>FAM170</t>
  </si>
  <si>
    <t>FAM171</t>
  </si>
  <si>
    <t>FAM172</t>
  </si>
  <si>
    <t>FAM173</t>
  </si>
  <si>
    <t>FAM174</t>
  </si>
  <si>
    <t>FAM175</t>
  </si>
  <si>
    <t>FAM176</t>
  </si>
  <si>
    <t>FAM177</t>
  </si>
  <si>
    <t>FAM178</t>
  </si>
  <si>
    <t>FAM179</t>
  </si>
  <si>
    <t>FAM180</t>
  </si>
  <si>
    <t>FAM181</t>
  </si>
  <si>
    <t>FAM182</t>
  </si>
  <si>
    <t>FAM183</t>
  </si>
  <si>
    <t>FAM184</t>
  </si>
  <si>
    <t>FAM185</t>
  </si>
  <si>
    <t>FAM186</t>
  </si>
  <si>
    <t>FAM187</t>
  </si>
  <si>
    <t>FAM188</t>
  </si>
  <si>
    <t>FAM189</t>
  </si>
  <si>
    <t>FAM190</t>
  </si>
  <si>
    <t>FAM191</t>
  </si>
  <si>
    <t>FAM192</t>
  </si>
  <si>
    <t>FAM193</t>
  </si>
  <si>
    <t>FAM194</t>
  </si>
  <si>
    <t>FAM195</t>
  </si>
  <si>
    <t>FAM196</t>
  </si>
  <si>
    <t>FAM197</t>
  </si>
  <si>
    <t>FAM198</t>
  </si>
  <si>
    <t>FAM199</t>
  </si>
  <si>
    <t>FAM200</t>
  </si>
  <si>
    <t>FAM201</t>
  </si>
  <si>
    <t>FAM202</t>
  </si>
  <si>
    <t>FAM203</t>
  </si>
  <si>
    <t>FAM204</t>
  </si>
  <si>
    <t>FAM205</t>
  </si>
  <si>
    <t>FAM206</t>
  </si>
  <si>
    <t>FAM207</t>
  </si>
  <si>
    <t>FAM208</t>
  </si>
  <si>
    <t>FAM209</t>
  </si>
  <si>
    <t>FAM210</t>
  </si>
  <si>
    <t>FAM211</t>
  </si>
  <si>
    <t>FAM212</t>
  </si>
  <si>
    <t>FAM213</t>
  </si>
  <si>
    <t>FAM214</t>
  </si>
  <si>
    <t>FAM215</t>
  </si>
  <si>
    <t>FAM216</t>
  </si>
  <si>
    <t>FAM217</t>
  </si>
  <si>
    <t>FAM218</t>
  </si>
  <si>
    <t>FAM219</t>
  </si>
  <si>
    <t>FAM220</t>
  </si>
  <si>
    <t>FAM221</t>
  </si>
  <si>
    <t>FAM222</t>
  </si>
  <si>
    <t>FAM223</t>
  </si>
  <si>
    <t>FAM224</t>
  </si>
  <si>
    <t>FAM225</t>
  </si>
  <si>
    <t>FAM226</t>
  </si>
  <si>
    <t>FAM227</t>
  </si>
  <si>
    <t>FAM228</t>
  </si>
  <si>
    <t>FAM229</t>
  </si>
  <si>
    <t>FAM230</t>
  </si>
  <si>
    <t>FAM231</t>
  </si>
  <si>
    <t>FAM232</t>
  </si>
  <si>
    <t>FAM233</t>
  </si>
  <si>
    <t>FAM234</t>
  </si>
  <si>
    <t>FAM235</t>
  </si>
  <si>
    <t>FAM236</t>
  </si>
  <si>
    <t>FAM237</t>
  </si>
  <si>
    <t>FAM238</t>
  </si>
  <si>
    <t>FAM239</t>
  </si>
  <si>
    <t>FAM240</t>
  </si>
  <si>
    <t>FAM241</t>
  </si>
  <si>
    <t>FAM242</t>
  </si>
  <si>
    <t>FAM243</t>
  </si>
  <si>
    <t>FAM244</t>
  </si>
  <si>
    <t>FAM245</t>
  </si>
  <si>
    <t>FAM246</t>
  </si>
  <si>
    <t>FAM247</t>
  </si>
  <si>
    <t>FAM248</t>
  </si>
  <si>
    <t>FAM249</t>
  </si>
  <si>
    <t>FAM250</t>
  </si>
  <si>
    <t>FAM251</t>
  </si>
  <si>
    <t>FAM252</t>
  </si>
  <si>
    <t>FAM253</t>
  </si>
  <si>
    <t>FAM254</t>
  </si>
  <si>
    <t>FAM255</t>
  </si>
  <si>
    <t>FAM256</t>
  </si>
  <si>
    <t>FAM257</t>
  </si>
  <si>
    <t>FAM258</t>
  </si>
  <si>
    <t>FAM259</t>
  </si>
  <si>
    <t>FAM260</t>
  </si>
  <si>
    <t>FAM261</t>
  </si>
  <si>
    <t>FAM262</t>
  </si>
  <si>
    <t>FAM263</t>
  </si>
  <si>
    <t>FAM264</t>
  </si>
  <si>
    <t>FAM265</t>
  </si>
  <si>
    <t>FAM266</t>
  </si>
  <si>
    <t>FAM267</t>
  </si>
  <si>
    <t>FAM268</t>
  </si>
  <si>
    <t>FAM269</t>
  </si>
  <si>
    <t>FAM270</t>
  </si>
  <si>
    <t>FAM271</t>
  </si>
  <si>
    <t>FAM272</t>
  </si>
  <si>
    <t>FAM273</t>
  </si>
  <si>
    <t>FAM274</t>
  </si>
  <si>
    <t>FAM275</t>
  </si>
  <si>
    <t>FAM276</t>
  </si>
  <si>
    <t>FAM277</t>
  </si>
  <si>
    <t>FAM278</t>
  </si>
  <si>
    <t>FAM279</t>
  </si>
  <si>
    <t>FAM280</t>
  </si>
  <si>
    <t>FAM281</t>
  </si>
  <si>
    <t>FAM282</t>
  </si>
  <si>
    <t>FAM283</t>
  </si>
  <si>
    <t>FAM284</t>
  </si>
  <si>
    <t>FAM285</t>
  </si>
  <si>
    <t>FAM286</t>
  </si>
  <si>
    <t>FAM287</t>
  </si>
  <si>
    <t>FAM288</t>
  </si>
  <si>
    <t>FAM289</t>
  </si>
  <si>
    <t>FAM290</t>
  </si>
  <si>
    <t>FAM291</t>
  </si>
  <si>
    <t>FAM292</t>
  </si>
  <si>
    <t>FAM293</t>
  </si>
  <si>
    <t>FAM294</t>
  </si>
  <si>
    <t>FAM295</t>
  </si>
  <si>
    <t>FAM296</t>
  </si>
  <si>
    <t>FAM297</t>
  </si>
  <si>
    <t>FAM298</t>
  </si>
  <si>
    <t>FAM299</t>
  </si>
  <si>
    <t>FAM300</t>
  </si>
  <si>
    <t>FAM301</t>
  </si>
  <si>
    <t>FAM302</t>
  </si>
  <si>
    <t>FAM303</t>
  </si>
  <si>
    <t>FAM304</t>
  </si>
  <si>
    <t>FAM305</t>
  </si>
  <si>
    <t>FAM306</t>
  </si>
  <si>
    <t>FAM307</t>
  </si>
  <si>
    <t>FAM308</t>
  </si>
  <si>
    <t>FAM309</t>
  </si>
  <si>
    <t>FAM310</t>
  </si>
  <si>
    <t>FAM311</t>
  </si>
  <si>
    <t>FAM312</t>
  </si>
  <si>
    <t>FAM313</t>
  </si>
  <si>
    <t>FAM314</t>
  </si>
  <si>
    <t>FAM315</t>
  </si>
  <si>
    <t>FAM316</t>
  </si>
  <si>
    <t>FAM317</t>
  </si>
  <si>
    <t>FAM318</t>
  </si>
  <si>
    <t>FAM319</t>
  </si>
  <si>
    <t>FAM320</t>
  </si>
  <si>
    <t>FAM321</t>
  </si>
  <si>
    <t>FAM322</t>
  </si>
  <si>
    <t>FAM323</t>
  </si>
  <si>
    <t>FAM324</t>
  </si>
  <si>
    <t>FAM325</t>
  </si>
  <si>
    <t>FAM326</t>
  </si>
  <si>
    <t>FAM327</t>
  </si>
  <si>
    <t>FAM328</t>
  </si>
  <si>
    <t>FAM329</t>
  </si>
  <si>
    <t>FAM330</t>
  </si>
  <si>
    <t>FAM331</t>
  </si>
  <si>
    <t>FAM332</t>
  </si>
  <si>
    <t>FAM333</t>
  </si>
  <si>
    <t>FAM334</t>
  </si>
  <si>
    <t>FAM335</t>
  </si>
  <si>
    <t>FAM336</t>
  </si>
  <si>
    <t>FAM337</t>
  </si>
  <si>
    <t>FAM338</t>
  </si>
  <si>
    <t>FAM339</t>
  </si>
  <si>
    <t>FAM340</t>
  </si>
  <si>
    <t>FAM341</t>
  </si>
  <si>
    <t>FAM342</t>
  </si>
  <si>
    <t>FAM343</t>
  </si>
  <si>
    <t>FAM344</t>
  </si>
  <si>
    <t>FAM345</t>
  </si>
  <si>
    <t>FAM346</t>
  </si>
  <si>
    <t>FAM347</t>
  </si>
  <si>
    <t>FAM348</t>
  </si>
  <si>
    <t>FAM349</t>
  </si>
  <si>
    <t>FAM350</t>
  </si>
  <si>
    <t>FAM351</t>
  </si>
  <si>
    <t>FAM352</t>
  </si>
  <si>
    <t>FAM353</t>
  </si>
  <si>
    <t>FAM354</t>
  </si>
  <si>
    <t>FAM355</t>
  </si>
  <si>
    <t>FAM356</t>
  </si>
  <si>
    <t>FAM357</t>
  </si>
  <si>
    <t>FAM358</t>
  </si>
  <si>
    <t>FAM359</t>
  </si>
  <si>
    <t>FAM360</t>
  </si>
  <si>
    <t>FAM361</t>
  </si>
  <si>
    <t>FAM362</t>
  </si>
  <si>
    <t>FAM363</t>
  </si>
  <si>
    <t>FAM364</t>
  </si>
  <si>
    <t>FAM365</t>
  </si>
  <si>
    <t>FAM366</t>
  </si>
  <si>
    <t>FAM367</t>
  </si>
  <si>
    <t>FAM368</t>
  </si>
  <si>
    <t>FAM369</t>
  </si>
  <si>
    <t>FAM370</t>
  </si>
  <si>
    <t>FAM371</t>
  </si>
  <si>
    <t>FAM372</t>
  </si>
  <si>
    <t>FAM373</t>
  </si>
  <si>
    <t>FAM374</t>
  </si>
  <si>
    <t>FAM375</t>
  </si>
  <si>
    <t>FAM376</t>
  </si>
  <si>
    <t>FAM377</t>
  </si>
  <si>
    <t>FAM378</t>
  </si>
  <si>
    <t>FAM379</t>
  </si>
  <si>
    <t>FAM380</t>
  </si>
  <si>
    <t>FAM381</t>
  </si>
  <si>
    <t>FAM382</t>
  </si>
  <si>
    <t>FAM383</t>
  </si>
  <si>
    <t>FAM384</t>
  </si>
  <si>
    <t>FAM385</t>
  </si>
  <si>
    <t>FAM386</t>
  </si>
  <si>
    <t>FAM387</t>
  </si>
  <si>
    <t>FAM388</t>
  </si>
  <si>
    <t>FAM389</t>
  </si>
  <si>
    <t>FAM390</t>
  </si>
  <si>
    <t>FAM391</t>
  </si>
  <si>
    <t>FAM392</t>
  </si>
  <si>
    <t>FAM393</t>
  </si>
  <si>
    <t>FAM394</t>
  </si>
  <si>
    <t>FAM395</t>
  </si>
  <si>
    <t>FAM396</t>
  </si>
  <si>
    <t>FAM397</t>
  </si>
  <si>
    <t>FAM398</t>
  </si>
  <si>
    <t>FAM399</t>
  </si>
  <si>
    <t>FAM400</t>
  </si>
  <si>
    <t>COLONNA RIFERIMENTO FAMIGLIE</t>
  </si>
  <si>
    <t>RECENCY</t>
  </si>
  <si>
    <t>VALUE</t>
  </si>
  <si>
    <t xml:space="preserve">THRESHOLD </t>
  </si>
  <si>
    <t>min value</t>
  </si>
  <si>
    <t>Q1</t>
  </si>
  <si>
    <t>Q2</t>
  </si>
  <si>
    <t>Q3</t>
  </si>
  <si>
    <t>max value</t>
  </si>
  <si>
    <t>average</t>
  </si>
  <si>
    <t>FREQUENCY</t>
  </si>
  <si>
    <t>THRESHOLD</t>
  </si>
  <si>
    <t>MONETARY</t>
  </si>
  <si>
    <t>Last purchase</t>
  </si>
  <si>
    <t>RECENCY BOXPLOT</t>
  </si>
  <si>
    <t>FREQUENCY BOXPLOT</t>
  </si>
  <si>
    <t>MONETARY BOXPLOT</t>
  </si>
  <si>
    <t>COLONNA CASUALE PRIVATI</t>
  </si>
  <si>
    <t>DATE CASUALI PRIVATI</t>
  </si>
  <si>
    <t>DATE CASUALI FAMIGLIE</t>
  </si>
  <si>
    <t>COLONNA CASUALE FAMIGLIE</t>
  </si>
  <si>
    <t>Disturbo</t>
  </si>
  <si>
    <t>Storm</t>
  </si>
  <si>
    <t>Reference</t>
  </si>
  <si>
    <t>start date</t>
  </si>
  <si>
    <t>last date</t>
  </si>
  <si>
    <t xml:space="preserve">Customer ID </t>
  </si>
  <si>
    <t>start data</t>
  </si>
  <si>
    <t>end data</t>
  </si>
  <si>
    <t>snapshot data</t>
  </si>
  <si>
    <t>Recency</t>
  </si>
  <si>
    <t>Monetary</t>
  </si>
  <si>
    <t>Frequency</t>
  </si>
  <si>
    <t>Recency Boxplot</t>
  </si>
  <si>
    <t>Frequency Boxplot</t>
  </si>
  <si>
    <t>Monetary Boxplot</t>
  </si>
  <si>
    <t>R_points</t>
  </si>
  <si>
    <t>F_points</t>
  </si>
  <si>
    <t>M_points</t>
  </si>
  <si>
    <t>RFM_points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</si>
</sst>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2" fillId="2" borderId="0" xfId="1" applyFont="1"/>
    <xf numFmtId="14" fontId="2" fillId="2" borderId="0" xfId="1" applyNumberFormat="1" applyFont="1"/>
    <xf numFmtId="1" fontId="2" fillId="2" borderId="0" xfId="1" applyNumberFormat="1" applyFont="1"/>
    <xf numFmtId="0" fontId="2" fillId="2" borderId="0" xfId="1" applyFont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/>
  </cellXfs>
  <cellStyles count="2">
    <cellStyle name="40% - Colore 6" xfId="1" builtinId="51"/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3C103F52-6B1F-4CFE-9BAC-A1096723E2F1}">
          <cx:tx>
            <cx:txData>
              <cx:f>_xlchart.v1.2</cx:f>
              <cx:v>Recency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D7BFAFEC-176F-4ECD-A8EB-21CAB943CC61}">
          <cx:tx>
            <cx:txData>
              <cx:f>_xlchart.v1.4</cx:f>
              <cx:v>Monetary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9F3CA148-B624-4553-9D47-EECE67F42C49}">
          <cx:tx>
            <cx:txData>
              <cx:f>_xlchart.v1.0</cx:f>
              <cx:v>Frequency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boxWhisker" uniqueId="{DB66C2BE-8338-460C-95F7-00891E6E7826}">
          <cx:tx>
            <cx:txData>
              <cx:f>_xlchart.v1.10</cx:f>
              <cx:v>Monetary</cx:v>
            </cx:txData>
          </cx:tx>
          <cx:dataLabels pos="r"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boxWhisker" uniqueId="{22DA0737-ACA6-454F-8595-30D51D585DE8}">
          <cx:tx>
            <cx:txData>
              <cx:f>_xlchart.v1.6</cx:f>
              <cx:v>Frequency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boxWhisker" uniqueId="{9FA4427F-C778-4BFB-9F87-F069FB007CFD}">
          <cx:tx>
            <cx:txData>
              <cx:f>_xlchart.v1.8</cx:f>
              <cx:v>Recency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168275</xdr:colOff>
      <xdr:row>32</xdr:row>
      <xdr:rowOff>66674</xdr:rowOff>
    </xdr:from>
    <xdr:to>
      <xdr:col>15</xdr:col>
      <xdr:colOff>254000</xdr:colOff>
      <xdr:row>43</xdr:row>
      <xdr:rowOff>99784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A7D956A8-8B96-4910-9AB5-B11ED2DB77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6825" y="5959474"/>
              <a:ext cx="3616325" cy="205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45357</xdr:colOff>
      <xdr:row>59</xdr:row>
      <xdr:rowOff>40367</xdr:rowOff>
    </xdr:from>
    <xdr:to>
      <xdr:col>15</xdr:col>
      <xdr:colOff>290285</xdr:colOff>
      <xdr:row>72</xdr:row>
      <xdr:rowOff>27214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44F656C8-0127-4229-B86E-06F6D0F613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907" y="10905217"/>
              <a:ext cx="3775528" cy="2380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90715</xdr:colOff>
      <xdr:row>45</xdr:row>
      <xdr:rowOff>63500</xdr:rowOff>
    </xdr:from>
    <xdr:to>
      <xdr:col>15</xdr:col>
      <xdr:colOff>317500</xdr:colOff>
      <xdr:row>56</xdr:row>
      <xdr:rowOff>117930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7DE97B33-36ED-4538-AD85-A1420F8645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39265" y="8350250"/>
              <a:ext cx="3757385" cy="208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603250</xdr:colOff>
      <xdr:row>60</xdr:row>
      <xdr:rowOff>69850</xdr:rowOff>
    </xdr:from>
    <xdr:to>
      <xdr:col>15</xdr:col>
      <xdr:colOff>422275</xdr:colOff>
      <xdr:row>72</xdr:row>
      <xdr:rowOff>73025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27632AF9-EE1A-40B9-99B0-2D61AA874C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1750" y="11118850"/>
              <a:ext cx="3933825" cy="221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9</xdr:col>
      <xdr:colOff>581025</xdr:colOff>
      <xdr:row>44</xdr:row>
      <xdr:rowOff>85725</xdr:rowOff>
    </xdr:from>
    <xdr:to>
      <xdr:col>15</xdr:col>
      <xdr:colOff>165100</xdr:colOff>
      <xdr:row>55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0A89E695-452D-45A8-B2AF-1514B76DF2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9525" y="8188325"/>
              <a:ext cx="3698875" cy="1958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49481</xdr:colOff>
      <xdr:row>31</xdr:row>
      <xdr:rowOff>168827</xdr:rowOff>
    </xdr:from>
    <xdr:to>
      <xdr:col>14</xdr:col>
      <xdr:colOff>496959</xdr:colOff>
      <xdr:row>41</xdr:row>
      <xdr:rowOff>82468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fico 7">
              <a:extLst>
                <a:ext uri="{FF2B5EF4-FFF2-40B4-BE49-F238E27FC236}">
                  <a16:creationId xmlns:a16="http://schemas.microsoft.com/office/drawing/2014/main" id="{728AA21D-6099-4F86-9584-F568251244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7581" y="5877477"/>
              <a:ext cx="3343078" cy="17551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ella18" displayName="Tabella18" ref="M2:N9" totalsRowShown="0">
  <autoFilter ref="M2:N9" xr:uid="{00000000-0009-0000-0100-000007000000}"/>
  <tableColumns count="2">
    <tableColumn id="1" xr3:uid="{00000000-0010-0000-0000-000001000000}" name="VALUE" dataDxfId="8">
      <calculatedColumnFormula>MIN(C2:C1001)</calculatedColumnFormula>
    </tableColumn>
    <tableColumn id="2" xr3:uid="{00000000-0010-0000-0000-000002000000}" name="THRESHOLD 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ella29" displayName="Tabella29" ref="M12:N19" totalsRowShown="0">
  <autoFilter ref="M12:N19" xr:uid="{00000000-0009-0000-0100-000008000000}"/>
  <tableColumns count="2">
    <tableColumn id="1" xr3:uid="{00000000-0010-0000-0100-000001000000}" name="VALUE" dataDxfId="7"/>
    <tableColumn id="2" xr3:uid="{00000000-0010-0000-0100-000002000000}" name="THRESHOLD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ella310" displayName="Tabella310" ref="M22:N29" totalsRowShown="0">
  <autoFilter ref="M22:N29" xr:uid="{00000000-0009-0000-0100-000009000000}"/>
  <tableColumns count="2">
    <tableColumn id="1" xr3:uid="{00000000-0010-0000-0200-000001000000}" name="VALUE" dataDxfId="6"/>
    <tableColumn id="2" xr3:uid="{00000000-0010-0000-0200-000002000000}" name="THRESHOLD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ella1" displayName="Tabella1" ref="M2:N9" totalsRowShown="0">
  <autoFilter ref="M2:N9" xr:uid="{00000000-0009-0000-0100-000001000000}"/>
  <tableColumns count="2">
    <tableColumn id="1" xr3:uid="{00000000-0010-0000-0300-000001000000}" name="VALUE" dataDxfId="5">
      <calculatedColumnFormula>MIN(C2:C1001)</calculatedColumnFormula>
    </tableColumn>
    <tableColumn id="2" xr3:uid="{00000000-0010-0000-0300-000002000000}" name="THRESHOLD 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ella2" displayName="Tabella2" ref="M12:N19" totalsRowShown="0">
  <autoFilter ref="M12:N19" xr:uid="{00000000-0009-0000-0100-000002000000}"/>
  <tableColumns count="2">
    <tableColumn id="1" xr3:uid="{00000000-0010-0000-0400-000001000000}" name="VALUE" dataDxfId="4"/>
    <tableColumn id="2" xr3:uid="{00000000-0010-0000-0400-000002000000}" name="THRESHOLD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ella3" displayName="Tabella3" ref="M22:N29" totalsRowShown="0">
  <autoFilter ref="M22:N29" xr:uid="{00000000-0009-0000-0100-000003000000}"/>
  <tableColumns count="2">
    <tableColumn id="1" xr3:uid="{00000000-0010-0000-0500-000001000000}" name="VALUE" dataDxfId="3"/>
    <tableColumn id="2" xr3:uid="{00000000-0010-0000-0500-000002000000}" name="THRESHOLD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ella4" displayName="Tabella4" ref="M2:N9" totalsRowShown="0">
  <autoFilter ref="M2:N9" xr:uid="{00000000-0009-0000-0100-000004000000}"/>
  <tableColumns count="2">
    <tableColumn id="1" xr3:uid="{00000000-0010-0000-0600-000001000000}" name="VALUE" dataDxfId="2"/>
    <tableColumn id="2" xr3:uid="{00000000-0010-0000-0600-000002000000}" name="THRESHOLD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abella5" displayName="Tabella5" ref="M12:N19" totalsRowShown="0">
  <autoFilter ref="M12:N19" xr:uid="{00000000-0009-0000-0100-000005000000}"/>
  <tableColumns count="2">
    <tableColumn id="1" xr3:uid="{00000000-0010-0000-0700-000001000000}" name="VALUE" dataDxfId="1"/>
    <tableColumn id="2" xr3:uid="{00000000-0010-0000-0700-000002000000}" name="THRESHOLD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ella6" displayName="Tabella6" ref="M22:N29" totalsRowShown="0">
  <autoFilter ref="M22:N29" xr:uid="{00000000-0009-0000-0100-000006000000}"/>
  <tableColumns count="2">
    <tableColumn id="1" xr3:uid="{00000000-0010-0000-0800-000001000000}" name="VALUE" dataDxfId="0"/>
    <tableColumn id="2" xr3:uid="{00000000-0010-0000-0800-000002000000}" name="THRESHOL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zoomScale="82" zoomScaleNormal="100" workbookViewId="0">
      <selection activeCell="I1" sqref="I1"/>
    </sheetView>
  </sheetViews>
  <sheetFormatPr defaultRowHeight="14.5" x14ac:dyDescent="0.35"/>
  <cols>
    <col min="1" max="1" width="12.81640625" customWidth="1"/>
    <col min="2" max="2" width="13.7265625" style="2" customWidth="1"/>
    <col min="3" max="3" width="14" style="3" customWidth="1"/>
    <col min="4" max="4" width="10.54296875" customWidth="1"/>
    <col min="5" max="5" width="10.453125" customWidth="1"/>
    <col min="8" max="8" width="11" customWidth="1"/>
    <col min="9" max="9" width="10.7265625" style="9" customWidth="1"/>
    <col min="13" max="13" width="11.453125" customWidth="1"/>
    <col min="14" max="14" width="14.453125" customWidth="1"/>
    <col min="15" max="15" width="7.1796875" customWidth="1"/>
    <col min="16" max="16" width="8" customWidth="1"/>
    <col min="17" max="17" width="11.26953125" customWidth="1"/>
    <col min="18" max="18" width="13.54296875" style="1" customWidth="1"/>
    <col min="19" max="19" width="14.1796875" customWidth="1"/>
  </cols>
  <sheetData>
    <row r="1" spans="1:19" x14ac:dyDescent="0.35">
      <c r="A1" s="5" t="s">
        <v>0</v>
      </c>
      <c r="B1" s="6" t="s">
        <v>1427</v>
      </c>
      <c r="C1" s="7" t="s">
        <v>1444</v>
      </c>
      <c r="D1" s="5" t="s">
        <v>1445</v>
      </c>
      <c r="E1" s="5" t="s">
        <v>1446</v>
      </c>
      <c r="F1" s="5" t="s">
        <v>1450</v>
      </c>
      <c r="G1" s="5" t="s">
        <v>1451</v>
      </c>
      <c r="H1" s="5" t="s">
        <v>1452</v>
      </c>
      <c r="I1" s="5" t="s">
        <v>1453</v>
      </c>
      <c r="M1" t="s">
        <v>1415</v>
      </c>
      <c r="Q1" t="s">
        <v>1436</v>
      </c>
      <c r="R1" s="1" t="s">
        <v>1437</v>
      </c>
      <c r="S1" t="s">
        <v>1441</v>
      </c>
    </row>
    <row r="2" spans="1:19" x14ac:dyDescent="0.35">
      <c r="A2" t="s">
        <v>4</v>
      </c>
      <c r="B2" s="2">
        <v>45383</v>
      </c>
      <c r="C2" s="3">
        <f>$S$6-B2</f>
        <v>455</v>
      </c>
      <c r="D2">
        <f>ROUND((R2*0.7+Q2*0.3)*(1500-40)+40,0)</f>
        <v>1005</v>
      </c>
      <c r="E2">
        <f>ROUND((R2*0.7+Q2*0.3)*(50-1)+1,0)</f>
        <v>33</v>
      </c>
      <c r="F2">
        <f>IF(C2&lt;=$M$4,5,IF(C2&lt;=$M$9,4,IF(C2&lt;=$M$5,3,IF(C2&lt;=$M$6,2,1))))</f>
        <v>1</v>
      </c>
      <c r="G2">
        <f>IF(E2&lt;=$M$14,1,IF(E2&lt;=$M$15,2,IF(E2&lt;=$M$19,3,IF(E2&lt;=$M$16,4,5))))</f>
        <v>4</v>
      </c>
      <c r="H2">
        <f>IF(D2&lt;=$M$24,1,IF(D2&lt;=$M$25,2,IF(D2&lt;=$M$29,3,IF(D2&lt;=$M$26,4,5))))</f>
        <v>4</v>
      </c>
      <c r="I2" s="9" t="str">
        <f>CONCATENATE(F2,G2,H2)</f>
        <v>144</v>
      </c>
      <c r="M2" t="s">
        <v>1416</v>
      </c>
      <c r="N2" t="s">
        <v>1417</v>
      </c>
      <c r="Q2" s="1">
        <v>0.96147131466153457</v>
      </c>
      <c r="R2" s="1">
        <v>0.53242854549595875</v>
      </c>
      <c r="S2" s="2">
        <v>45292</v>
      </c>
    </row>
    <row r="3" spans="1:19" x14ac:dyDescent="0.35">
      <c r="A3" t="s">
        <v>5</v>
      </c>
      <c r="B3" s="2">
        <v>45739</v>
      </c>
      <c r="C3" s="3">
        <f t="shared" ref="C3:C66" si="0">$S$6-B3</f>
        <v>99</v>
      </c>
      <c r="D3">
        <f t="shared" ref="D3:D66" si="1">ROUND((R3*0.7+Q3*0.3)*(1500-40)+40,0)</f>
        <v>196</v>
      </c>
      <c r="E3">
        <f t="shared" ref="E3:E66" si="2">ROUND((R3*0.7+Q3*0.3)*(50-1)+1,0)</f>
        <v>6</v>
      </c>
      <c r="F3">
        <f t="shared" ref="F3:F66" si="3">IF(C3&lt;=$M$4,5,IF(C3&lt;=$M$9,4,IF(C3&lt;=$M$5,3,IF(C3&lt;=$M$6,2,1))))</f>
        <v>5</v>
      </c>
      <c r="G3">
        <f>IF(E3&lt;=$M$14,1,IF(E3&lt;=$M$15,2,IF(E3&lt;=$M$19,3,IF(E3&lt;=$M$16,4,5))))</f>
        <v>1</v>
      </c>
      <c r="H3">
        <f t="shared" ref="H3:H66" si="4">IF(D3&lt;=$M$24,1,IF(D3&lt;=$M$25,2,IF(D3&lt;=$M$29,3,IF(D3&lt;=$M$26,4,5))))</f>
        <v>1</v>
      </c>
      <c r="I3" s="9" t="str">
        <f t="shared" ref="I3:I66" si="5">CONCATENATE(F3,G3,H3)</f>
        <v>511</v>
      </c>
      <c r="M3" s="3">
        <f t="shared" ref="M3" si="6">MIN(C2:C1001)</f>
        <v>0</v>
      </c>
      <c r="N3" t="s">
        <v>1418</v>
      </c>
      <c r="Q3" s="1">
        <v>0.11250862588569743</v>
      </c>
      <c r="R3" s="1">
        <v>0.10398772084272756</v>
      </c>
      <c r="S3" t="s">
        <v>1442</v>
      </c>
    </row>
    <row r="4" spans="1:19" x14ac:dyDescent="0.35">
      <c r="A4" t="s">
        <v>6</v>
      </c>
      <c r="B4" s="2">
        <v>45759</v>
      </c>
      <c r="C4" s="3">
        <f t="shared" si="0"/>
        <v>79</v>
      </c>
      <c r="D4">
        <f t="shared" si="1"/>
        <v>1048</v>
      </c>
      <c r="E4">
        <f t="shared" si="2"/>
        <v>35</v>
      </c>
      <c r="F4">
        <f t="shared" si="3"/>
        <v>5</v>
      </c>
      <c r="G4">
        <f t="shared" ref="G4:G67" si="7">IF(E4&lt;=$M$14,1,IF(E4&lt;=$M$15,2,IF(E4&lt;=$M$19,3,IF(E4&lt;=$M$16,4,5))))</f>
        <v>4</v>
      </c>
      <c r="H4">
        <f t="shared" si="4"/>
        <v>5</v>
      </c>
      <c r="I4" s="9" t="str">
        <f t="shared" si="5"/>
        <v>545</v>
      </c>
      <c r="M4" s="3">
        <f>_xlfn.QUARTILE.INC(C2:C1001,1)</f>
        <v>121.75</v>
      </c>
      <c r="N4" t="s">
        <v>1419</v>
      </c>
      <c r="Q4" s="1">
        <v>0.75572861067122576</v>
      </c>
      <c r="R4" s="1">
        <v>0.66242206961221983</v>
      </c>
      <c r="S4" s="2">
        <v>45838</v>
      </c>
    </row>
    <row r="5" spans="1:19" x14ac:dyDescent="0.35">
      <c r="A5" t="s">
        <v>7</v>
      </c>
      <c r="B5" s="2">
        <v>45737</v>
      </c>
      <c r="C5" s="3">
        <f t="shared" si="0"/>
        <v>101</v>
      </c>
      <c r="D5">
        <f t="shared" si="1"/>
        <v>747</v>
      </c>
      <c r="E5">
        <f t="shared" si="2"/>
        <v>25</v>
      </c>
      <c r="F5">
        <f t="shared" si="3"/>
        <v>5</v>
      </c>
      <c r="G5">
        <f t="shared" si="7"/>
        <v>2</v>
      </c>
      <c r="H5">
        <f t="shared" si="4"/>
        <v>2</v>
      </c>
      <c r="I5" s="9" t="str">
        <f t="shared" si="5"/>
        <v>522</v>
      </c>
      <c r="M5" s="3">
        <f>_xlfn.QUARTILE.INC(C2:C1001,2)</f>
        <v>276.5</v>
      </c>
      <c r="N5" t="s">
        <v>1420</v>
      </c>
      <c r="Q5" s="1">
        <v>0.82792984959082982</v>
      </c>
      <c r="R5" s="1">
        <v>0.33697797654897943</v>
      </c>
      <c r="S5" t="s">
        <v>1443</v>
      </c>
    </row>
    <row r="6" spans="1:19" x14ac:dyDescent="0.35">
      <c r="A6" t="s">
        <v>8</v>
      </c>
      <c r="B6" s="2">
        <v>45781</v>
      </c>
      <c r="C6" s="3">
        <f t="shared" si="0"/>
        <v>57</v>
      </c>
      <c r="D6">
        <f t="shared" si="1"/>
        <v>1063</v>
      </c>
      <c r="E6">
        <f t="shared" si="2"/>
        <v>35</v>
      </c>
      <c r="F6">
        <f t="shared" si="3"/>
        <v>5</v>
      </c>
      <c r="G6">
        <f t="shared" si="7"/>
        <v>4</v>
      </c>
      <c r="H6">
        <f t="shared" si="4"/>
        <v>5</v>
      </c>
      <c r="I6" s="9" t="str">
        <f t="shared" si="5"/>
        <v>545</v>
      </c>
      <c r="M6" s="3">
        <f>_xlfn.QUARTILE.INC(C2:C1001,3)</f>
        <v>408</v>
      </c>
      <c r="N6" t="s">
        <v>1421</v>
      </c>
      <c r="Q6" s="1">
        <v>0.72454024378430359</v>
      </c>
      <c r="R6" s="1">
        <v>0.69093268633256055</v>
      </c>
      <c r="S6" s="2">
        <v>45838</v>
      </c>
    </row>
    <row r="7" spans="1:19" x14ac:dyDescent="0.35">
      <c r="A7" t="s">
        <v>9</v>
      </c>
      <c r="B7" s="2">
        <v>45613</v>
      </c>
      <c r="C7" s="3">
        <f t="shared" si="0"/>
        <v>225</v>
      </c>
      <c r="D7">
        <f t="shared" si="1"/>
        <v>817</v>
      </c>
      <c r="E7">
        <f t="shared" si="2"/>
        <v>27</v>
      </c>
      <c r="F7">
        <f t="shared" si="3"/>
        <v>4</v>
      </c>
      <c r="G7">
        <f t="shared" si="7"/>
        <v>4</v>
      </c>
      <c r="H7">
        <f t="shared" si="4"/>
        <v>4</v>
      </c>
      <c r="I7" s="9" t="str">
        <f t="shared" si="5"/>
        <v>444</v>
      </c>
      <c r="M7" s="3">
        <f>MAX(C2:C1001)</f>
        <v>546</v>
      </c>
      <c r="N7" t="s">
        <v>1422</v>
      </c>
      <c r="Q7" s="1">
        <v>0.33433201598202367</v>
      </c>
      <c r="R7" s="1">
        <v>0.61733081947342572</v>
      </c>
    </row>
    <row r="8" spans="1:19" x14ac:dyDescent="0.35">
      <c r="A8" t="s">
        <v>10</v>
      </c>
      <c r="B8" s="2">
        <v>45556</v>
      </c>
      <c r="C8" s="3">
        <f t="shared" si="0"/>
        <v>282</v>
      </c>
      <c r="D8">
        <f t="shared" si="1"/>
        <v>659</v>
      </c>
      <c r="E8">
        <f t="shared" si="2"/>
        <v>22</v>
      </c>
      <c r="F8">
        <f t="shared" si="3"/>
        <v>2</v>
      </c>
      <c r="G8">
        <f t="shared" si="7"/>
        <v>2</v>
      </c>
      <c r="H8">
        <f t="shared" si="4"/>
        <v>2</v>
      </c>
      <c r="I8" s="9" t="str">
        <f t="shared" si="5"/>
        <v>222</v>
      </c>
      <c r="M8" s="3"/>
      <c r="Q8" s="1">
        <v>0.14688075471339324</v>
      </c>
      <c r="R8" s="1">
        <v>0.5423129843370349</v>
      </c>
    </row>
    <row r="9" spans="1:19" x14ac:dyDescent="0.35">
      <c r="A9" t="s">
        <v>11</v>
      </c>
      <c r="B9" s="2">
        <v>45730</v>
      </c>
      <c r="C9" s="3">
        <f t="shared" si="0"/>
        <v>108</v>
      </c>
      <c r="D9">
        <f t="shared" si="1"/>
        <v>295</v>
      </c>
      <c r="E9">
        <f t="shared" si="2"/>
        <v>10</v>
      </c>
      <c r="F9">
        <f t="shared" si="3"/>
        <v>5</v>
      </c>
      <c r="G9">
        <f t="shared" si="7"/>
        <v>1</v>
      </c>
      <c r="H9">
        <f t="shared" si="4"/>
        <v>1</v>
      </c>
      <c r="I9" s="9" t="str">
        <f t="shared" si="5"/>
        <v>511</v>
      </c>
      <c r="M9" s="3">
        <f>AVERAGE(C2:C1001)</f>
        <v>271.36799999999999</v>
      </c>
      <c r="N9" t="s">
        <v>1423</v>
      </c>
      <c r="Q9" s="1">
        <v>0.10434881459184697</v>
      </c>
      <c r="R9" s="1">
        <v>0.20460617463887731</v>
      </c>
    </row>
    <row r="10" spans="1:19" x14ac:dyDescent="0.35">
      <c r="A10" t="s">
        <v>12</v>
      </c>
      <c r="B10" s="2">
        <v>45364</v>
      </c>
      <c r="C10" s="3">
        <f t="shared" si="0"/>
        <v>474</v>
      </c>
      <c r="D10">
        <f t="shared" si="1"/>
        <v>534</v>
      </c>
      <c r="E10">
        <f t="shared" si="2"/>
        <v>18</v>
      </c>
      <c r="F10">
        <f t="shared" si="3"/>
        <v>1</v>
      </c>
      <c r="G10">
        <f t="shared" si="7"/>
        <v>2</v>
      </c>
      <c r="H10">
        <f t="shared" si="4"/>
        <v>2</v>
      </c>
      <c r="I10" s="9" t="str">
        <f t="shared" si="5"/>
        <v>122</v>
      </c>
      <c r="Q10" s="1">
        <v>0.74773750813043149</v>
      </c>
      <c r="R10" s="1">
        <v>0.16320457138645073</v>
      </c>
    </row>
    <row r="11" spans="1:19" x14ac:dyDescent="0.35">
      <c r="A11" t="s">
        <v>13</v>
      </c>
      <c r="B11" s="2">
        <v>45773</v>
      </c>
      <c r="C11" s="3">
        <f t="shared" si="0"/>
        <v>65</v>
      </c>
      <c r="D11">
        <f t="shared" si="1"/>
        <v>1046</v>
      </c>
      <c r="E11">
        <f t="shared" si="2"/>
        <v>35</v>
      </c>
      <c r="F11">
        <f t="shared" si="3"/>
        <v>5</v>
      </c>
      <c r="G11">
        <f t="shared" si="7"/>
        <v>4</v>
      </c>
      <c r="H11">
        <f t="shared" si="4"/>
        <v>4</v>
      </c>
      <c r="I11" s="9" t="str">
        <f t="shared" si="5"/>
        <v>544</v>
      </c>
      <c r="M11" t="s">
        <v>1424</v>
      </c>
      <c r="Q11" s="1">
        <v>0.28531595871767801</v>
      </c>
      <c r="R11" s="1">
        <v>0.86198078196648653</v>
      </c>
    </row>
    <row r="12" spans="1:19" x14ac:dyDescent="0.35">
      <c r="A12" t="s">
        <v>14</v>
      </c>
      <c r="B12" s="2">
        <v>45446</v>
      </c>
      <c r="C12" s="3">
        <f t="shared" si="0"/>
        <v>392</v>
      </c>
      <c r="D12">
        <f t="shared" si="1"/>
        <v>1374</v>
      </c>
      <c r="E12">
        <f t="shared" si="2"/>
        <v>46</v>
      </c>
      <c r="F12">
        <f t="shared" si="3"/>
        <v>2</v>
      </c>
      <c r="G12">
        <f t="shared" si="7"/>
        <v>5</v>
      </c>
      <c r="H12">
        <f t="shared" si="4"/>
        <v>5</v>
      </c>
      <c r="I12" s="9" t="str">
        <f t="shared" si="5"/>
        <v>255</v>
      </c>
      <c r="M12" t="s">
        <v>1416</v>
      </c>
      <c r="N12" t="s">
        <v>1425</v>
      </c>
      <c r="Q12" s="1">
        <v>0.87915375353285785</v>
      </c>
      <c r="R12" s="1">
        <v>0.9289100646733538</v>
      </c>
    </row>
    <row r="13" spans="1:19" x14ac:dyDescent="0.35">
      <c r="A13" t="s">
        <v>15</v>
      </c>
      <c r="B13" s="2">
        <v>45752</v>
      </c>
      <c r="C13" s="3">
        <f t="shared" si="0"/>
        <v>86</v>
      </c>
      <c r="D13">
        <f t="shared" si="1"/>
        <v>1062</v>
      </c>
      <c r="E13">
        <f t="shared" si="2"/>
        <v>35</v>
      </c>
      <c r="F13">
        <f t="shared" si="3"/>
        <v>5</v>
      </c>
      <c r="G13">
        <f t="shared" si="7"/>
        <v>4</v>
      </c>
      <c r="H13">
        <f t="shared" si="4"/>
        <v>5</v>
      </c>
      <c r="I13" s="9" t="str">
        <f t="shared" si="5"/>
        <v>545</v>
      </c>
      <c r="M13">
        <f>MIN(E2:E1001)</f>
        <v>2</v>
      </c>
      <c r="N13" t="s">
        <v>1418</v>
      </c>
      <c r="Q13" s="1">
        <v>0.64445057081828905</v>
      </c>
      <c r="R13" s="1">
        <v>0.7236970667375483</v>
      </c>
    </row>
    <row r="14" spans="1:19" x14ac:dyDescent="0.35">
      <c r="A14" t="s">
        <v>16</v>
      </c>
      <c r="B14" s="2">
        <v>45585</v>
      </c>
      <c r="C14" s="3">
        <f t="shared" si="0"/>
        <v>253</v>
      </c>
      <c r="D14">
        <f t="shared" si="1"/>
        <v>1095</v>
      </c>
      <c r="E14">
        <f t="shared" si="2"/>
        <v>36</v>
      </c>
      <c r="F14">
        <f t="shared" si="3"/>
        <v>4</v>
      </c>
      <c r="G14">
        <f t="shared" si="7"/>
        <v>5</v>
      </c>
      <c r="H14">
        <f t="shared" si="4"/>
        <v>5</v>
      </c>
      <c r="I14" s="9" t="str">
        <f t="shared" si="5"/>
        <v>455</v>
      </c>
      <c r="M14">
        <f>_xlfn.QUARTILE.INC(E2:E1001,1)</f>
        <v>16</v>
      </c>
      <c r="N14" t="s">
        <v>1419</v>
      </c>
      <c r="Q14" s="1">
        <v>0.978362893850662</v>
      </c>
      <c r="R14" s="1">
        <v>0.6127457005292638</v>
      </c>
    </row>
    <row r="15" spans="1:19" x14ac:dyDescent="0.35">
      <c r="A15" t="s">
        <v>17</v>
      </c>
      <c r="B15" s="2">
        <v>45781</v>
      </c>
      <c r="C15" s="3">
        <f t="shared" si="0"/>
        <v>57</v>
      </c>
      <c r="D15">
        <f t="shared" si="1"/>
        <v>483</v>
      </c>
      <c r="E15">
        <f t="shared" si="2"/>
        <v>16</v>
      </c>
      <c r="F15">
        <f t="shared" si="3"/>
        <v>5</v>
      </c>
      <c r="G15">
        <f t="shared" si="7"/>
        <v>1</v>
      </c>
      <c r="H15">
        <f t="shared" si="4"/>
        <v>1</v>
      </c>
      <c r="I15" s="9" t="str">
        <f t="shared" si="5"/>
        <v>511</v>
      </c>
      <c r="M15">
        <f>_xlfn.QUARTILE.INC(E2:E1001,2)</f>
        <v>26</v>
      </c>
      <c r="N15" t="s">
        <v>1420</v>
      </c>
      <c r="Q15" s="1">
        <v>0.18853513485371987</v>
      </c>
      <c r="R15" s="1">
        <v>0.35250237470099466</v>
      </c>
    </row>
    <row r="16" spans="1:19" x14ac:dyDescent="0.35">
      <c r="A16" t="s">
        <v>18</v>
      </c>
      <c r="B16" s="2">
        <v>45815</v>
      </c>
      <c r="C16" s="3">
        <f t="shared" si="0"/>
        <v>23</v>
      </c>
      <c r="D16">
        <f t="shared" si="1"/>
        <v>347</v>
      </c>
      <c r="E16">
        <f t="shared" si="2"/>
        <v>11</v>
      </c>
      <c r="F16">
        <f t="shared" si="3"/>
        <v>5</v>
      </c>
      <c r="G16">
        <f t="shared" si="7"/>
        <v>1</v>
      </c>
      <c r="H16">
        <f t="shared" si="4"/>
        <v>1</v>
      </c>
      <c r="I16" s="9" t="str">
        <f t="shared" si="5"/>
        <v>511</v>
      </c>
      <c r="M16">
        <f>_xlfn.QUARTILE.INC(E2:E1001,3)</f>
        <v>35</v>
      </c>
      <c r="N16" t="s">
        <v>1421</v>
      </c>
      <c r="Q16" s="1">
        <v>0.64249395700337875</v>
      </c>
      <c r="R16" s="1">
        <v>2.503016530368618E-2</v>
      </c>
    </row>
    <row r="17" spans="1:18" x14ac:dyDescent="0.35">
      <c r="A17" t="s">
        <v>19</v>
      </c>
      <c r="B17" s="2">
        <v>45593</v>
      </c>
      <c r="C17" s="3">
        <f t="shared" si="0"/>
        <v>245</v>
      </c>
      <c r="D17">
        <f t="shared" si="1"/>
        <v>987</v>
      </c>
      <c r="E17">
        <f t="shared" si="2"/>
        <v>33</v>
      </c>
      <c r="F17">
        <f t="shared" si="3"/>
        <v>4</v>
      </c>
      <c r="G17">
        <f t="shared" si="7"/>
        <v>4</v>
      </c>
      <c r="H17">
        <f t="shared" si="4"/>
        <v>4</v>
      </c>
      <c r="I17" s="9" t="str">
        <f t="shared" si="5"/>
        <v>444</v>
      </c>
      <c r="M17">
        <f>MAX(E2:E1001)</f>
        <v>49</v>
      </c>
      <c r="N17" t="s">
        <v>1422</v>
      </c>
      <c r="Q17" s="1">
        <v>0.95705825230199948</v>
      </c>
      <c r="R17" s="1">
        <v>0.51597277376300821</v>
      </c>
    </row>
    <row r="18" spans="1:18" x14ac:dyDescent="0.35">
      <c r="A18" t="s">
        <v>20</v>
      </c>
      <c r="B18" s="2">
        <v>45331</v>
      </c>
      <c r="C18" s="3">
        <f t="shared" si="0"/>
        <v>507</v>
      </c>
      <c r="D18">
        <f t="shared" si="1"/>
        <v>149</v>
      </c>
      <c r="E18">
        <f t="shared" si="2"/>
        <v>5</v>
      </c>
      <c r="F18">
        <f t="shared" si="3"/>
        <v>1</v>
      </c>
      <c r="G18">
        <f t="shared" si="7"/>
        <v>1</v>
      </c>
      <c r="H18">
        <f t="shared" si="4"/>
        <v>1</v>
      </c>
      <c r="I18" s="9" t="str">
        <f t="shared" si="5"/>
        <v>111</v>
      </c>
      <c r="Q18" s="1">
        <v>0.21495791489405436</v>
      </c>
      <c r="R18" s="1">
        <v>1.4075779578826109E-2</v>
      </c>
    </row>
    <row r="19" spans="1:18" x14ac:dyDescent="0.35">
      <c r="A19" t="s">
        <v>21</v>
      </c>
      <c r="B19" s="2">
        <v>45828</v>
      </c>
      <c r="C19" s="3">
        <f t="shared" si="0"/>
        <v>10</v>
      </c>
      <c r="D19">
        <f t="shared" si="1"/>
        <v>461</v>
      </c>
      <c r="E19">
        <f t="shared" si="2"/>
        <v>15</v>
      </c>
      <c r="F19">
        <f t="shared" si="3"/>
        <v>5</v>
      </c>
      <c r="G19">
        <f t="shared" si="7"/>
        <v>1</v>
      </c>
      <c r="H19">
        <f t="shared" si="4"/>
        <v>1</v>
      </c>
      <c r="I19" s="9" t="str">
        <f t="shared" si="5"/>
        <v>511</v>
      </c>
      <c r="M19">
        <f>AVERAGE(E2:E1001)</f>
        <v>25.6</v>
      </c>
      <c r="N19" t="s">
        <v>1423</v>
      </c>
      <c r="Q19" s="1">
        <v>0.74435349401562345</v>
      </c>
      <c r="R19" s="1">
        <v>9.3097875732841784E-2</v>
      </c>
    </row>
    <row r="20" spans="1:18" x14ac:dyDescent="0.35">
      <c r="A20" t="s">
        <v>22</v>
      </c>
      <c r="B20" s="2">
        <v>45301</v>
      </c>
      <c r="C20" s="3">
        <f t="shared" si="0"/>
        <v>537</v>
      </c>
      <c r="D20">
        <f t="shared" si="1"/>
        <v>562</v>
      </c>
      <c r="E20">
        <f t="shared" si="2"/>
        <v>19</v>
      </c>
      <c r="F20">
        <f t="shared" si="3"/>
        <v>1</v>
      </c>
      <c r="G20">
        <f t="shared" si="7"/>
        <v>2</v>
      </c>
      <c r="H20">
        <f t="shared" si="4"/>
        <v>2</v>
      </c>
      <c r="I20" s="9" t="str">
        <f t="shared" si="5"/>
        <v>122</v>
      </c>
      <c r="Q20" s="1">
        <v>0.55035758499648424</v>
      </c>
      <c r="R20" s="1">
        <v>0.27512442304029527</v>
      </c>
    </row>
    <row r="21" spans="1:18" x14ac:dyDescent="0.35">
      <c r="A21" t="s">
        <v>23</v>
      </c>
      <c r="B21" s="2">
        <v>45697</v>
      </c>
      <c r="C21" s="3">
        <f t="shared" si="0"/>
        <v>141</v>
      </c>
      <c r="D21">
        <f t="shared" si="1"/>
        <v>693</v>
      </c>
      <c r="E21">
        <f t="shared" si="2"/>
        <v>23</v>
      </c>
      <c r="F21">
        <f t="shared" si="3"/>
        <v>4</v>
      </c>
      <c r="G21">
        <f t="shared" si="7"/>
        <v>2</v>
      </c>
      <c r="H21">
        <f t="shared" si="4"/>
        <v>2</v>
      </c>
      <c r="I21" s="9" t="str">
        <f t="shared" si="5"/>
        <v>422</v>
      </c>
      <c r="M21" t="s">
        <v>1426</v>
      </c>
      <c r="Q21" s="1">
        <v>0.22993888255920547</v>
      </c>
      <c r="R21" s="1">
        <v>0.54020156740471104</v>
      </c>
    </row>
    <row r="22" spans="1:18" x14ac:dyDescent="0.35">
      <c r="A22" t="s">
        <v>24</v>
      </c>
      <c r="B22" s="2">
        <v>45441</v>
      </c>
      <c r="C22" s="3">
        <f t="shared" si="0"/>
        <v>397</v>
      </c>
      <c r="D22">
        <f t="shared" si="1"/>
        <v>738</v>
      </c>
      <c r="E22">
        <f t="shared" si="2"/>
        <v>24</v>
      </c>
      <c r="F22">
        <f t="shared" si="3"/>
        <v>2</v>
      </c>
      <c r="G22">
        <f t="shared" si="7"/>
        <v>2</v>
      </c>
      <c r="H22">
        <f t="shared" si="4"/>
        <v>2</v>
      </c>
      <c r="I22" s="9" t="str">
        <f t="shared" si="5"/>
        <v>222</v>
      </c>
      <c r="M22" t="s">
        <v>1416</v>
      </c>
      <c r="N22" t="s">
        <v>1425</v>
      </c>
      <c r="Q22" s="1">
        <v>0.34735916341401762</v>
      </c>
      <c r="R22" s="1">
        <v>0.53392763281421285</v>
      </c>
    </row>
    <row r="23" spans="1:18" x14ac:dyDescent="0.35">
      <c r="A23" t="s">
        <v>25</v>
      </c>
      <c r="B23" s="2">
        <v>45814</v>
      </c>
      <c r="C23" s="3">
        <f t="shared" si="0"/>
        <v>24</v>
      </c>
      <c r="D23">
        <f t="shared" si="1"/>
        <v>884</v>
      </c>
      <c r="E23">
        <f t="shared" si="2"/>
        <v>29</v>
      </c>
      <c r="F23">
        <f t="shared" si="3"/>
        <v>5</v>
      </c>
      <c r="G23">
        <f t="shared" si="7"/>
        <v>4</v>
      </c>
      <c r="H23">
        <f t="shared" si="4"/>
        <v>4</v>
      </c>
      <c r="I23" s="9" t="str">
        <f t="shared" si="5"/>
        <v>544</v>
      </c>
      <c r="M23">
        <f>MIN(D2:D1001)</f>
        <v>57</v>
      </c>
      <c r="N23" t="s">
        <v>1418</v>
      </c>
      <c r="Q23" s="1">
        <v>0.76416387362039639</v>
      </c>
      <c r="R23" s="1">
        <v>0.49856322515308327</v>
      </c>
    </row>
    <row r="24" spans="1:18" x14ac:dyDescent="0.35">
      <c r="A24" t="s">
        <v>26</v>
      </c>
      <c r="B24" s="2">
        <v>45820</v>
      </c>
      <c r="C24" s="3">
        <f t="shared" si="0"/>
        <v>18</v>
      </c>
      <c r="D24">
        <f t="shared" si="1"/>
        <v>621</v>
      </c>
      <c r="E24">
        <f t="shared" si="2"/>
        <v>20</v>
      </c>
      <c r="F24">
        <f t="shared" si="3"/>
        <v>5</v>
      </c>
      <c r="G24">
        <f t="shared" si="7"/>
        <v>2</v>
      </c>
      <c r="H24">
        <f t="shared" si="4"/>
        <v>2</v>
      </c>
      <c r="I24" s="9" t="str">
        <f t="shared" si="5"/>
        <v>522</v>
      </c>
      <c r="M24">
        <f>_xlfn.QUARTILE.INC(D2:D1001,1)</f>
        <v>500</v>
      </c>
      <c r="N24" t="s">
        <v>1419</v>
      </c>
      <c r="Q24" s="1">
        <v>0.70989364569607794</v>
      </c>
      <c r="R24" s="1">
        <v>0.26383643207657925</v>
      </c>
    </row>
    <row r="25" spans="1:18" x14ac:dyDescent="0.35">
      <c r="A25" t="s">
        <v>27</v>
      </c>
      <c r="B25" s="2">
        <v>45345</v>
      </c>
      <c r="C25" s="3">
        <f t="shared" si="0"/>
        <v>493</v>
      </c>
      <c r="D25">
        <f t="shared" si="1"/>
        <v>612</v>
      </c>
      <c r="E25">
        <f t="shared" si="2"/>
        <v>20</v>
      </c>
      <c r="F25">
        <f t="shared" si="3"/>
        <v>1</v>
      </c>
      <c r="G25">
        <f t="shared" si="7"/>
        <v>2</v>
      </c>
      <c r="H25">
        <f t="shared" si="4"/>
        <v>2</v>
      </c>
      <c r="I25" s="9" t="str">
        <f t="shared" si="5"/>
        <v>122</v>
      </c>
      <c r="M25">
        <f>_xlfn.QUARTILE.INC(D2:D1001,2)</f>
        <v>780</v>
      </c>
      <c r="N25" t="s">
        <v>1420</v>
      </c>
      <c r="Q25" s="1">
        <v>0.77033370946574953</v>
      </c>
      <c r="R25" s="1">
        <v>0.22909616621875539</v>
      </c>
    </row>
    <row r="26" spans="1:18" x14ac:dyDescent="0.35">
      <c r="A26" t="s">
        <v>28</v>
      </c>
      <c r="B26" s="2">
        <v>45306</v>
      </c>
      <c r="C26" s="3">
        <f t="shared" si="0"/>
        <v>532</v>
      </c>
      <c r="D26">
        <f t="shared" si="1"/>
        <v>603</v>
      </c>
      <c r="E26">
        <f t="shared" si="2"/>
        <v>20</v>
      </c>
      <c r="F26">
        <f t="shared" si="3"/>
        <v>1</v>
      </c>
      <c r="G26">
        <f t="shared" si="7"/>
        <v>2</v>
      </c>
      <c r="H26">
        <f t="shared" si="4"/>
        <v>2</v>
      </c>
      <c r="I26" s="9" t="str">
        <f t="shared" si="5"/>
        <v>122</v>
      </c>
      <c r="M26">
        <f>_xlfn.QUARTILE.INC(D2:D1001,3)</f>
        <v>1046</v>
      </c>
      <c r="N26" t="s">
        <v>1421</v>
      </c>
      <c r="Q26" s="1">
        <v>0.66309019197312991</v>
      </c>
      <c r="R26" s="1">
        <v>0.26639252910885558</v>
      </c>
    </row>
    <row r="27" spans="1:18" x14ac:dyDescent="0.35">
      <c r="A27" t="s">
        <v>29</v>
      </c>
      <c r="B27" s="2">
        <v>45522</v>
      </c>
      <c r="C27" s="3">
        <f t="shared" si="0"/>
        <v>316</v>
      </c>
      <c r="D27">
        <f t="shared" si="1"/>
        <v>640</v>
      </c>
      <c r="E27">
        <f t="shared" si="2"/>
        <v>21</v>
      </c>
      <c r="F27">
        <f t="shared" si="3"/>
        <v>2</v>
      </c>
      <c r="G27">
        <f t="shared" si="7"/>
        <v>2</v>
      </c>
      <c r="H27">
        <f t="shared" si="4"/>
        <v>2</v>
      </c>
      <c r="I27" s="9" t="str">
        <f t="shared" si="5"/>
        <v>222</v>
      </c>
      <c r="M27">
        <f>MAX(D2:D1001)</f>
        <v>1461</v>
      </c>
      <c r="N27" t="s">
        <v>1422</v>
      </c>
      <c r="Q27" s="1">
        <v>0.12758726441492318</v>
      </c>
      <c r="R27" s="1">
        <v>0.53209868819326434</v>
      </c>
    </row>
    <row r="28" spans="1:18" x14ac:dyDescent="0.35">
      <c r="A28" t="s">
        <v>30</v>
      </c>
      <c r="B28" s="2">
        <v>45533</v>
      </c>
      <c r="C28" s="3">
        <f t="shared" si="0"/>
        <v>305</v>
      </c>
      <c r="D28">
        <f t="shared" si="1"/>
        <v>1022</v>
      </c>
      <c r="E28">
        <f t="shared" si="2"/>
        <v>34</v>
      </c>
      <c r="F28">
        <f t="shared" si="3"/>
        <v>2</v>
      </c>
      <c r="G28">
        <f t="shared" si="7"/>
        <v>4</v>
      </c>
      <c r="H28">
        <f t="shared" si="4"/>
        <v>4</v>
      </c>
      <c r="I28" s="9" t="str">
        <f t="shared" si="5"/>
        <v>244</v>
      </c>
      <c r="Q28" s="1">
        <v>0.81164458278665463</v>
      </c>
      <c r="R28" s="1">
        <v>0.61317061185251276</v>
      </c>
    </row>
    <row r="29" spans="1:18" x14ac:dyDescent="0.35">
      <c r="A29" t="s">
        <v>31</v>
      </c>
      <c r="B29" s="2">
        <v>45441</v>
      </c>
      <c r="C29" s="3">
        <f t="shared" si="0"/>
        <v>397</v>
      </c>
      <c r="D29">
        <f t="shared" si="1"/>
        <v>834</v>
      </c>
      <c r="E29">
        <f t="shared" si="2"/>
        <v>28</v>
      </c>
      <c r="F29">
        <f t="shared" si="3"/>
        <v>2</v>
      </c>
      <c r="G29">
        <f t="shared" si="7"/>
        <v>4</v>
      </c>
      <c r="H29">
        <f t="shared" si="4"/>
        <v>4</v>
      </c>
      <c r="I29" s="9" t="str">
        <f t="shared" si="5"/>
        <v>244</v>
      </c>
      <c r="M29">
        <f>AVERAGE(D2:D1001)</f>
        <v>773.33900000000006</v>
      </c>
      <c r="N29" t="s">
        <v>1423</v>
      </c>
      <c r="Q29" s="1">
        <v>0.71168991550851746</v>
      </c>
      <c r="R29" s="1">
        <v>0.47189299708186583</v>
      </c>
    </row>
    <row r="30" spans="1:18" x14ac:dyDescent="0.35">
      <c r="A30" t="s">
        <v>32</v>
      </c>
      <c r="B30" s="2">
        <v>45448</v>
      </c>
      <c r="C30" s="3">
        <f t="shared" si="0"/>
        <v>390</v>
      </c>
      <c r="D30">
        <f t="shared" si="1"/>
        <v>587</v>
      </c>
      <c r="E30">
        <f t="shared" si="2"/>
        <v>19</v>
      </c>
      <c r="F30">
        <f t="shared" si="3"/>
        <v>2</v>
      </c>
      <c r="G30">
        <f t="shared" si="7"/>
        <v>2</v>
      </c>
      <c r="H30">
        <f t="shared" si="4"/>
        <v>2</v>
      </c>
      <c r="I30" s="9" t="str">
        <f t="shared" si="5"/>
        <v>222</v>
      </c>
      <c r="Q30" s="1">
        <v>0.71208143312316596</v>
      </c>
      <c r="R30" s="1">
        <v>0.229793426680303</v>
      </c>
    </row>
    <row r="31" spans="1:18" x14ac:dyDescent="0.35">
      <c r="A31" t="s">
        <v>33</v>
      </c>
      <c r="B31" s="2">
        <v>45433</v>
      </c>
      <c r="C31" s="3">
        <f t="shared" si="0"/>
        <v>405</v>
      </c>
      <c r="D31">
        <f t="shared" si="1"/>
        <v>1310</v>
      </c>
      <c r="E31">
        <f t="shared" si="2"/>
        <v>44</v>
      </c>
      <c r="F31">
        <f t="shared" si="3"/>
        <v>2</v>
      </c>
      <c r="G31">
        <f t="shared" si="7"/>
        <v>5</v>
      </c>
      <c r="H31">
        <f t="shared" si="4"/>
        <v>5</v>
      </c>
      <c r="I31" s="9" t="str">
        <f t="shared" si="5"/>
        <v>255</v>
      </c>
      <c r="Q31" s="1">
        <v>0.83649282788430379</v>
      </c>
      <c r="R31" s="1">
        <v>0.88461015188193182</v>
      </c>
    </row>
    <row r="32" spans="1:18" x14ac:dyDescent="0.35">
      <c r="A32" t="s">
        <v>34</v>
      </c>
      <c r="B32" s="2">
        <v>45345</v>
      </c>
      <c r="C32" s="3">
        <f t="shared" si="0"/>
        <v>493</v>
      </c>
      <c r="D32">
        <f t="shared" si="1"/>
        <v>1400</v>
      </c>
      <c r="E32">
        <f t="shared" si="2"/>
        <v>47</v>
      </c>
      <c r="F32">
        <f t="shared" si="3"/>
        <v>1</v>
      </c>
      <c r="G32">
        <f t="shared" si="7"/>
        <v>5</v>
      </c>
      <c r="H32">
        <f t="shared" si="4"/>
        <v>5</v>
      </c>
      <c r="I32" s="9" t="str">
        <f t="shared" si="5"/>
        <v>155</v>
      </c>
      <c r="M32" t="s">
        <v>1428</v>
      </c>
      <c r="Q32" s="1">
        <v>0.83473800219235206</v>
      </c>
      <c r="R32" s="1">
        <v>0.97277135245601931</v>
      </c>
    </row>
    <row r="33" spans="1:18" x14ac:dyDescent="0.35">
      <c r="A33" t="s">
        <v>35</v>
      </c>
      <c r="B33" s="2">
        <v>45457</v>
      </c>
      <c r="C33" s="3">
        <f t="shared" si="0"/>
        <v>381</v>
      </c>
      <c r="D33">
        <f t="shared" si="1"/>
        <v>460</v>
      </c>
      <c r="E33">
        <f t="shared" si="2"/>
        <v>15</v>
      </c>
      <c r="F33">
        <f t="shared" si="3"/>
        <v>2</v>
      </c>
      <c r="G33">
        <f t="shared" si="7"/>
        <v>1</v>
      </c>
      <c r="H33">
        <f t="shared" si="4"/>
        <v>1</v>
      </c>
      <c r="I33" s="9" t="str">
        <f t="shared" si="5"/>
        <v>211</v>
      </c>
      <c r="Q33" s="1">
        <v>0.73007974051123303</v>
      </c>
      <c r="R33" s="1">
        <v>9.8229048192362667E-2</v>
      </c>
    </row>
    <row r="34" spans="1:18" x14ac:dyDescent="0.35">
      <c r="A34" t="s">
        <v>36</v>
      </c>
      <c r="B34" s="2">
        <v>45774</v>
      </c>
      <c r="C34" s="3">
        <f t="shared" si="0"/>
        <v>64</v>
      </c>
      <c r="D34">
        <f t="shared" si="1"/>
        <v>505</v>
      </c>
      <c r="E34">
        <f t="shared" si="2"/>
        <v>17</v>
      </c>
      <c r="F34">
        <f t="shared" si="3"/>
        <v>5</v>
      </c>
      <c r="G34">
        <f t="shared" si="7"/>
        <v>2</v>
      </c>
      <c r="H34">
        <f t="shared" si="4"/>
        <v>2</v>
      </c>
      <c r="I34" s="9" t="str">
        <f t="shared" si="5"/>
        <v>522</v>
      </c>
      <c r="Q34" s="1">
        <v>0.31955388734343393</v>
      </c>
      <c r="R34" s="1">
        <v>0.31816378437621717</v>
      </c>
    </row>
    <row r="35" spans="1:18" x14ac:dyDescent="0.35">
      <c r="A35" t="s">
        <v>37</v>
      </c>
      <c r="B35" s="2">
        <v>45776</v>
      </c>
      <c r="C35" s="3">
        <f t="shared" si="0"/>
        <v>62</v>
      </c>
      <c r="D35">
        <f t="shared" si="1"/>
        <v>986</v>
      </c>
      <c r="E35">
        <f t="shared" si="2"/>
        <v>33</v>
      </c>
      <c r="F35">
        <f t="shared" si="3"/>
        <v>5</v>
      </c>
      <c r="G35">
        <f t="shared" si="7"/>
        <v>4</v>
      </c>
      <c r="H35">
        <f t="shared" si="4"/>
        <v>4</v>
      </c>
      <c r="I35" s="9" t="str">
        <f t="shared" si="5"/>
        <v>544</v>
      </c>
      <c r="Q35" s="1">
        <v>0.21279293909362518</v>
      </c>
      <c r="R35" s="1">
        <v>0.83481371148772032</v>
      </c>
    </row>
    <row r="36" spans="1:18" x14ac:dyDescent="0.35">
      <c r="A36" t="s">
        <v>38</v>
      </c>
      <c r="B36" s="2">
        <v>45589</v>
      </c>
      <c r="C36" s="3">
        <f t="shared" si="0"/>
        <v>249</v>
      </c>
      <c r="D36">
        <f t="shared" si="1"/>
        <v>1220</v>
      </c>
      <c r="E36">
        <f t="shared" si="2"/>
        <v>41</v>
      </c>
      <c r="F36">
        <f t="shared" si="3"/>
        <v>4</v>
      </c>
      <c r="G36">
        <f t="shared" si="7"/>
        <v>5</v>
      </c>
      <c r="H36">
        <f t="shared" si="4"/>
        <v>5</v>
      </c>
      <c r="I36" s="9" t="str">
        <f t="shared" si="5"/>
        <v>455</v>
      </c>
      <c r="Q36" s="1">
        <v>0.48886702525897607</v>
      </c>
      <c r="R36" s="1">
        <v>0.94485189244890755</v>
      </c>
    </row>
    <row r="37" spans="1:18" x14ac:dyDescent="0.35">
      <c r="A37" t="s">
        <v>39</v>
      </c>
      <c r="B37" s="2">
        <v>45667</v>
      </c>
      <c r="C37" s="3">
        <f t="shared" si="0"/>
        <v>171</v>
      </c>
      <c r="D37">
        <f t="shared" si="1"/>
        <v>184</v>
      </c>
      <c r="E37">
        <f t="shared" si="2"/>
        <v>6</v>
      </c>
      <c r="F37">
        <f t="shared" si="3"/>
        <v>4</v>
      </c>
      <c r="G37">
        <f t="shared" si="7"/>
        <v>1</v>
      </c>
      <c r="H37">
        <f t="shared" si="4"/>
        <v>1</v>
      </c>
      <c r="I37" s="9" t="str">
        <f t="shared" si="5"/>
        <v>411</v>
      </c>
      <c r="Q37" s="1">
        <v>0.18501316335155948</v>
      </c>
      <c r="R37" s="1">
        <v>6.1204360810011682E-2</v>
      </c>
    </row>
    <row r="38" spans="1:18" x14ac:dyDescent="0.35">
      <c r="A38" t="s">
        <v>40</v>
      </c>
      <c r="B38" s="2">
        <v>45830</v>
      </c>
      <c r="C38" s="3">
        <f t="shared" si="0"/>
        <v>8</v>
      </c>
      <c r="D38">
        <f t="shared" si="1"/>
        <v>744</v>
      </c>
      <c r="E38">
        <f t="shared" si="2"/>
        <v>25</v>
      </c>
      <c r="F38">
        <f t="shared" si="3"/>
        <v>5</v>
      </c>
      <c r="G38">
        <f t="shared" si="7"/>
        <v>2</v>
      </c>
      <c r="H38">
        <f t="shared" si="4"/>
        <v>2</v>
      </c>
      <c r="I38" s="9" t="str">
        <f t="shared" si="5"/>
        <v>522</v>
      </c>
      <c r="Q38" s="1">
        <v>0.4058015088135698</v>
      </c>
      <c r="R38" s="1">
        <v>0.51488872691322585</v>
      </c>
    </row>
    <row r="39" spans="1:18" x14ac:dyDescent="0.35">
      <c r="A39" t="s">
        <v>41</v>
      </c>
      <c r="B39" s="2">
        <v>45391</v>
      </c>
      <c r="C39" s="3">
        <f t="shared" si="0"/>
        <v>447</v>
      </c>
      <c r="D39">
        <f t="shared" si="1"/>
        <v>508</v>
      </c>
      <c r="E39">
        <f t="shared" si="2"/>
        <v>17</v>
      </c>
      <c r="F39">
        <f t="shared" si="3"/>
        <v>1</v>
      </c>
      <c r="G39">
        <f t="shared" si="7"/>
        <v>2</v>
      </c>
      <c r="H39">
        <f t="shared" si="4"/>
        <v>2</v>
      </c>
      <c r="I39" s="9" t="str">
        <f t="shared" si="5"/>
        <v>122</v>
      </c>
      <c r="Q39" s="1">
        <v>0.38181034797933822</v>
      </c>
      <c r="R39" s="1">
        <v>0.29398732327970345</v>
      </c>
    </row>
    <row r="40" spans="1:18" x14ac:dyDescent="0.35">
      <c r="A40" t="s">
        <v>42</v>
      </c>
      <c r="B40" s="2">
        <v>45808</v>
      </c>
      <c r="C40" s="3">
        <f t="shared" si="0"/>
        <v>30</v>
      </c>
      <c r="D40">
        <f t="shared" si="1"/>
        <v>426</v>
      </c>
      <c r="E40">
        <f t="shared" si="2"/>
        <v>14</v>
      </c>
      <c r="F40">
        <f t="shared" si="3"/>
        <v>5</v>
      </c>
      <c r="G40">
        <f t="shared" si="7"/>
        <v>1</v>
      </c>
      <c r="H40">
        <f t="shared" si="4"/>
        <v>1</v>
      </c>
      <c r="I40" s="9" t="str">
        <f t="shared" si="5"/>
        <v>511</v>
      </c>
      <c r="Q40" s="1">
        <v>0.44815775617668796</v>
      </c>
      <c r="R40" s="1">
        <v>0.18580895135660236</v>
      </c>
    </row>
    <row r="41" spans="1:18" x14ac:dyDescent="0.35">
      <c r="A41" t="s">
        <v>43</v>
      </c>
      <c r="B41" s="2">
        <v>45547</v>
      </c>
      <c r="C41" s="3">
        <f t="shared" si="0"/>
        <v>291</v>
      </c>
      <c r="D41">
        <f t="shared" si="1"/>
        <v>796</v>
      </c>
      <c r="E41">
        <f t="shared" si="2"/>
        <v>26</v>
      </c>
      <c r="F41">
        <f t="shared" si="3"/>
        <v>2</v>
      </c>
      <c r="G41">
        <f t="shared" si="7"/>
        <v>2</v>
      </c>
      <c r="H41">
        <f t="shared" si="4"/>
        <v>4</v>
      </c>
      <c r="I41" s="9" t="str">
        <f t="shared" si="5"/>
        <v>224</v>
      </c>
      <c r="Q41" s="1">
        <v>0.80537718617745024</v>
      </c>
      <c r="R41" s="1">
        <v>0.39503954718815171</v>
      </c>
    </row>
    <row r="42" spans="1:18" x14ac:dyDescent="0.35">
      <c r="A42" t="s">
        <v>44</v>
      </c>
      <c r="B42" s="2">
        <v>45651</v>
      </c>
      <c r="C42" s="3">
        <f t="shared" si="0"/>
        <v>187</v>
      </c>
      <c r="D42">
        <f t="shared" si="1"/>
        <v>554</v>
      </c>
      <c r="E42">
        <f t="shared" si="2"/>
        <v>18</v>
      </c>
      <c r="F42">
        <f t="shared" si="3"/>
        <v>4</v>
      </c>
      <c r="G42">
        <f t="shared" si="7"/>
        <v>2</v>
      </c>
      <c r="H42">
        <f t="shared" si="4"/>
        <v>2</v>
      </c>
      <c r="I42" s="9" t="str">
        <f t="shared" si="5"/>
        <v>422</v>
      </c>
      <c r="Q42" s="1">
        <v>0.86021884486083311</v>
      </c>
      <c r="R42" s="1">
        <v>0.13456337908324045</v>
      </c>
    </row>
    <row r="43" spans="1:18" x14ac:dyDescent="0.35">
      <c r="A43" t="s">
        <v>45</v>
      </c>
      <c r="B43" s="2">
        <v>45423</v>
      </c>
      <c r="C43" s="3">
        <f t="shared" si="0"/>
        <v>415</v>
      </c>
      <c r="D43">
        <f t="shared" si="1"/>
        <v>1005</v>
      </c>
      <c r="E43">
        <f t="shared" si="2"/>
        <v>33</v>
      </c>
      <c r="F43">
        <f t="shared" si="3"/>
        <v>1</v>
      </c>
      <c r="G43">
        <f t="shared" si="7"/>
        <v>4</v>
      </c>
      <c r="H43">
        <f t="shared" si="4"/>
        <v>4</v>
      </c>
      <c r="I43" s="9" t="str">
        <f t="shared" si="5"/>
        <v>144</v>
      </c>
      <c r="Q43" s="1">
        <v>0.4396715488845262</v>
      </c>
      <c r="R43" s="1">
        <v>0.75570434260981467</v>
      </c>
    </row>
    <row r="44" spans="1:18" x14ac:dyDescent="0.35">
      <c r="A44" t="s">
        <v>46</v>
      </c>
      <c r="B44" s="2">
        <v>45305</v>
      </c>
      <c r="C44" s="3">
        <f t="shared" si="0"/>
        <v>533</v>
      </c>
      <c r="D44">
        <f t="shared" si="1"/>
        <v>1417</v>
      </c>
      <c r="E44">
        <f t="shared" si="2"/>
        <v>47</v>
      </c>
      <c r="F44">
        <f t="shared" si="3"/>
        <v>1</v>
      </c>
      <c r="G44">
        <f t="shared" si="7"/>
        <v>5</v>
      </c>
      <c r="H44">
        <f t="shared" si="4"/>
        <v>5</v>
      </c>
      <c r="I44" s="9" t="str">
        <f t="shared" si="5"/>
        <v>155</v>
      </c>
      <c r="Q44" s="1">
        <v>0.85768421241054227</v>
      </c>
      <c r="R44" s="1">
        <v>0.97962893784449134</v>
      </c>
    </row>
    <row r="45" spans="1:18" x14ac:dyDescent="0.35">
      <c r="A45" t="s">
        <v>47</v>
      </c>
      <c r="B45" s="2">
        <v>45817</v>
      </c>
      <c r="C45" s="3">
        <f t="shared" si="0"/>
        <v>21</v>
      </c>
      <c r="D45">
        <f t="shared" si="1"/>
        <v>769</v>
      </c>
      <c r="E45">
        <f t="shared" si="2"/>
        <v>25</v>
      </c>
      <c r="F45">
        <f t="shared" si="3"/>
        <v>5</v>
      </c>
      <c r="G45">
        <f t="shared" si="7"/>
        <v>2</v>
      </c>
      <c r="H45">
        <f t="shared" si="4"/>
        <v>2</v>
      </c>
      <c r="I45" s="9" t="str">
        <f t="shared" si="5"/>
        <v>522</v>
      </c>
      <c r="M45" t="s">
        <v>1429</v>
      </c>
      <c r="Q45" s="1">
        <v>0.72283468173214116</v>
      </c>
      <c r="R45" s="1">
        <v>0.40306390600693487</v>
      </c>
    </row>
    <row r="46" spans="1:18" x14ac:dyDescent="0.35">
      <c r="A46" t="s">
        <v>48</v>
      </c>
      <c r="B46" s="2">
        <v>45334</v>
      </c>
      <c r="C46" s="3">
        <f t="shared" si="0"/>
        <v>504</v>
      </c>
      <c r="D46">
        <f t="shared" si="1"/>
        <v>365</v>
      </c>
      <c r="E46">
        <f t="shared" si="2"/>
        <v>12</v>
      </c>
      <c r="F46">
        <f t="shared" si="3"/>
        <v>1</v>
      </c>
      <c r="G46">
        <f t="shared" si="7"/>
        <v>1</v>
      </c>
      <c r="H46">
        <f t="shared" si="4"/>
        <v>1</v>
      </c>
      <c r="I46" s="9" t="str">
        <f t="shared" si="5"/>
        <v>111</v>
      </c>
      <c r="Q46" s="1">
        <v>0.26999381595733496</v>
      </c>
      <c r="R46" s="1">
        <v>0.20186020495139467</v>
      </c>
    </row>
    <row r="47" spans="1:18" x14ac:dyDescent="0.35">
      <c r="A47" t="s">
        <v>49</v>
      </c>
      <c r="B47" s="2">
        <v>45709</v>
      </c>
      <c r="C47" s="3">
        <f t="shared" si="0"/>
        <v>129</v>
      </c>
      <c r="D47">
        <f t="shared" si="1"/>
        <v>827</v>
      </c>
      <c r="E47">
        <f t="shared" si="2"/>
        <v>27</v>
      </c>
      <c r="F47">
        <f t="shared" si="3"/>
        <v>4</v>
      </c>
      <c r="G47">
        <f t="shared" si="7"/>
        <v>4</v>
      </c>
      <c r="H47">
        <f t="shared" si="4"/>
        <v>4</v>
      </c>
      <c r="I47" s="9" t="str">
        <f t="shared" si="5"/>
        <v>444</v>
      </c>
      <c r="Q47" s="1">
        <v>0.5843228640725604</v>
      </c>
      <c r="R47" s="1">
        <v>0.51997087866430414</v>
      </c>
    </row>
    <row r="48" spans="1:18" x14ac:dyDescent="0.35">
      <c r="A48" t="s">
        <v>50</v>
      </c>
      <c r="B48" s="2">
        <v>45719</v>
      </c>
      <c r="C48" s="3">
        <f t="shared" si="0"/>
        <v>119</v>
      </c>
      <c r="D48">
        <f t="shared" si="1"/>
        <v>627</v>
      </c>
      <c r="E48">
        <f t="shared" si="2"/>
        <v>21</v>
      </c>
      <c r="F48">
        <f t="shared" si="3"/>
        <v>5</v>
      </c>
      <c r="G48">
        <f t="shared" si="7"/>
        <v>2</v>
      </c>
      <c r="H48">
        <f t="shared" si="4"/>
        <v>2</v>
      </c>
      <c r="I48" s="9" t="str">
        <f t="shared" si="5"/>
        <v>522</v>
      </c>
      <c r="Q48" s="1">
        <v>0.65272385266140587</v>
      </c>
      <c r="R48" s="1">
        <v>0.29421455362994886</v>
      </c>
    </row>
    <row r="49" spans="1:18" x14ac:dyDescent="0.35">
      <c r="A49" t="s">
        <v>51</v>
      </c>
      <c r="B49" s="2">
        <v>45814</v>
      </c>
      <c r="C49" s="3">
        <f t="shared" si="0"/>
        <v>24</v>
      </c>
      <c r="D49">
        <f t="shared" si="1"/>
        <v>250</v>
      </c>
      <c r="E49">
        <f t="shared" si="2"/>
        <v>8</v>
      </c>
      <c r="F49">
        <f t="shared" si="3"/>
        <v>5</v>
      </c>
      <c r="G49">
        <f t="shared" si="7"/>
        <v>1</v>
      </c>
      <c r="H49">
        <f t="shared" si="4"/>
        <v>1</v>
      </c>
      <c r="I49" s="9" t="str">
        <f t="shared" si="5"/>
        <v>511</v>
      </c>
      <c r="Q49" s="1">
        <v>0.21052160103296491</v>
      </c>
      <c r="R49" s="1">
        <v>0.11493218069644717</v>
      </c>
    </row>
    <row r="50" spans="1:18" x14ac:dyDescent="0.35">
      <c r="A50" t="s">
        <v>52</v>
      </c>
      <c r="B50" s="2">
        <v>45817</v>
      </c>
      <c r="C50" s="3">
        <f t="shared" si="0"/>
        <v>21</v>
      </c>
      <c r="D50">
        <f t="shared" si="1"/>
        <v>746</v>
      </c>
      <c r="E50">
        <f t="shared" si="2"/>
        <v>25</v>
      </c>
      <c r="F50">
        <f t="shared" si="3"/>
        <v>5</v>
      </c>
      <c r="G50">
        <f t="shared" si="7"/>
        <v>2</v>
      </c>
      <c r="H50">
        <f t="shared" si="4"/>
        <v>2</v>
      </c>
      <c r="I50" s="9" t="str">
        <f t="shared" si="5"/>
        <v>522</v>
      </c>
      <c r="Q50" s="1">
        <v>0.92159932387527066</v>
      </c>
      <c r="R50" s="1">
        <v>0.29578277988911972</v>
      </c>
    </row>
    <row r="51" spans="1:18" x14ac:dyDescent="0.35">
      <c r="A51" t="s">
        <v>53</v>
      </c>
      <c r="B51" s="2">
        <v>45583</v>
      </c>
      <c r="C51" s="3">
        <f t="shared" si="0"/>
        <v>255</v>
      </c>
      <c r="D51">
        <f t="shared" si="1"/>
        <v>638</v>
      </c>
      <c r="E51">
        <f t="shared" si="2"/>
        <v>21</v>
      </c>
      <c r="F51">
        <f t="shared" si="3"/>
        <v>4</v>
      </c>
      <c r="G51">
        <f t="shared" si="7"/>
        <v>2</v>
      </c>
      <c r="H51">
        <f t="shared" si="4"/>
        <v>2</v>
      </c>
      <c r="I51" s="9" t="str">
        <f t="shared" si="5"/>
        <v>422</v>
      </c>
      <c r="Q51" s="1">
        <v>0.91237495980359162</v>
      </c>
      <c r="R51" s="1">
        <v>0.19412696391305706</v>
      </c>
    </row>
    <row r="52" spans="1:18" x14ac:dyDescent="0.35">
      <c r="A52" t="s">
        <v>54</v>
      </c>
      <c r="B52" s="2">
        <v>45488</v>
      </c>
      <c r="C52" s="3">
        <f t="shared" si="0"/>
        <v>350</v>
      </c>
      <c r="D52">
        <f t="shared" si="1"/>
        <v>1339</v>
      </c>
      <c r="E52">
        <f t="shared" si="2"/>
        <v>45</v>
      </c>
      <c r="F52">
        <f t="shared" si="3"/>
        <v>2</v>
      </c>
      <c r="G52">
        <f t="shared" si="7"/>
        <v>5</v>
      </c>
      <c r="H52">
        <f t="shared" si="4"/>
        <v>5</v>
      </c>
      <c r="I52" s="9" t="str">
        <f t="shared" si="5"/>
        <v>255</v>
      </c>
      <c r="Q52" s="1">
        <v>0.835587182157153</v>
      </c>
      <c r="R52" s="1">
        <v>0.91285880807480335</v>
      </c>
    </row>
    <row r="53" spans="1:18" x14ac:dyDescent="0.35">
      <c r="A53" t="s">
        <v>55</v>
      </c>
      <c r="B53" s="2">
        <v>45751</v>
      </c>
      <c r="C53" s="3">
        <f t="shared" si="0"/>
        <v>87</v>
      </c>
      <c r="D53">
        <f t="shared" si="1"/>
        <v>474</v>
      </c>
      <c r="E53">
        <f t="shared" si="2"/>
        <v>16</v>
      </c>
      <c r="F53">
        <f t="shared" si="3"/>
        <v>5</v>
      </c>
      <c r="G53">
        <f t="shared" si="7"/>
        <v>1</v>
      </c>
      <c r="H53">
        <f t="shared" si="4"/>
        <v>1</v>
      </c>
      <c r="I53" s="9" t="str">
        <f t="shared" si="5"/>
        <v>511</v>
      </c>
      <c r="Q53" s="1">
        <v>0.4605611084165997</v>
      </c>
      <c r="R53" s="1">
        <v>0.22747427057293246</v>
      </c>
    </row>
    <row r="54" spans="1:18" x14ac:dyDescent="0.35">
      <c r="A54" t="s">
        <v>56</v>
      </c>
      <c r="B54" s="2">
        <v>45465</v>
      </c>
      <c r="C54" s="3">
        <f t="shared" si="0"/>
        <v>373</v>
      </c>
      <c r="D54">
        <f t="shared" si="1"/>
        <v>1138</v>
      </c>
      <c r="E54">
        <f t="shared" si="2"/>
        <v>38</v>
      </c>
      <c r="F54">
        <f t="shared" si="3"/>
        <v>2</v>
      </c>
      <c r="G54">
        <f t="shared" si="7"/>
        <v>5</v>
      </c>
      <c r="H54">
        <f t="shared" si="4"/>
        <v>5</v>
      </c>
      <c r="I54" s="9" t="str">
        <f t="shared" si="5"/>
        <v>255</v>
      </c>
      <c r="Q54" s="1">
        <v>0.21444942090738872</v>
      </c>
      <c r="R54" s="1">
        <v>0.98214746683383225</v>
      </c>
    </row>
    <row r="55" spans="1:18" x14ac:dyDescent="0.35">
      <c r="A55" t="s">
        <v>57</v>
      </c>
      <c r="B55" s="2">
        <v>45561</v>
      </c>
      <c r="C55" s="3">
        <f t="shared" si="0"/>
        <v>277</v>
      </c>
      <c r="D55">
        <f t="shared" si="1"/>
        <v>1131</v>
      </c>
      <c r="E55">
        <f t="shared" si="2"/>
        <v>38</v>
      </c>
      <c r="F55">
        <f t="shared" si="3"/>
        <v>2</v>
      </c>
      <c r="G55">
        <f t="shared" si="7"/>
        <v>5</v>
      </c>
      <c r="H55">
        <f t="shared" si="4"/>
        <v>5</v>
      </c>
      <c r="I55" s="9" t="str">
        <f t="shared" si="5"/>
        <v>255</v>
      </c>
      <c r="Q55" s="1">
        <v>0.90099680229388623</v>
      </c>
      <c r="R55" s="1">
        <v>0.68128514041151411</v>
      </c>
    </row>
    <row r="56" spans="1:18" x14ac:dyDescent="0.35">
      <c r="A56" t="s">
        <v>58</v>
      </c>
      <c r="B56" s="2">
        <v>45547</v>
      </c>
      <c r="C56" s="3">
        <f t="shared" si="0"/>
        <v>291</v>
      </c>
      <c r="D56">
        <f t="shared" si="1"/>
        <v>228</v>
      </c>
      <c r="E56">
        <f t="shared" si="2"/>
        <v>7</v>
      </c>
      <c r="F56">
        <f t="shared" si="3"/>
        <v>2</v>
      </c>
      <c r="G56">
        <f t="shared" si="7"/>
        <v>1</v>
      </c>
      <c r="H56">
        <f t="shared" si="4"/>
        <v>1</v>
      </c>
      <c r="I56" s="9" t="str">
        <f t="shared" si="5"/>
        <v>211</v>
      </c>
      <c r="Q56" s="1">
        <v>0.32485583733421652</v>
      </c>
      <c r="R56" s="1">
        <v>4.4471855057025111E-2</v>
      </c>
    </row>
    <row r="57" spans="1:18" x14ac:dyDescent="0.35">
      <c r="A57" t="s">
        <v>59</v>
      </c>
      <c r="B57" s="2">
        <v>45326</v>
      </c>
      <c r="C57" s="3">
        <f t="shared" si="0"/>
        <v>512</v>
      </c>
      <c r="D57">
        <f t="shared" si="1"/>
        <v>553</v>
      </c>
      <c r="E57">
        <f t="shared" si="2"/>
        <v>18</v>
      </c>
      <c r="F57">
        <f t="shared" si="3"/>
        <v>1</v>
      </c>
      <c r="G57">
        <f t="shared" si="7"/>
        <v>2</v>
      </c>
      <c r="H57">
        <f t="shared" si="4"/>
        <v>2</v>
      </c>
      <c r="I57" s="9" t="str">
        <f t="shared" si="5"/>
        <v>122</v>
      </c>
      <c r="Q57" s="1">
        <v>0.46653391555519708</v>
      </c>
      <c r="R57" s="1">
        <v>0.30213792661399608</v>
      </c>
    </row>
    <row r="58" spans="1:18" x14ac:dyDescent="0.35">
      <c r="A58" t="s">
        <v>60</v>
      </c>
      <c r="B58" s="2">
        <v>45711</v>
      </c>
      <c r="C58" s="3">
        <f t="shared" si="0"/>
        <v>127</v>
      </c>
      <c r="D58">
        <f t="shared" si="1"/>
        <v>1425</v>
      </c>
      <c r="E58">
        <f t="shared" si="2"/>
        <v>47</v>
      </c>
      <c r="F58">
        <f t="shared" si="3"/>
        <v>4</v>
      </c>
      <c r="G58">
        <f t="shared" si="7"/>
        <v>5</v>
      </c>
      <c r="H58">
        <f t="shared" si="4"/>
        <v>5</v>
      </c>
      <c r="I58" s="9" t="str">
        <f t="shared" si="5"/>
        <v>455</v>
      </c>
      <c r="M58" t="s">
        <v>1430</v>
      </c>
      <c r="Q58" s="1">
        <v>0.92695623349194989</v>
      </c>
      <c r="R58" s="1">
        <v>0.95838306297684839</v>
      </c>
    </row>
    <row r="59" spans="1:18" x14ac:dyDescent="0.35">
      <c r="A59" t="s">
        <v>61</v>
      </c>
      <c r="B59" s="2">
        <v>45561</v>
      </c>
      <c r="C59" s="3">
        <f t="shared" si="0"/>
        <v>277</v>
      </c>
      <c r="D59">
        <f t="shared" si="1"/>
        <v>1177</v>
      </c>
      <c r="E59">
        <f t="shared" si="2"/>
        <v>39</v>
      </c>
      <c r="F59">
        <f t="shared" si="3"/>
        <v>2</v>
      </c>
      <c r="G59">
        <f t="shared" si="7"/>
        <v>5</v>
      </c>
      <c r="H59">
        <f t="shared" si="4"/>
        <v>5</v>
      </c>
      <c r="I59" s="9" t="str">
        <f t="shared" si="5"/>
        <v>255</v>
      </c>
      <c r="Q59" s="1">
        <v>0.96495376107048636</v>
      </c>
      <c r="R59" s="1">
        <v>0.69911195706301932</v>
      </c>
    </row>
    <row r="60" spans="1:18" x14ac:dyDescent="0.35">
      <c r="A60" t="s">
        <v>62</v>
      </c>
      <c r="B60" s="2">
        <v>45447</v>
      </c>
      <c r="C60" s="3">
        <f t="shared" si="0"/>
        <v>391</v>
      </c>
      <c r="D60">
        <f t="shared" si="1"/>
        <v>1047</v>
      </c>
      <c r="E60">
        <f t="shared" si="2"/>
        <v>35</v>
      </c>
      <c r="F60">
        <f t="shared" si="3"/>
        <v>2</v>
      </c>
      <c r="G60">
        <f t="shared" si="7"/>
        <v>4</v>
      </c>
      <c r="H60">
        <f t="shared" si="4"/>
        <v>5</v>
      </c>
      <c r="I60" s="9" t="str">
        <f t="shared" si="5"/>
        <v>245</v>
      </c>
      <c r="Q60" s="1">
        <v>0.79987025028224157</v>
      </c>
      <c r="R60" s="1">
        <v>0.64226578515163302</v>
      </c>
    </row>
    <row r="61" spans="1:18" x14ac:dyDescent="0.35">
      <c r="A61" t="s">
        <v>63</v>
      </c>
      <c r="B61" s="2">
        <v>45694</v>
      </c>
      <c r="C61" s="3">
        <f t="shared" si="0"/>
        <v>144</v>
      </c>
      <c r="D61">
        <f t="shared" si="1"/>
        <v>1294</v>
      </c>
      <c r="E61">
        <f t="shared" si="2"/>
        <v>43</v>
      </c>
      <c r="F61">
        <f t="shared" si="3"/>
        <v>4</v>
      </c>
      <c r="G61">
        <f t="shared" si="7"/>
        <v>5</v>
      </c>
      <c r="H61">
        <f t="shared" si="4"/>
        <v>5</v>
      </c>
      <c r="I61" s="9" t="str">
        <f t="shared" si="5"/>
        <v>455</v>
      </c>
      <c r="Q61" s="1">
        <v>0.85891226604438176</v>
      </c>
      <c r="R61" s="1">
        <v>0.85854118622647746</v>
      </c>
    </row>
    <row r="62" spans="1:18" x14ac:dyDescent="0.35">
      <c r="A62" t="s">
        <v>64</v>
      </c>
      <c r="B62" s="2">
        <v>45455</v>
      </c>
      <c r="C62" s="3">
        <f t="shared" si="0"/>
        <v>383</v>
      </c>
      <c r="D62">
        <f t="shared" si="1"/>
        <v>221</v>
      </c>
      <c r="E62">
        <f t="shared" si="2"/>
        <v>7</v>
      </c>
      <c r="F62">
        <f t="shared" si="3"/>
        <v>2</v>
      </c>
      <c r="G62">
        <f t="shared" si="7"/>
        <v>1</v>
      </c>
      <c r="H62">
        <f t="shared" si="4"/>
        <v>1</v>
      </c>
      <c r="I62" s="9" t="str">
        <f t="shared" si="5"/>
        <v>211</v>
      </c>
      <c r="Q62" s="1">
        <v>0.14068759870912828</v>
      </c>
      <c r="R62" s="1">
        <v>0.11723995906774631</v>
      </c>
    </row>
    <row r="63" spans="1:18" x14ac:dyDescent="0.35">
      <c r="A63" t="s">
        <v>65</v>
      </c>
      <c r="B63" s="2">
        <v>45479</v>
      </c>
      <c r="C63" s="3">
        <f t="shared" si="0"/>
        <v>359</v>
      </c>
      <c r="D63">
        <f t="shared" si="1"/>
        <v>441</v>
      </c>
      <c r="E63">
        <f t="shared" si="2"/>
        <v>14</v>
      </c>
      <c r="F63">
        <f t="shared" si="3"/>
        <v>2</v>
      </c>
      <c r="G63">
        <f t="shared" si="7"/>
        <v>1</v>
      </c>
      <c r="H63">
        <f t="shared" si="4"/>
        <v>1</v>
      </c>
      <c r="I63" s="9" t="str">
        <f t="shared" si="5"/>
        <v>211</v>
      </c>
      <c r="Q63" s="1">
        <v>0.70779946294768137</v>
      </c>
      <c r="R63" s="1">
        <v>8.890495356545236E-2</v>
      </c>
    </row>
    <row r="64" spans="1:18" x14ac:dyDescent="0.35">
      <c r="A64" t="s">
        <v>66</v>
      </c>
      <c r="B64" s="2">
        <v>45577</v>
      </c>
      <c r="C64" s="3">
        <f t="shared" si="0"/>
        <v>261</v>
      </c>
      <c r="D64">
        <f t="shared" si="1"/>
        <v>616</v>
      </c>
      <c r="E64">
        <f t="shared" si="2"/>
        <v>20</v>
      </c>
      <c r="F64">
        <f t="shared" si="3"/>
        <v>4</v>
      </c>
      <c r="G64">
        <f t="shared" si="7"/>
        <v>2</v>
      </c>
      <c r="H64">
        <f t="shared" si="4"/>
        <v>2</v>
      </c>
      <c r="I64" s="9" t="str">
        <f t="shared" si="5"/>
        <v>422</v>
      </c>
      <c r="Q64" s="1">
        <v>0.75942708945953552</v>
      </c>
      <c r="R64" s="1">
        <v>0.23794321868600921</v>
      </c>
    </row>
    <row r="65" spans="1:18" x14ac:dyDescent="0.35">
      <c r="A65" t="s">
        <v>67</v>
      </c>
      <c r="B65" s="2">
        <v>45828</v>
      </c>
      <c r="C65" s="3">
        <f t="shared" si="0"/>
        <v>10</v>
      </c>
      <c r="D65">
        <f t="shared" si="1"/>
        <v>1217</v>
      </c>
      <c r="E65">
        <f t="shared" si="2"/>
        <v>41</v>
      </c>
      <c r="F65">
        <f t="shared" si="3"/>
        <v>5</v>
      </c>
      <c r="G65">
        <f t="shared" si="7"/>
        <v>5</v>
      </c>
      <c r="H65">
        <f t="shared" si="4"/>
        <v>5</v>
      </c>
      <c r="I65" s="9" t="str">
        <f t="shared" si="5"/>
        <v>555</v>
      </c>
      <c r="Q65" s="1">
        <v>0.36766680748208114</v>
      </c>
      <c r="R65" s="1">
        <v>0.9941469944859842</v>
      </c>
    </row>
    <row r="66" spans="1:18" x14ac:dyDescent="0.35">
      <c r="A66" t="s">
        <v>68</v>
      </c>
      <c r="B66" s="2">
        <v>45664</v>
      </c>
      <c r="C66" s="3">
        <f t="shared" si="0"/>
        <v>174</v>
      </c>
      <c r="D66">
        <f t="shared" si="1"/>
        <v>843</v>
      </c>
      <c r="E66">
        <f t="shared" si="2"/>
        <v>28</v>
      </c>
      <c r="F66">
        <f t="shared" si="3"/>
        <v>4</v>
      </c>
      <c r="G66">
        <f t="shared" si="7"/>
        <v>4</v>
      </c>
      <c r="H66">
        <f t="shared" si="4"/>
        <v>4</v>
      </c>
      <c r="I66" s="9" t="str">
        <f t="shared" si="5"/>
        <v>444</v>
      </c>
      <c r="Q66" s="1">
        <v>0.54533277238920475</v>
      </c>
      <c r="R66" s="1">
        <v>0.5515957614844178</v>
      </c>
    </row>
    <row r="67" spans="1:18" x14ac:dyDescent="0.35">
      <c r="A67" t="s">
        <v>69</v>
      </c>
      <c r="B67" s="2">
        <v>45786</v>
      </c>
      <c r="C67" s="3">
        <f t="shared" ref="C67:C130" si="8">$S$6-B67</f>
        <v>52</v>
      </c>
      <c r="D67">
        <f t="shared" ref="D67:D130" si="9">ROUND((R67*0.7+Q67*0.3)*(1500-40)+40,0)</f>
        <v>1121</v>
      </c>
      <c r="E67">
        <f t="shared" ref="E67:E130" si="10">ROUND((R67*0.7+Q67*0.3)*(50-1)+1,0)</f>
        <v>37</v>
      </c>
      <c r="F67">
        <f t="shared" ref="F67:F130" si="11">IF(C67&lt;=$M$4,5,IF(C67&lt;=$M$9,4,IF(C67&lt;=$M$5,3,IF(C67&lt;=$M$6,2,1))))</f>
        <v>5</v>
      </c>
      <c r="G67">
        <f t="shared" si="7"/>
        <v>5</v>
      </c>
      <c r="H67">
        <f t="shared" ref="H67:H130" si="12">IF(D67&lt;=$M$24,1,IF(D67&lt;=$M$25,2,IF(D67&lt;=$M$29,3,IF(D67&lt;=$M$26,4,5))))</f>
        <v>5</v>
      </c>
      <c r="I67" s="9" t="str">
        <f t="shared" ref="I67:I130" si="13">CONCATENATE(F67,G67,H67)</f>
        <v>555</v>
      </c>
      <c r="Q67" s="1">
        <v>0.85660237385290305</v>
      </c>
      <c r="R67" s="1">
        <v>0.6908772204629301</v>
      </c>
    </row>
    <row r="68" spans="1:18" x14ac:dyDescent="0.35">
      <c r="A68" t="s">
        <v>70</v>
      </c>
      <c r="B68" s="2">
        <v>45389</v>
      </c>
      <c r="C68" s="3">
        <f t="shared" si="8"/>
        <v>449</v>
      </c>
      <c r="D68">
        <f t="shared" si="9"/>
        <v>518</v>
      </c>
      <c r="E68">
        <f t="shared" si="10"/>
        <v>17</v>
      </c>
      <c r="F68">
        <f t="shared" si="11"/>
        <v>1</v>
      </c>
      <c r="G68">
        <f t="shared" ref="G68:G131" si="14">IF(E68&lt;=$M$14,1,IF(E68&lt;=$M$15,2,IF(E68&lt;=$M$19,3,IF(E68&lt;=$M$16,4,5))))</f>
        <v>2</v>
      </c>
      <c r="H68">
        <f t="shared" si="12"/>
        <v>2</v>
      </c>
      <c r="I68" s="9" t="str">
        <f t="shared" si="13"/>
        <v>122</v>
      </c>
      <c r="Q68" s="1">
        <v>0.86009882357631751</v>
      </c>
      <c r="R68" s="1">
        <v>9.9096964363756368E-2</v>
      </c>
    </row>
    <row r="69" spans="1:18" x14ac:dyDescent="0.35">
      <c r="A69" t="s">
        <v>71</v>
      </c>
      <c r="B69" s="2">
        <v>45493</v>
      </c>
      <c r="C69" s="3">
        <f t="shared" si="8"/>
        <v>345</v>
      </c>
      <c r="D69">
        <f t="shared" si="9"/>
        <v>1021</v>
      </c>
      <c r="E69">
        <f t="shared" si="10"/>
        <v>34</v>
      </c>
      <c r="F69">
        <f t="shared" si="11"/>
        <v>2</v>
      </c>
      <c r="G69">
        <f t="shared" si="14"/>
        <v>4</v>
      </c>
      <c r="H69">
        <f t="shared" si="12"/>
        <v>4</v>
      </c>
      <c r="I69" s="9" t="str">
        <f t="shared" si="13"/>
        <v>244</v>
      </c>
      <c r="Q69" s="1">
        <v>0.86683196586269806</v>
      </c>
      <c r="R69" s="1">
        <v>0.58824294151849155</v>
      </c>
    </row>
    <row r="70" spans="1:18" x14ac:dyDescent="0.35">
      <c r="A70" t="s">
        <v>72</v>
      </c>
      <c r="B70" s="2">
        <v>45741</v>
      </c>
      <c r="C70" s="3">
        <f t="shared" si="8"/>
        <v>97</v>
      </c>
      <c r="D70">
        <f t="shared" si="9"/>
        <v>662</v>
      </c>
      <c r="E70">
        <f t="shared" si="10"/>
        <v>22</v>
      </c>
      <c r="F70">
        <f t="shared" si="11"/>
        <v>5</v>
      </c>
      <c r="G70">
        <f t="shared" si="14"/>
        <v>2</v>
      </c>
      <c r="H70">
        <f t="shared" si="12"/>
        <v>2</v>
      </c>
      <c r="I70" s="9" t="str">
        <f t="shared" si="13"/>
        <v>522</v>
      </c>
      <c r="Q70" s="1">
        <v>0.46232950767820458</v>
      </c>
      <c r="R70" s="1">
        <v>0.41043626425693658</v>
      </c>
    </row>
    <row r="71" spans="1:18" x14ac:dyDescent="0.35">
      <c r="A71" t="s">
        <v>73</v>
      </c>
      <c r="B71" s="2">
        <v>45381</v>
      </c>
      <c r="C71" s="3">
        <f t="shared" si="8"/>
        <v>457</v>
      </c>
      <c r="D71">
        <f t="shared" si="9"/>
        <v>1334</v>
      </c>
      <c r="E71">
        <f t="shared" si="10"/>
        <v>44</v>
      </c>
      <c r="F71">
        <f t="shared" si="11"/>
        <v>1</v>
      </c>
      <c r="G71">
        <f t="shared" si="14"/>
        <v>5</v>
      </c>
      <c r="H71">
        <f t="shared" si="12"/>
        <v>5</v>
      </c>
      <c r="I71" s="9" t="str">
        <f t="shared" si="13"/>
        <v>155</v>
      </c>
      <c r="Q71" s="1">
        <v>0.86756807153658788</v>
      </c>
      <c r="R71" s="1">
        <v>0.89431668112221274</v>
      </c>
    </row>
    <row r="72" spans="1:18" x14ac:dyDescent="0.35">
      <c r="A72" t="s">
        <v>74</v>
      </c>
      <c r="B72" s="2">
        <v>45529</v>
      </c>
      <c r="C72" s="3">
        <f t="shared" si="8"/>
        <v>309</v>
      </c>
      <c r="D72">
        <f t="shared" si="9"/>
        <v>718</v>
      </c>
      <c r="E72">
        <f t="shared" si="10"/>
        <v>24</v>
      </c>
      <c r="F72">
        <f t="shared" si="11"/>
        <v>2</v>
      </c>
      <c r="G72">
        <f t="shared" si="14"/>
        <v>2</v>
      </c>
      <c r="H72">
        <f t="shared" si="12"/>
        <v>2</v>
      </c>
      <c r="I72" s="9" t="str">
        <f t="shared" si="13"/>
        <v>222</v>
      </c>
      <c r="Q72" s="1">
        <v>8.6129579511590282E-2</v>
      </c>
      <c r="R72" s="1">
        <v>0.62616577100180637</v>
      </c>
    </row>
    <row r="73" spans="1:18" x14ac:dyDescent="0.35">
      <c r="A73" t="s">
        <v>75</v>
      </c>
      <c r="B73" s="2">
        <v>45677</v>
      </c>
      <c r="C73" s="3">
        <f t="shared" si="8"/>
        <v>161</v>
      </c>
      <c r="D73">
        <f t="shared" si="9"/>
        <v>325</v>
      </c>
      <c r="E73">
        <f t="shared" si="10"/>
        <v>11</v>
      </c>
      <c r="F73">
        <f t="shared" si="11"/>
        <v>4</v>
      </c>
      <c r="G73">
        <f t="shared" si="14"/>
        <v>1</v>
      </c>
      <c r="H73">
        <f t="shared" si="12"/>
        <v>1</v>
      </c>
      <c r="I73" s="9" t="str">
        <f t="shared" si="13"/>
        <v>411</v>
      </c>
      <c r="Q73" s="1">
        <v>0.2307093287684423</v>
      </c>
      <c r="R73" s="1">
        <v>0.17988505611802974</v>
      </c>
    </row>
    <row r="74" spans="1:18" x14ac:dyDescent="0.35">
      <c r="A74" t="s">
        <v>76</v>
      </c>
      <c r="B74" s="2">
        <v>45734</v>
      </c>
      <c r="C74" s="3">
        <f t="shared" si="8"/>
        <v>104</v>
      </c>
      <c r="D74">
        <f t="shared" si="9"/>
        <v>890</v>
      </c>
      <c r="E74">
        <f t="shared" si="10"/>
        <v>30</v>
      </c>
      <c r="F74">
        <f t="shared" si="11"/>
        <v>5</v>
      </c>
      <c r="G74">
        <f t="shared" si="14"/>
        <v>4</v>
      </c>
      <c r="H74">
        <f t="shared" si="12"/>
        <v>4</v>
      </c>
      <c r="I74" s="9" t="str">
        <f t="shared" si="13"/>
        <v>544</v>
      </c>
      <c r="Q74" s="1">
        <v>0.11659880794232513</v>
      </c>
      <c r="R74" s="1">
        <v>0.78181887463826449</v>
      </c>
    </row>
    <row r="75" spans="1:18" x14ac:dyDescent="0.35">
      <c r="A75" t="s">
        <v>77</v>
      </c>
      <c r="B75" s="2">
        <v>45400</v>
      </c>
      <c r="C75" s="3">
        <f t="shared" si="8"/>
        <v>438</v>
      </c>
      <c r="D75">
        <f t="shared" si="9"/>
        <v>1115</v>
      </c>
      <c r="E75">
        <f t="shared" si="10"/>
        <v>37</v>
      </c>
      <c r="F75">
        <f t="shared" si="11"/>
        <v>1</v>
      </c>
      <c r="G75">
        <f t="shared" si="14"/>
        <v>5</v>
      </c>
      <c r="H75">
        <f t="shared" si="12"/>
        <v>5</v>
      </c>
      <c r="I75" s="9" t="str">
        <f t="shared" si="13"/>
        <v>155</v>
      </c>
      <c r="Q75" s="1">
        <v>0.69327778146026842</v>
      </c>
      <c r="R75" s="1">
        <v>0.75490656782152787</v>
      </c>
    </row>
    <row r="76" spans="1:18" x14ac:dyDescent="0.35">
      <c r="A76" t="s">
        <v>78</v>
      </c>
      <c r="B76" s="2">
        <v>45432</v>
      </c>
      <c r="C76" s="3">
        <f t="shared" si="8"/>
        <v>406</v>
      </c>
      <c r="D76">
        <f t="shared" si="9"/>
        <v>1322</v>
      </c>
      <c r="E76">
        <f t="shared" si="10"/>
        <v>44</v>
      </c>
      <c r="F76">
        <f t="shared" si="11"/>
        <v>2</v>
      </c>
      <c r="G76">
        <f t="shared" si="14"/>
        <v>5</v>
      </c>
      <c r="H76">
        <f t="shared" si="12"/>
        <v>5</v>
      </c>
      <c r="I76" s="9" t="str">
        <f t="shared" si="13"/>
        <v>255</v>
      </c>
      <c r="Q76" s="1">
        <v>0.6483377946989185</v>
      </c>
      <c r="R76" s="1">
        <v>0.97623194366765464</v>
      </c>
    </row>
    <row r="77" spans="1:18" x14ac:dyDescent="0.35">
      <c r="A77" t="s">
        <v>79</v>
      </c>
      <c r="B77" s="2">
        <v>45375</v>
      </c>
      <c r="C77" s="3">
        <f t="shared" si="8"/>
        <v>463</v>
      </c>
      <c r="D77">
        <f t="shared" si="9"/>
        <v>150</v>
      </c>
      <c r="E77">
        <f t="shared" si="10"/>
        <v>5</v>
      </c>
      <c r="F77">
        <f t="shared" si="11"/>
        <v>1</v>
      </c>
      <c r="G77">
        <f t="shared" si="14"/>
        <v>1</v>
      </c>
      <c r="H77">
        <f t="shared" si="12"/>
        <v>1</v>
      </c>
      <c r="I77" s="9" t="str">
        <f t="shared" si="13"/>
        <v>111</v>
      </c>
      <c r="Q77" s="1">
        <v>5.1392688181788548E-2</v>
      </c>
      <c r="R77" s="1">
        <v>8.5234803750306454E-2</v>
      </c>
    </row>
    <row r="78" spans="1:18" x14ac:dyDescent="0.35">
      <c r="A78" t="s">
        <v>80</v>
      </c>
      <c r="B78" s="2">
        <v>45441</v>
      </c>
      <c r="C78" s="3">
        <f t="shared" si="8"/>
        <v>397</v>
      </c>
      <c r="D78">
        <f t="shared" si="9"/>
        <v>1212</v>
      </c>
      <c r="E78">
        <f t="shared" si="10"/>
        <v>40</v>
      </c>
      <c r="F78">
        <f t="shared" si="11"/>
        <v>2</v>
      </c>
      <c r="G78">
        <f t="shared" si="14"/>
        <v>5</v>
      </c>
      <c r="H78">
        <f t="shared" si="12"/>
        <v>5</v>
      </c>
      <c r="I78" s="9" t="str">
        <f t="shared" si="13"/>
        <v>255</v>
      </c>
      <c r="Q78" s="1">
        <v>0.71514510696260336</v>
      </c>
      <c r="R78" s="1">
        <v>0.84058691412923159</v>
      </c>
    </row>
    <row r="79" spans="1:18" x14ac:dyDescent="0.35">
      <c r="A79" t="s">
        <v>81</v>
      </c>
      <c r="B79" s="2">
        <v>45741</v>
      </c>
      <c r="C79" s="3">
        <f t="shared" si="8"/>
        <v>97</v>
      </c>
      <c r="D79">
        <f t="shared" si="9"/>
        <v>1115</v>
      </c>
      <c r="E79">
        <f t="shared" si="10"/>
        <v>37</v>
      </c>
      <c r="F79">
        <f t="shared" si="11"/>
        <v>5</v>
      </c>
      <c r="G79">
        <f t="shared" si="14"/>
        <v>5</v>
      </c>
      <c r="H79">
        <f t="shared" si="12"/>
        <v>5</v>
      </c>
      <c r="I79" s="9" t="str">
        <f t="shared" si="13"/>
        <v>555</v>
      </c>
      <c r="Q79" s="1">
        <v>0.40441996753068332</v>
      </c>
      <c r="R79" s="1">
        <v>0.8785872438711031</v>
      </c>
    </row>
    <row r="80" spans="1:18" x14ac:dyDescent="0.35">
      <c r="A80" t="s">
        <v>82</v>
      </c>
      <c r="B80" s="2">
        <v>45532</v>
      </c>
      <c r="C80" s="3">
        <f t="shared" si="8"/>
        <v>306</v>
      </c>
      <c r="D80">
        <f t="shared" si="9"/>
        <v>897</v>
      </c>
      <c r="E80">
        <f t="shared" si="10"/>
        <v>30</v>
      </c>
      <c r="F80">
        <f t="shared" si="11"/>
        <v>2</v>
      </c>
      <c r="G80">
        <f t="shared" si="14"/>
        <v>4</v>
      </c>
      <c r="H80">
        <f t="shared" si="12"/>
        <v>4</v>
      </c>
      <c r="I80" s="9" t="str">
        <f t="shared" si="13"/>
        <v>244</v>
      </c>
      <c r="Q80" s="1">
        <v>0.8060680682666389</v>
      </c>
      <c r="R80" s="1">
        <v>0.49304504860008613</v>
      </c>
    </row>
    <row r="81" spans="1:18" x14ac:dyDescent="0.35">
      <c r="A81" t="s">
        <v>83</v>
      </c>
      <c r="B81" s="2">
        <v>45696</v>
      </c>
      <c r="C81" s="3">
        <f t="shared" si="8"/>
        <v>142</v>
      </c>
      <c r="D81">
        <f t="shared" si="9"/>
        <v>831</v>
      </c>
      <c r="E81">
        <f t="shared" si="10"/>
        <v>28</v>
      </c>
      <c r="F81">
        <f t="shared" si="11"/>
        <v>4</v>
      </c>
      <c r="G81">
        <f t="shared" si="14"/>
        <v>4</v>
      </c>
      <c r="H81">
        <f t="shared" si="12"/>
        <v>4</v>
      </c>
      <c r="I81" s="9" t="str">
        <f t="shared" si="13"/>
        <v>444</v>
      </c>
      <c r="Q81" s="1">
        <v>0.32419100967028702</v>
      </c>
      <c r="R81" s="1">
        <v>0.63495955145618532</v>
      </c>
    </row>
    <row r="82" spans="1:18" x14ac:dyDescent="0.35">
      <c r="A82" t="s">
        <v>84</v>
      </c>
      <c r="B82" s="2">
        <v>45769</v>
      </c>
      <c r="C82" s="3">
        <f t="shared" si="8"/>
        <v>69</v>
      </c>
      <c r="D82">
        <f t="shared" si="9"/>
        <v>1156</v>
      </c>
      <c r="E82">
        <f t="shared" si="10"/>
        <v>38</v>
      </c>
      <c r="F82">
        <f t="shared" si="11"/>
        <v>5</v>
      </c>
      <c r="G82">
        <f t="shared" si="14"/>
        <v>5</v>
      </c>
      <c r="H82">
        <f t="shared" si="12"/>
        <v>5</v>
      </c>
      <c r="I82" s="9" t="str">
        <f t="shared" si="13"/>
        <v>555</v>
      </c>
      <c r="Q82" s="1">
        <v>0.86733140210046855</v>
      </c>
      <c r="R82" s="1">
        <v>0.72018252937423566</v>
      </c>
    </row>
    <row r="83" spans="1:18" x14ac:dyDescent="0.35">
      <c r="A83" t="s">
        <v>85</v>
      </c>
      <c r="B83" s="2">
        <v>45432</v>
      </c>
      <c r="C83" s="3">
        <f t="shared" si="8"/>
        <v>406</v>
      </c>
      <c r="D83">
        <f t="shared" si="9"/>
        <v>798</v>
      </c>
      <c r="E83">
        <f t="shared" si="10"/>
        <v>26</v>
      </c>
      <c r="F83">
        <f t="shared" si="11"/>
        <v>2</v>
      </c>
      <c r="G83">
        <f t="shared" si="14"/>
        <v>2</v>
      </c>
      <c r="H83">
        <f t="shared" si="12"/>
        <v>4</v>
      </c>
      <c r="I83" s="9" t="str">
        <f t="shared" si="13"/>
        <v>224</v>
      </c>
      <c r="Q83" s="1">
        <v>0.91070917137824914</v>
      </c>
      <c r="R83" s="1">
        <v>0.35093459126224613</v>
      </c>
    </row>
    <row r="84" spans="1:18" x14ac:dyDescent="0.35">
      <c r="A84" t="s">
        <v>86</v>
      </c>
      <c r="B84" s="2">
        <v>45812</v>
      </c>
      <c r="C84" s="3">
        <f t="shared" si="8"/>
        <v>26</v>
      </c>
      <c r="D84">
        <f t="shared" si="9"/>
        <v>796</v>
      </c>
      <c r="E84">
        <f t="shared" si="10"/>
        <v>26</v>
      </c>
      <c r="F84">
        <f t="shared" si="11"/>
        <v>5</v>
      </c>
      <c r="G84">
        <f t="shared" si="14"/>
        <v>2</v>
      </c>
      <c r="H84">
        <f t="shared" si="12"/>
        <v>4</v>
      </c>
      <c r="I84" s="9" t="str">
        <f t="shared" si="13"/>
        <v>524</v>
      </c>
      <c r="Q84" s="1">
        <v>0.78874697000112515</v>
      </c>
      <c r="R84" s="1">
        <v>0.40195993588848822</v>
      </c>
    </row>
    <row r="85" spans="1:18" x14ac:dyDescent="0.35">
      <c r="A85" t="s">
        <v>87</v>
      </c>
      <c r="B85" s="2">
        <v>45445</v>
      </c>
      <c r="C85" s="3">
        <f t="shared" si="8"/>
        <v>393</v>
      </c>
      <c r="D85">
        <f t="shared" si="9"/>
        <v>1192</v>
      </c>
      <c r="E85">
        <f t="shared" si="10"/>
        <v>40</v>
      </c>
      <c r="F85">
        <f t="shared" si="11"/>
        <v>2</v>
      </c>
      <c r="G85">
        <f t="shared" si="14"/>
        <v>5</v>
      </c>
      <c r="H85">
        <f t="shared" si="12"/>
        <v>5</v>
      </c>
      <c r="I85" s="9" t="str">
        <f t="shared" si="13"/>
        <v>255</v>
      </c>
      <c r="Q85" s="1">
        <v>0.59609172201210614</v>
      </c>
      <c r="R85" s="1">
        <v>0.87125901947773943</v>
      </c>
    </row>
    <row r="86" spans="1:18" x14ac:dyDescent="0.35">
      <c r="A86" t="s">
        <v>88</v>
      </c>
      <c r="B86" s="2">
        <v>45390</v>
      </c>
      <c r="C86" s="3">
        <f t="shared" si="8"/>
        <v>448</v>
      </c>
      <c r="D86">
        <f t="shared" si="9"/>
        <v>788</v>
      </c>
      <c r="E86">
        <f t="shared" si="10"/>
        <v>26</v>
      </c>
      <c r="F86">
        <f t="shared" si="11"/>
        <v>1</v>
      </c>
      <c r="G86">
        <f t="shared" si="14"/>
        <v>2</v>
      </c>
      <c r="H86">
        <f t="shared" si="12"/>
        <v>4</v>
      </c>
      <c r="I86" s="9" t="str">
        <f t="shared" si="13"/>
        <v>124</v>
      </c>
      <c r="Q86" s="1">
        <v>0.9501716674086671</v>
      </c>
      <c r="R86" s="1">
        <v>0.32445397041006274</v>
      </c>
    </row>
    <row r="87" spans="1:18" x14ac:dyDescent="0.35">
      <c r="A87" t="s">
        <v>89</v>
      </c>
      <c r="B87" s="2">
        <v>45467</v>
      </c>
      <c r="C87" s="3">
        <f t="shared" si="8"/>
        <v>371</v>
      </c>
      <c r="D87">
        <f t="shared" si="9"/>
        <v>665</v>
      </c>
      <c r="E87">
        <f t="shared" si="10"/>
        <v>22</v>
      </c>
      <c r="F87">
        <f t="shared" si="11"/>
        <v>2</v>
      </c>
      <c r="G87">
        <f t="shared" si="14"/>
        <v>2</v>
      </c>
      <c r="H87">
        <f t="shared" si="12"/>
        <v>2</v>
      </c>
      <c r="I87" s="9" t="str">
        <f t="shared" si="13"/>
        <v>222</v>
      </c>
      <c r="Q87" s="1">
        <v>0.23628666066046577</v>
      </c>
      <c r="R87" s="1">
        <v>0.50982021280953294</v>
      </c>
    </row>
    <row r="88" spans="1:18" x14ac:dyDescent="0.35">
      <c r="A88" t="s">
        <v>90</v>
      </c>
      <c r="B88" s="2">
        <v>45670</v>
      </c>
      <c r="C88" s="3">
        <f t="shared" si="8"/>
        <v>168</v>
      </c>
      <c r="D88">
        <f t="shared" si="9"/>
        <v>1089</v>
      </c>
      <c r="E88">
        <f t="shared" si="10"/>
        <v>36</v>
      </c>
      <c r="F88">
        <f t="shared" si="11"/>
        <v>4</v>
      </c>
      <c r="G88">
        <f t="shared" si="14"/>
        <v>5</v>
      </c>
      <c r="H88">
        <f t="shared" si="12"/>
        <v>5</v>
      </c>
      <c r="I88" s="9" t="str">
        <f t="shared" si="13"/>
        <v>455</v>
      </c>
      <c r="Q88" s="1">
        <v>0.70156258366256596</v>
      </c>
      <c r="R88" s="1">
        <v>0.72578663309789238</v>
      </c>
    </row>
    <row r="89" spans="1:18" x14ac:dyDescent="0.35">
      <c r="A89" t="s">
        <v>91</v>
      </c>
      <c r="B89" s="2">
        <v>45458</v>
      </c>
      <c r="C89" s="3">
        <f t="shared" si="8"/>
        <v>380</v>
      </c>
      <c r="D89">
        <f t="shared" si="9"/>
        <v>1115</v>
      </c>
      <c r="E89">
        <f t="shared" si="10"/>
        <v>37</v>
      </c>
      <c r="F89">
        <f t="shared" si="11"/>
        <v>2</v>
      </c>
      <c r="G89">
        <f t="shared" si="14"/>
        <v>5</v>
      </c>
      <c r="H89">
        <f t="shared" si="12"/>
        <v>5</v>
      </c>
      <c r="I89" s="9" t="str">
        <f t="shared" si="13"/>
        <v>255</v>
      </c>
      <c r="Q89" s="1">
        <v>0.5653966461261557</v>
      </c>
      <c r="R89" s="1">
        <v>0.80973458158678846</v>
      </c>
    </row>
    <row r="90" spans="1:18" x14ac:dyDescent="0.35">
      <c r="A90" t="s">
        <v>92</v>
      </c>
      <c r="B90" s="2">
        <v>45489</v>
      </c>
      <c r="C90" s="3">
        <f t="shared" si="8"/>
        <v>349</v>
      </c>
      <c r="D90">
        <f t="shared" si="9"/>
        <v>333</v>
      </c>
      <c r="E90">
        <f t="shared" si="10"/>
        <v>11</v>
      </c>
      <c r="F90">
        <f t="shared" si="11"/>
        <v>2</v>
      </c>
      <c r="G90">
        <f t="shared" si="14"/>
        <v>1</v>
      </c>
      <c r="H90">
        <f t="shared" si="12"/>
        <v>1</v>
      </c>
      <c r="I90" s="9" t="str">
        <f t="shared" si="13"/>
        <v>211</v>
      </c>
      <c r="Q90" s="1">
        <v>3.0434660930587665E-2</v>
      </c>
      <c r="R90" s="1">
        <v>0.27369255686391303</v>
      </c>
    </row>
    <row r="91" spans="1:18" x14ac:dyDescent="0.35">
      <c r="A91" t="s">
        <v>93</v>
      </c>
      <c r="B91" s="2">
        <v>45474</v>
      </c>
      <c r="C91" s="3">
        <f t="shared" si="8"/>
        <v>364</v>
      </c>
      <c r="D91">
        <f t="shared" si="9"/>
        <v>911</v>
      </c>
      <c r="E91">
        <f t="shared" si="10"/>
        <v>30</v>
      </c>
      <c r="F91">
        <f t="shared" si="11"/>
        <v>2</v>
      </c>
      <c r="G91">
        <f t="shared" si="14"/>
        <v>4</v>
      </c>
      <c r="H91">
        <f t="shared" si="12"/>
        <v>4</v>
      </c>
      <c r="I91" s="9" t="str">
        <f t="shared" si="13"/>
        <v>244</v>
      </c>
      <c r="Q91" s="1">
        <v>0.76828238794048109</v>
      </c>
      <c r="R91" s="1">
        <v>0.52268011710129747</v>
      </c>
    </row>
    <row r="92" spans="1:18" x14ac:dyDescent="0.35">
      <c r="A92" t="s">
        <v>94</v>
      </c>
      <c r="B92" s="2">
        <v>45415</v>
      </c>
      <c r="C92" s="3">
        <f t="shared" si="8"/>
        <v>423</v>
      </c>
      <c r="D92">
        <f t="shared" si="9"/>
        <v>1172</v>
      </c>
      <c r="E92">
        <f t="shared" si="10"/>
        <v>39</v>
      </c>
      <c r="F92">
        <f t="shared" si="11"/>
        <v>1</v>
      </c>
      <c r="G92">
        <f t="shared" si="14"/>
        <v>5</v>
      </c>
      <c r="H92">
        <f t="shared" si="12"/>
        <v>5</v>
      </c>
      <c r="I92" s="9" t="str">
        <f t="shared" si="13"/>
        <v>155</v>
      </c>
      <c r="Q92" s="1">
        <v>0.30632971066611947</v>
      </c>
      <c r="R92" s="1">
        <v>0.97669642407437862</v>
      </c>
    </row>
    <row r="93" spans="1:18" x14ac:dyDescent="0.35">
      <c r="A93" t="s">
        <v>95</v>
      </c>
      <c r="B93" s="2">
        <v>45333</v>
      </c>
      <c r="C93" s="3">
        <f t="shared" si="8"/>
        <v>505</v>
      </c>
      <c r="D93">
        <f t="shared" si="9"/>
        <v>758</v>
      </c>
      <c r="E93">
        <f t="shared" si="10"/>
        <v>25</v>
      </c>
      <c r="F93">
        <f t="shared" si="11"/>
        <v>1</v>
      </c>
      <c r="G93">
        <f t="shared" si="14"/>
        <v>2</v>
      </c>
      <c r="H93">
        <f t="shared" si="12"/>
        <v>2</v>
      </c>
      <c r="I93" s="9" t="str">
        <f t="shared" si="13"/>
        <v>122</v>
      </c>
      <c r="Q93" s="1">
        <v>0.46956514596690591</v>
      </c>
      <c r="R93" s="1">
        <v>0.50172472432777926</v>
      </c>
    </row>
    <row r="94" spans="1:18" x14ac:dyDescent="0.35">
      <c r="A94" t="s">
        <v>96</v>
      </c>
      <c r="B94" s="2">
        <v>45833</v>
      </c>
      <c r="C94" s="3">
        <f t="shared" si="8"/>
        <v>5</v>
      </c>
      <c r="D94">
        <f t="shared" si="9"/>
        <v>908</v>
      </c>
      <c r="E94">
        <f t="shared" si="10"/>
        <v>30</v>
      </c>
      <c r="F94">
        <f t="shared" si="11"/>
        <v>5</v>
      </c>
      <c r="G94">
        <f t="shared" si="14"/>
        <v>4</v>
      </c>
      <c r="H94">
        <f t="shared" si="12"/>
        <v>4</v>
      </c>
      <c r="I94" s="9" t="str">
        <f t="shared" si="13"/>
        <v>544</v>
      </c>
      <c r="Q94" s="1">
        <v>0.75303834338476217</v>
      </c>
      <c r="R94" s="1">
        <v>0.52639569358224614</v>
      </c>
    </row>
    <row r="95" spans="1:18" x14ac:dyDescent="0.35">
      <c r="A95" t="s">
        <v>97</v>
      </c>
      <c r="B95" s="2">
        <v>45725</v>
      </c>
      <c r="C95" s="3">
        <f t="shared" si="8"/>
        <v>113</v>
      </c>
      <c r="D95">
        <f t="shared" si="9"/>
        <v>1204</v>
      </c>
      <c r="E95">
        <f t="shared" si="10"/>
        <v>40</v>
      </c>
      <c r="F95">
        <f t="shared" si="11"/>
        <v>5</v>
      </c>
      <c r="G95">
        <f t="shared" si="14"/>
        <v>5</v>
      </c>
      <c r="H95">
        <f t="shared" si="12"/>
        <v>5</v>
      </c>
      <c r="I95" s="9" t="str">
        <f t="shared" si="13"/>
        <v>555</v>
      </c>
      <c r="Q95" s="1">
        <v>0.36266321402574131</v>
      </c>
      <c r="R95" s="1">
        <v>0.98320870405422189</v>
      </c>
    </row>
    <row r="96" spans="1:18" x14ac:dyDescent="0.35">
      <c r="A96" t="s">
        <v>98</v>
      </c>
      <c r="B96" s="2">
        <v>45370</v>
      </c>
      <c r="C96" s="3">
        <f t="shared" si="8"/>
        <v>468</v>
      </c>
      <c r="D96">
        <f t="shared" si="9"/>
        <v>1455</v>
      </c>
      <c r="E96">
        <f t="shared" si="10"/>
        <v>48</v>
      </c>
      <c r="F96">
        <f t="shared" si="11"/>
        <v>1</v>
      </c>
      <c r="G96">
        <f t="shared" si="14"/>
        <v>5</v>
      </c>
      <c r="H96">
        <f t="shared" si="12"/>
        <v>5</v>
      </c>
      <c r="I96" s="9" t="str">
        <f t="shared" si="13"/>
        <v>155</v>
      </c>
      <c r="Q96" s="1">
        <v>0.97296319260087705</v>
      </c>
      <c r="R96" s="1">
        <v>0.96766400644165729</v>
      </c>
    </row>
    <row r="97" spans="1:18" x14ac:dyDescent="0.35">
      <c r="A97" t="s">
        <v>99</v>
      </c>
      <c r="B97" s="2">
        <v>45534</v>
      </c>
      <c r="C97" s="3">
        <f t="shared" si="8"/>
        <v>304</v>
      </c>
      <c r="D97">
        <f t="shared" si="9"/>
        <v>692</v>
      </c>
      <c r="E97">
        <f t="shared" si="10"/>
        <v>23</v>
      </c>
      <c r="F97">
        <f t="shared" si="11"/>
        <v>2</v>
      </c>
      <c r="G97">
        <f t="shared" si="14"/>
        <v>2</v>
      </c>
      <c r="H97">
        <f t="shared" si="12"/>
        <v>2</v>
      </c>
      <c r="I97" s="9" t="str">
        <f t="shared" si="13"/>
        <v>222</v>
      </c>
      <c r="Q97" s="1">
        <v>0.72115318935933093</v>
      </c>
      <c r="R97" s="1">
        <v>0.32916668151003126</v>
      </c>
    </row>
    <row r="98" spans="1:18" x14ac:dyDescent="0.35">
      <c r="A98" t="s">
        <v>100</v>
      </c>
      <c r="B98" s="2">
        <v>45730</v>
      </c>
      <c r="C98" s="3">
        <f t="shared" si="8"/>
        <v>108</v>
      </c>
      <c r="D98">
        <f t="shared" si="9"/>
        <v>655</v>
      </c>
      <c r="E98">
        <f t="shared" si="10"/>
        <v>22</v>
      </c>
      <c r="F98">
        <f t="shared" si="11"/>
        <v>5</v>
      </c>
      <c r="G98">
        <f t="shared" si="14"/>
        <v>2</v>
      </c>
      <c r="H98">
        <f t="shared" si="12"/>
        <v>2</v>
      </c>
      <c r="I98" s="9" t="str">
        <f t="shared" si="13"/>
        <v>522</v>
      </c>
      <c r="Q98" s="1">
        <v>0.24459926458247261</v>
      </c>
      <c r="R98" s="1">
        <v>0.4969064474599566</v>
      </c>
    </row>
    <row r="99" spans="1:18" x14ac:dyDescent="0.35">
      <c r="A99" t="s">
        <v>101</v>
      </c>
      <c r="B99" s="2">
        <v>45302</v>
      </c>
      <c r="C99" s="3">
        <f t="shared" si="8"/>
        <v>536</v>
      </c>
      <c r="D99">
        <f t="shared" si="9"/>
        <v>1020</v>
      </c>
      <c r="E99">
        <f t="shared" si="10"/>
        <v>34</v>
      </c>
      <c r="F99">
        <f t="shared" si="11"/>
        <v>1</v>
      </c>
      <c r="G99">
        <f t="shared" si="14"/>
        <v>4</v>
      </c>
      <c r="H99">
        <f t="shared" si="12"/>
        <v>4</v>
      </c>
      <c r="I99" s="9" t="str">
        <f t="shared" si="13"/>
        <v>144</v>
      </c>
      <c r="Q99" s="1">
        <v>0.39905934262258269</v>
      </c>
      <c r="R99" s="1">
        <v>0.78792504470745539</v>
      </c>
    </row>
    <row r="100" spans="1:18" x14ac:dyDescent="0.35">
      <c r="A100" t="s">
        <v>102</v>
      </c>
      <c r="B100" s="2">
        <v>45347</v>
      </c>
      <c r="C100" s="3">
        <f t="shared" si="8"/>
        <v>491</v>
      </c>
      <c r="D100">
        <f t="shared" si="9"/>
        <v>705</v>
      </c>
      <c r="E100">
        <f t="shared" si="10"/>
        <v>23</v>
      </c>
      <c r="F100">
        <f t="shared" si="11"/>
        <v>1</v>
      </c>
      <c r="G100">
        <f t="shared" si="14"/>
        <v>2</v>
      </c>
      <c r="H100">
        <f t="shared" si="12"/>
        <v>2</v>
      </c>
      <c r="I100" s="9" t="str">
        <f t="shared" si="13"/>
        <v>122</v>
      </c>
      <c r="Q100" s="1">
        <v>0.29051924560783815</v>
      </c>
      <c r="R100" s="1">
        <v>0.52615629398215924</v>
      </c>
    </row>
    <row r="101" spans="1:18" x14ac:dyDescent="0.35">
      <c r="A101" t="s">
        <v>103</v>
      </c>
      <c r="B101" s="2">
        <v>45713</v>
      </c>
      <c r="C101" s="3">
        <f t="shared" si="8"/>
        <v>125</v>
      </c>
      <c r="D101">
        <f t="shared" si="9"/>
        <v>954</v>
      </c>
      <c r="E101">
        <f t="shared" si="10"/>
        <v>32</v>
      </c>
      <c r="F101">
        <f t="shared" si="11"/>
        <v>4</v>
      </c>
      <c r="G101">
        <f t="shared" si="14"/>
        <v>4</v>
      </c>
      <c r="H101">
        <f t="shared" si="12"/>
        <v>4</v>
      </c>
      <c r="I101" s="9" t="str">
        <f t="shared" si="13"/>
        <v>444</v>
      </c>
      <c r="Q101" s="1">
        <v>0.94866316926114103</v>
      </c>
      <c r="R101" s="1">
        <v>0.48784455708575536</v>
      </c>
    </row>
    <row r="102" spans="1:18" x14ac:dyDescent="0.35">
      <c r="A102" t="s">
        <v>104</v>
      </c>
      <c r="B102" s="2">
        <v>45811</v>
      </c>
      <c r="C102" s="3">
        <f t="shared" si="8"/>
        <v>27</v>
      </c>
      <c r="D102">
        <f t="shared" si="9"/>
        <v>348</v>
      </c>
      <c r="E102">
        <f t="shared" si="10"/>
        <v>11</v>
      </c>
      <c r="F102">
        <f t="shared" si="11"/>
        <v>5</v>
      </c>
      <c r="G102">
        <f t="shared" si="14"/>
        <v>1</v>
      </c>
      <c r="H102">
        <f t="shared" si="12"/>
        <v>1</v>
      </c>
      <c r="I102" s="9" t="str">
        <f t="shared" si="13"/>
        <v>511</v>
      </c>
      <c r="Q102" s="1">
        <v>0.55893516062316972</v>
      </c>
      <c r="R102" s="1">
        <v>6.229855047437971E-2</v>
      </c>
    </row>
    <row r="103" spans="1:18" x14ac:dyDescent="0.35">
      <c r="A103" t="s">
        <v>105</v>
      </c>
      <c r="B103" s="2">
        <v>45790</v>
      </c>
      <c r="C103" s="3">
        <f t="shared" si="8"/>
        <v>48</v>
      </c>
      <c r="D103">
        <f t="shared" si="9"/>
        <v>408</v>
      </c>
      <c r="E103">
        <f t="shared" si="10"/>
        <v>13</v>
      </c>
      <c r="F103">
        <f t="shared" si="11"/>
        <v>5</v>
      </c>
      <c r="G103">
        <f t="shared" si="14"/>
        <v>1</v>
      </c>
      <c r="H103">
        <f t="shared" si="12"/>
        <v>1</v>
      </c>
      <c r="I103" s="9" t="str">
        <f t="shared" si="13"/>
        <v>511</v>
      </c>
      <c r="Q103" s="1">
        <v>0.72662896063124749</v>
      </c>
      <c r="R103" s="1">
        <v>4.8669475325002876E-2</v>
      </c>
    </row>
    <row r="104" spans="1:18" x14ac:dyDescent="0.35">
      <c r="A104" t="s">
        <v>106</v>
      </c>
      <c r="B104" s="2">
        <v>45618</v>
      </c>
      <c r="C104" s="3">
        <f t="shared" si="8"/>
        <v>220</v>
      </c>
      <c r="D104">
        <f t="shared" si="9"/>
        <v>1291</v>
      </c>
      <c r="E104">
        <f t="shared" si="10"/>
        <v>43</v>
      </c>
      <c r="F104">
        <f t="shared" si="11"/>
        <v>4</v>
      </c>
      <c r="G104">
        <f t="shared" si="14"/>
        <v>5</v>
      </c>
      <c r="H104">
        <f t="shared" si="12"/>
        <v>5</v>
      </c>
      <c r="I104" s="9" t="str">
        <f t="shared" si="13"/>
        <v>455</v>
      </c>
      <c r="Q104" s="1">
        <v>0.9887593842565916</v>
      </c>
      <c r="R104" s="1">
        <v>0.80079268092248612</v>
      </c>
    </row>
    <row r="105" spans="1:18" x14ac:dyDescent="0.35">
      <c r="A105" t="s">
        <v>107</v>
      </c>
      <c r="B105" s="2">
        <v>45755</v>
      </c>
      <c r="C105" s="3">
        <f t="shared" si="8"/>
        <v>83</v>
      </c>
      <c r="D105">
        <f t="shared" si="9"/>
        <v>1002</v>
      </c>
      <c r="E105">
        <f t="shared" si="10"/>
        <v>33</v>
      </c>
      <c r="F105">
        <f t="shared" si="11"/>
        <v>5</v>
      </c>
      <c r="G105">
        <f t="shared" si="14"/>
        <v>4</v>
      </c>
      <c r="H105">
        <f t="shared" si="12"/>
        <v>4</v>
      </c>
      <c r="I105" s="9" t="str">
        <f t="shared" si="13"/>
        <v>544</v>
      </c>
      <c r="Q105" s="1">
        <v>0.251794414606896</v>
      </c>
      <c r="R105" s="1">
        <v>0.8331860353642212</v>
      </c>
    </row>
    <row r="106" spans="1:18" x14ac:dyDescent="0.35">
      <c r="A106" t="s">
        <v>108</v>
      </c>
      <c r="B106" s="2">
        <v>45309</v>
      </c>
      <c r="C106" s="3">
        <f t="shared" si="8"/>
        <v>529</v>
      </c>
      <c r="D106">
        <f t="shared" si="9"/>
        <v>549</v>
      </c>
      <c r="E106">
        <f t="shared" si="10"/>
        <v>18</v>
      </c>
      <c r="F106">
        <f t="shared" si="11"/>
        <v>1</v>
      </c>
      <c r="G106">
        <f t="shared" si="14"/>
        <v>2</v>
      </c>
      <c r="H106">
        <f t="shared" si="12"/>
        <v>2</v>
      </c>
      <c r="I106" s="9" t="str">
        <f t="shared" si="13"/>
        <v>122</v>
      </c>
      <c r="Q106" s="1">
        <v>6.3542554362746584E-3</v>
      </c>
      <c r="R106" s="1">
        <v>0.49535614525490324</v>
      </c>
    </row>
    <row r="107" spans="1:18" x14ac:dyDescent="0.35">
      <c r="A107" t="s">
        <v>109</v>
      </c>
      <c r="B107" s="2">
        <v>45832</v>
      </c>
      <c r="C107" s="3">
        <f t="shared" si="8"/>
        <v>6</v>
      </c>
      <c r="D107">
        <f t="shared" si="9"/>
        <v>986</v>
      </c>
      <c r="E107">
        <f t="shared" si="10"/>
        <v>33</v>
      </c>
      <c r="F107">
        <f t="shared" si="11"/>
        <v>5</v>
      </c>
      <c r="G107">
        <f t="shared" si="14"/>
        <v>4</v>
      </c>
      <c r="H107">
        <f t="shared" si="12"/>
        <v>4</v>
      </c>
      <c r="I107" s="9" t="str">
        <f t="shared" si="13"/>
        <v>544</v>
      </c>
      <c r="Q107" s="1">
        <v>0.7929898345217038</v>
      </c>
      <c r="R107" s="1">
        <v>0.58597160784486491</v>
      </c>
    </row>
    <row r="108" spans="1:18" x14ac:dyDescent="0.35">
      <c r="A108" t="s">
        <v>110</v>
      </c>
      <c r="B108" s="2">
        <v>45717</v>
      </c>
      <c r="C108" s="3">
        <f t="shared" si="8"/>
        <v>121</v>
      </c>
      <c r="D108">
        <f t="shared" si="9"/>
        <v>355</v>
      </c>
      <c r="E108">
        <f t="shared" si="10"/>
        <v>12</v>
      </c>
      <c r="F108">
        <f t="shared" si="11"/>
        <v>5</v>
      </c>
      <c r="G108">
        <f t="shared" si="14"/>
        <v>1</v>
      </c>
      <c r="H108">
        <f t="shared" si="12"/>
        <v>1</v>
      </c>
      <c r="I108" s="9" t="str">
        <f t="shared" si="13"/>
        <v>511</v>
      </c>
      <c r="Q108" s="1">
        <v>0.33817597766816876</v>
      </c>
      <c r="R108" s="1">
        <v>0.16332848805134126</v>
      </c>
    </row>
    <row r="109" spans="1:18" x14ac:dyDescent="0.35">
      <c r="A109" t="s">
        <v>111</v>
      </c>
      <c r="B109" s="2">
        <v>45771</v>
      </c>
      <c r="C109" s="3">
        <f t="shared" si="8"/>
        <v>67</v>
      </c>
      <c r="D109">
        <f t="shared" si="9"/>
        <v>864</v>
      </c>
      <c r="E109">
        <f t="shared" si="10"/>
        <v>29</v>
      </c>
      <c r="F109">
        <f t="shared" si="11"/>
        <v>5</v>
      </c>
      <c r="G109">
        <f t="shared" si="14"/>
        <v>4</v>
      </c>
      <c r="H109">
        <f t="shared" si="12"/>
        <v>4</v>
      </c>
      <c r="I109" s="9" t="str">
        <f t="shared" si="13"/>
        <v>544</v>
      </c>
      <c r="Q109" s="1">
        <v>0.36057840644656802</v>
      </c>
      <c r="R109" s="1">
        <v>0.65191020253356813</v>
      </c>
    </row>
    <row r="110" spans="1:18" x14ac:dyDescent="0.35">
      <c r="A110" t="s">
        <v>112</v>
      </c>
      <c r="B110" s="2">
        <v>45513</v>
      </c>
      <c r="C110" s="3">
        <f t="shared" si="8"/>
        <v>325</v>
      </c>
      <c r="D110">
        <f t="shared" si="9"/>
        <v>952</v>
      </c>
      <c r="E110">
        <f t="shared" si="10"/>
        <v>32</v>
      </c>
      <c r="F110">
        <f t="shared" si="11"/>
        <v>2</v>
      </c>
      <c r="G110">
        <f t="shared" si="14"/>
        <v>4</v>
      </c>
      <c r="H110">
        <f t="shared" si="12"/>
        <v>4</v>
      </c>
      <c r="I110" s="9" t="str">
        <f t="shared" si="13"/>
        <v>244</v>
      </c>
      <c r="Q110" s="1">
        <v>0.45580324267676242</v>
      </c>
      <c r="R110" s="1">
        <v>0.69742003407055797</v>
      </c>
    </row>
    <row r="111" spans="1:18" x14ac:dyDescent="0.35">
      <c r="A111" t="s">
        <v>113</v>
      </c>
      <c r="B111" s="2">
        <v>45422</v>
      </c>
      <c r="C111" s="3">
        <f t="shared" si="8"/>
        <v>416</v>
      </c>
      <c r="D111">
        <f t="shared" si="9"/>
        <v>507</v>
      </c>
      <c r="E111">
        <f t="shared" si="10"/>
        <v>17</v>
      </c>
      <c r="F111">
        <f t="shared" si="11"/>
        <v>1</v>
      </c>
      <c r="G111">
        <f t="shared" si="14"/>
        <v>2</v>
      </c>
      <c r="H111">
        <f t="shared" si="12"/>
        <v>2</v>
      </c>
      <c r="I111" s="9" t="str">
        <f t="shared" si="13"/>
        <v>122</v>
      </c>
      <c r="Q111" s="1">
        <v>0.75912491947993743</v>
      </c>
      <c r="R111" s="1">
        <v>0.13151052724516565</v>
      </c>
    </row>
    <row r="112" spans="1:18" x14ac:dyDescent="0.35">
      <c r="A112" t="s">
        <v>114</v>
      </c>
      <c r="B112" s="2">
        <v>45740</v>
      </c>
      <c r="C112" s="3">
        <f t="shared" si="8"/>
        <v>98</v>
      </c>
      <c r="D112">
        <f t="shared" si="9"/>
        <v>1365</v>
      </c>
      <c r="E112">
        <f t="shared" si="10"/>
        <v>45</v>
      </c>
      <c r="F112">
        <f t="shared" si="11"/>
        <v>5</v>
      </c>
      <c r="G112">
        <f t="shared" si="14"/>
        <v>5</v>
      </c>
      <c r="H112">
        <f t="shared" si="12"/>
        <v>5</v>
      </c>
      <c r="I112" s="9" t="str">
        <f t="shared" si="13"/>
        <v>555</v>
      </c>
      <c r="Q112" s="1">
        <v>0.69516610160473535</v>
      </c>
      <c r="R112" s="1">
        <v>0.99892059264667032</v>
      </c>
    </row>
    <row r="113" spans="1:18" x14ac:dyDescent="0.35">
      <c r="A113" t="s">
        <v>115</v>
      </c>
      <c r="B113" s="2">
        <v>45352</v>
      </c>
      <c r="C113" s="3">
        <f t="shared" si="8"/>
        <v>486</v>
      </c>
      <c r="D113">
        <f t="shared" si="9"/>
        <v>1283</v>
      </c>
      <c r="E113">
        <f t="shared" si="10"/>
        <v>43</v>
      </c>
      <c r="F113">
        <f t="shared" si="11"/>
        <v>1</v>
      </c>
      <c r="G113">
        <f t="shared" si="14"/>
        <v>5</v>
      </c>
      <c r="H113">
        <f t="shared" si="12"/>
        <v>5</v>
      </c>
      <c r="I113" s="9" t="str">
        <f t="shared" si="13"/>
        <v>155</v>
      </c>
      <c r="Q113" s="1">
        <v>0.54651099662361724</v>
      </c>
      <c r="R113" s="1">
        <v>0.98178255273565052</v>
      </c>
    </row>
    <row r="114" spans="1:18" x14ac:dyDescent="0.35">
      <c r="A114" t="s">
        <v>116</v>
      </c>
      <c r="B114" s="2">
        <v>45588</v>
      </c>
      <c r="C114" s="3">
        <f t="shared" si="8"/>
        <v>250</v>
      </c>
      <c r="D114">
        <f t="shared" si="9"/>
        <v>624</v>
      </c>
      <c r="E114">
        <f t="shared" si="10"/>
        <v>21</v>
      </c>
      <c r="F114">
        <f t="shared" si="11"/>
        <v>4</v>
      </c>
      <c r="G114">
        <f t="shared" si="14"/>
        <v>2</v>
      </c>
      <c r="H114">
        <f t="shared" si="12"/>
        <v>2</v>
      </c>
      <c r="I114" s="9" t="str">
        <f t="shared" si="13"/>
        <v>422</v>
      </c>
      <c r="Q114" s="1">
        <v>0.33684700928104983</v>
      </c>
      <c r="R114" s="1">
        <v>0.42681528232413868</v>
      </c>
    </row>
    <row r="115" spans="1:18" x14ac:dyDescent="0.35">
      <c r="A115" t="s">
        <v>117</v>
      </c>
      <c r="B115" s="2">
        <v>45730</v>
      </c>
      <c r="C115" s="3">
        <f t="shared" si="8"/>
        <v>108</v>
      </c>
      <c r="D115">
        <f t="shared" si="9"/>
        <v>608</v>
      </c>
      <c r="E115">
        <f t="shared" si="10"/>
        <v>20</v>
      </c>
      <c r="F115">
        <f t="shared" si="11"/>
        <v>5</v>
      </c>
      <c r="G115">
        <f t="shared" si="14"/>
        <v>2</v>
      </c>
      <c r="H115">
        <f t="shared" si="12"/>
        <v>2</v>
      </c>
      <c r="I115" s="9" t="str">
        <f t="shared" si="13"/>
        <v>522</v>
      </c>
      <c r="Q115" s="1">
        <v>0.64221771821709583</v>
      </c>
      <c r="R115" s="1">
        <v>0.28090104429910423</v>
      </c>
    </row>
    <row r="116" spans="1:18" x14ac:dyDescent="0.35">
      <c r="A116" t="s">
        <v>118</v>
      </c>
      <c r="B116" s="2">
        <v>45422</v>
      </c>
      <c r="C116" s="3">
        <f t="shared" si="8"/>
        <v>416</v>
      </c>
      <c r="D116">
        <f t="shared" si="9"/>
        <v>774</v>
      </c>
      <c r="E116">
        <f t="shared" si="10"/>
        <v>26</v>
      </c>
      <c r="F116">
        <f t="shared" si="11"/>
        <v>1</v>
      </c>
      <c r="G116">
        <f t="shared" si="14"/>
        <v>2</v>
      </c>
      <c r="H116">
        <f t="shared" si="12"/>
        <v>2</v>
      </c>
      <c r="I116" s="9" t="str">
        <f t="shared" si="13"/>
        <v>122</v>
      </c>
      <c r="Q116" s="1">
        <v>0.47243541479864737</v>
      </c>
      <c r="R116" s="1">
        <v>0.5158532150806947</v>
      </c>
    </row>
    <row r="117" spans="1:18" x14ac:dyDescent="0.35">
      <c r="A117" t="s">
        <v>119</v>
      </c>
      <c r="B117" s="2">
        <v>45400</v>
      </c>
      <c r="C117" s="3">
        <f t="shared" si="8"/>
        <v>438</v>
      </c>
      <c r="D117">
        <f t="shared" si="9"/>
        <v>291</v>
      </c>
      <c r="E117">
        <f t="shared" si="10"/>
        <v>9</v>
      </c>
      <c r="F117">
        <f t="shared" si="11"/>
        <v>1</v>
      </c>
      <c r="G117">
        <f t="shared" si="14"/>
        <v>1</v>
      </c>
      <c r="H117">
        <f t="shared" si="12"/>
        <v>1</v>
      </c>
      <c r="I117" s="9" t="str">
        <f t="shared" si="13"/>
        <v>111</v>
      </c>
      <c r="Q117" s="1">
        <v>0.15455739817816483</v>
      </c>
      <c r="R117" s="1">
        <v>0.17903655160574561</v>
      </c>
    </row>
    <row r="118" spans="1:18" x14ac:dyDescent="0.35">
      <c r="A118" t="s">
        <v>120</v>
      </c>
      <c r="B118" s="2">
        <v>45721</v>
      </c>
      <c r="C118" s="3">
        <f t="shared" si="8"/>
        <v>117</v>
      </c>
      <c r="D118">
        <f t="shared" si="9"/>
        <v>945</v>
      </c>
      <c r="E118">
        <f t="shared" si="10"/>
        <v>31</v>
      </c>
      <c r="F118">
        <f t="shared" si="11"/>
        <v>5</v>
      </c>
      <c r="G118">
        <f t="shared" si="14"/>
        <v>4</v>
      </c>
      <c r="H118">
        <f t="shared" si="12"/>
        <v>4</v>
      </c>
      <c r="I118" s="9" t="str">
        <f t="shared" si="13"/>
        <v>544</v>
      </c>
      <c r="Q118" s="1">
        <v>0.9781887930484594</v>
      </c>
      <c r="R118" s="1">
        <v>0.4662653142894343</v>
      </c>
    </row>
    <row r="119" spans="1:18" x14ac:dyDescent="0.35">
      <c r="A119" t="s">
        <v>121</v>
      </c>
      <c r="B119" s="2">
        <v>45579</v>
      </c>
      <c r="C119" s="3">
        <f t="shared" si="8"/>
        <v>259</v>
      </c>
      <c r="D119">
        <f t="shared" si="9"/>
        <v>576</v>
      </c>
      <c r="E119">
        <f t="shared" si="10"/>
        <v>19</v>
      </c>
      <c r="F119">
        <f t="shared" si="11"/>
        <v>4</v>
      </c>
      <c r="G119">
        <f t="shared" si="14"/>
        <v>2</v>
      </c>
      <c r="H119">
        <f t="shared" si="12"/>
        <v>2</v>
      </c>
      <c r="I119" s="9" t="str">
        <f t="shared" si="13"/>
        <v>422</v>
      </c>
      <c r="Q119" s="1">
        <v>0.55616562995584073</v>
      </c>
      <c r="R119" s="1">
        <v>0.28581164519163282</v>
      </c>
    </row>
    <row r="120" spans="1:18" x14ac:dyDescent="0.35">
      <c r="A120" t="s">
        <v>122</v>
      </c>
      <c r="B120" s="2">
        <v>45623</v>
      </c>
      <c r="C120" s="3">
        <f t="shared" si="8"/>
        <v>215</v>
      </c>
      <c r="D120">
        <f t="shared" si="9"/>
        <v>785</v>
      </c>
      <c r="E120">
        <f t="shared" si="10"/>
        <v>26</v>
      </c>
      <c r="F120">
        <f t="shared" si="11"/>
        <v>4</v>
      </c>
      <c r="G120">
        <f t="shared" si="14"/>
        <v>2</v>
      </c>
      <c r="H120">
        <f t="shared" si="12"/>
        <v>4</v>
      </c>
      <c r="I120" s="9" t="str">
        <f t="shared" si="13"/>
        <v>424</v>
      </c>
      <c r="Q120" s="1">
        <v>0.60557378751035629</v>
      </c>
      <c r="R120" s="1">
        <v>0.46957742422502746</v>
      </c>
    </row>
    <row r="121" spans="1:18" x14ac:dyDescent="0.35">
      <c r="A121" t="s">
        <v>123</v>
      </c>
      <c r="B121" s="2">
        <v>45632</v>
      </c>
      <c r="C121" s="3">
        <f t="shared" si="8"/>
        <v>206</v>
      </c>
      <c r="D121">
        <f t="shared" si="9"/>
        <v>1126</v>
      </c>
      <c r="E121">
        <f t="shared" si="10"/>
        <v>37</v>
      </c>
      <c r="F121">
        <f t="shared" si="11"/>
        <v>4</v>
      </c>
      <c r="G121">
        <f t="shared" si="14"/>
        <v>5</v>
      </c>
      <c r="H121">
        <f t="shared" si="12"/>
        <v>5</v>
      </c>
      <c r="I121" s="9" t="str">
        <f t="shared" si="13"/>
        <v>455</v>
      </c>
      <c r="Q121" s="1">
        <v>0.4615005302481564</v>
      </c>
      <c r="R121" s="1">
        <v>0.86438253631066131</v>
      </c>
    </row>
    <row r="122" spans="1:18" x14ac:dyDescent="0.35">
      <c r="A122" t="s">
        <v>124</v>
      </c>
      <c r="B122" s="2">
        <v>45449</v>
      </c>
      <c r="C122" s="3">
        <f t="shared" si="8"/>
        <v>389</v>
      </c>
      <c r="D122">
        <f t="shared" si="9"/>
        <v>636</v>
      </c>
      <c r="E122">
        <f t="shared" si="10"/>
        <v>21</v>
      </c>
      <c r="F122">
        <f t="shared" si="11"/>
        <v>2</v>
      </c>
      <c r="G122">
        <f t="shared" si="14"/>
        <v>2</v>
      </c>
      <c r="H122">
        <f t="shared" si="12"/>
        <v>2</v>
      </c>
      <c r="I122" s="9" t="str">
        <f t="shared" si="13"/>
        <v>222</v>
      </c>
      <c r="Q122" s="1">
        <v>0.23510327631547945</v>
      </c>
      <c r="R122" s="1">
        <v>0.48249593894219722</v>
      </c>
    </row>
    <row r="123" spans="1:18" x14ac:dyDescent="0.35">
      <c r="A123" t="s">
        <v>125</v>
      </c>
      <c r="B123" s="2">
        <v>45581</v>
      </c>
      <c r="C123" s="3">
        <f t="shared" si="8"/>
        <v>257</v>
      </c>
      <c r="D123">
        <f t="shared" si="9"/>
        <v>676</v>
      </c>
      <c r="E123">
        <f t="shared" si="10"/>
        <v>22</v>
      </c>
      <c r="F123">
        <f t="shared" si="11"/>
        <v>4</v>
      </c>
      <c r="G123">
        <f t="shared" si="14"/>
        <v>2</v>
      </c>
      <c r="H123">
        <f t="shared" si="12"/>
        <v>2</v>
      </c>
      <c r="I123" s="9" t="str">
        <f t="shared" si="13"/>
        <v>422</v>
      </c>
      <c r="Q123" s="1">
        <v>0.68130797375500396</v>
      </c>
      <c r="R123" s="1">
        <v>0.33023022329265039</v>
      </c>
    </row>
    <row r="124" spans="1:18" x14ac:dyDescent="0.35">
      <c r="A124" t="s">
        <v>126</v>
      </c>
      <c r="B124" s="2">
        <v>45617</v>
      </c>
      <c r="C124" s="3">
        <f t="shared" si="8"/>
        <v>221</v>
      </c>
      <c r="D124">
        <f t="shared" si="9"/>
        <v>1052</v>
      </c>
      <c r="E124">
        <f t="shared" si="10"/>
        <v>35</v>
      </c>
      <c r="F124">
        <f t="shared" si="11"/>
        <v>4</v>
      </c>
      <c r="G124">
        <f t="shared" si="14"/>
        <v>4</v>
      </c>
      <c r="H124">
        <f t="shared" si="12"/>
        <v>5</v>
      </c>
      <c r="I124" s="9" t="str">
        <f t="shared" si="13"/>
        <v>445</v>
      </c>
      <c r="Q124" s="1">
        <v>0.1761021527475306</v>
      </c>
      <c r="R124" s="1">
        <v>0.91468263092909807</v>
      </c>
    </row>
    <row r="125" spans="1:18" x14ac:dyDescent="0.35">
      <c r="A125" t="s">
        <v>127</v>
      </c>
      <c r="B125" s="2">
        <v>45524</v>
      </c>
      <c r="C125" s="3">
        <f t="shared" si="8"/>
        <v>314</v>
      </c>
      <c r="D125">
        <f t="shared" si="9"/>
        <v>1050</v>
      </c>
      <c r="E125">
        <f t="shared" si="10"/>
        <v>35</v>
      </c>
      <c r="F125">
        <f t="shared" si="11"/>
        <v>2</v>
      </c>
      <c r="G125">
        <f t="shared" si="14"/>
        <v>4</v>
      </c>
      <c r="H125">
        <f t="shared" si="12"/>
        <v>5</v>
      </c>
      <c r="I125" s="9" t="str">
        <f t="shared" si="13"/>
        <v>245</v>
      </c>
      <c r="Q125" s="1">
        <v>0.60634736152261537</v>
      </c>
      <c r="R125" s="1">
        <v>0.72814891040638607</v>
      </c>
    </row>
    <row r="126" spans="1:18" x14ac:dyDescent="0.35">
      <c r="A126" t="s">
        <v>128</v>
      </c>
      <c r="B126" s="2">
        <v>45411</v>
      </c>
      <c r="C126" s="3">
        <f t="shared" si="8"/>
        <v>427</v>
      </c>
      <c r="D126">
        <f t="shared" si="9"/>
        <v>913</v>
      </c>
      <c r="E126">
        <f t="shared" si="10"/>
        <v>30</v>
      </c>
      <c r="F126">
        <f t="shared" si="11"/>
        <v>1</v>
      </c>
      <c r="G126">
        <f t="shared" si="14"/>
        <v>4</v>
      </c>
      <c r="H126">
        <f t="shared" si="12"/>
        <v>4</v>
      </c>
      <c r="I126" s="9" t="str">
        <f t="shared" si="13"/>
        <v>144</v>
      </c>
      <c r="Q126" s="1">
        <v>9.3894063601063227E-3</v>
      </c>
      <c r="R126" s="1">
        <v>0.84987531139752459</v>
      </c>
    </row>
    <row r="127" spans="1:18" x14ac:dyDescent="0.35">
      <c r="A127" t="s">
        <v>129</v>
      </c>
      <c r="B127" s="2">
        <v>45531</v>
      </c>
      <c r="C127" s="3">
        <f t="shared" si="8"/>
        <v>307</v>
      </c>
      <c r="D127">
        <f t="shared" si="9"/>
        <v>1210</v>
      </c>
      <c r="E127">
        <f t="shared" si="10"/>
        <v>40</v>
      </c>
      <c r="F127">
        <f t="shared" si="11"/>
        <v>2</v>
      </c>
      <c r="G127">
        <f t="shared" si="14"/>
        <v>5</v>
      </c>
      <c r="H127">
        <f t="shared" si="12"/>
        <v>5</v>
      </c>
      <c r="I127" s="9" t="str">
        <f t="shared" si="13"/>
        <v>255</v>
      </c>
      <c r="Q127" s="1">
        <v>0.8392321402063464</v>
      </c>
      <c r="R127" s="1">
        <v>0.78485867323848246</v>
      </c>
    </row>
    <row r="128" spans="1:18" x14ac:dyDescent="0.35">
      <c r="A128" t="s">
        <v>130</v>
      </c>
      <c r="B128" s="2">
        <v>45419</v>
      </c>
      <c r="C128" s="3">
        <f t="shared" si="8"/>
        <v>419</v>
      </c>
      <c r="D128">
        <f t="shared" si="9"/>
        <v>995</v>
      </c>
      <c r="E128">
        <f t="shared" si="10"/>
        <v>33</v>
      </c>
      <c r="F128">
        <f t="shared" si="11"/>
        <v>1</v>
      </c>
      <c r="G128">
        <f t="shared" si="14"/>
        <v>4</v>
      </c>
      <c r="H128">
        <f t="shared" si="12"/>
        <v>4</v>
      </c>
      <c r="I128" s="9" t="str">
        <f t="shared" si="13"/>
        <v>144</v>
      </c>
      <c r="Q128" s="1">
        <v>0.78690070420479097</v>
      </c>
      <c r="R128" s="1">
        <v>0.5976395132262734</v>
      </c>
    </row>
    <row r="129" spans="1:18" x14ac:dyDescent="0.35">
      <c r="A129" t="s">
        <v>131</v>
      </c>
      <c r="B129" s="2">
        <v>45384</v>
      </c>
      <c r="C129" s="3">
        <f t="shared" si="8"/>
        <v>454</v>
      </c>
      <c r="D129">
        <f t="shared" si="9"/>
        <v>383</v>
      </c>
      <c r="E129">
        <f t="shared" si="10"/>
        <v>13</v>
      </c>
      <c r="F129">
        <f t="shared" si="11"/>
        <v>1</v>
      </c>
      <c r="G129">
        <f t="shared" si="14"/>
        <v>1</v>
      </c>
      <c r="H129">
        <f t="shared" si="12"/>
        <v>1</v>
      </c>
      <c r="I129" s="9" t="str">
        <f t="shared" si="13"/>
        <v>111</v>
      </c>
      <c r="Q129" s="1">
        <v>0.45044942440511482</v>
      </c>
      <c r="R129" s="1">
        <v>0.14283187040926515</v>
      </c>
    </row>
    <row r="130" spans="1:18" x14ac:dyDescent="0.35">
      <c r="A130" t="s">
        <v>132</v>
      </c>
      <c r="B130" s="2">
        <v>45323</v>
      </c>
      <c r="C130" s="3">
        <f t="shared" si="8"/>
        <v>515</v>
      </c>
      <c r="D130">
        <f t="shared" si="9"/>
        <v>872</v>
      </c>
      <c r="E130">
        <f t="shared" si="10"/>
        <v>29</v>
      </c>
      <c r="F130">
        <f t="shared" si="11"/>
        <v>1</v>
      </c>
      <c r="G130">
        <f t="shared" si="14"/>
        <v>4</v>
      </c>
      <c r="H130">
        <f t="shared" si="12"/>
        <v>4</v>
      </c>
      <c r="I130" s="9" t="str">
        <f t="shared" si="13"/>
        <v>144</v>
      </c>
      <c r="Q130" s="1">
        <v>0.68896526061173968</v>
      </c>
      <c r="R130" s="1">
        <v>0.51927511739629861</v>
      </c>
    </row>
    <row r="131" spans="1:18" x14ac:dyDescent="0.35">
      <c r="A131" t="s">
        <v>133</v>
      </c>
      <c r="B131" s="2">
        <v>45544</v>
      </c>
      <c r="C131" s="3">
        <f t="shared" ref="C131:C194" si="15">$S$6-B131</f>
        <v>294</v>
      </c>
      <c r="D131">
        <f t="shared" ref="D131:D194" si="16">ROUND((R131*0.7+Q131*0.3)*(1500-40)+40,0)</f>
        <v>1054</v>
      </c>
      <c r="E131">
        <f t="shared" ref="E131:E194" si="17">ROUND((R131*0.7+Q131*0.3)*(50-1)+1,0)</f>
        <v>35</v>
      </c>
      <c r="F131">
        <f t="shared" ref="F131:F194" si="18">IF(C131&lt;=$M$4,5,IF(C131&lt;=$M$9,4,IF(C131&lt;=$M$5,3,IF(C131&lt;=$M$6,2,1))))</f>
        <v>2</v>
      </c>
      <c r="G131">
        <f t="shared" si="14"/>
        <v>4</v>
      </c>
      <c r="H131">
        <f t="shared" ref="H131:H194" si="19">IF(D131&lt;=$M$24,1,IF(D131&lt;=$M$25,2,IF(D131&lt;=$M$29,3,IF(D131&lt;=$M$26,4,5))))</f>
        <v>5</v>
      </c>
      <c r="I131" s="9" t="str">
        <f t="shared" ref="I131:I194" si="20">CONCATENATE(F131,G131,H131)</f>
        <v>245</v>
      </c>
      <c r="Q131" s="1">
        <v>0.89129163680387902</v>
      </c>
      <c r="R131" s="1">
        <v>0.61063893158342009</v>
      </c>
    </row>
    <row r="132" spans="1:18" x14ac:dyDescent="0.35">
      <c r="A132" t="s">
        <v>134</v>
      </c>
      <c r="B132" s="2">
        <v>45740</v>
      </c>
      <c r="C132" s="3">
        <f t="shared" si="15"/>
        <v>98</v>
      </c>
      <c r="D132">
        <f t="shared" si="16"/>
        <v>781</v>
      </c>
      <c r="E132">
        <f t="shared" si="17"/>
        <v>26</v>
      </c>
      <c r="F132">
        <f t="shared" si="18"/>
        <v>5</v>
      </c>
      <c r="G132">
        <f t="shared" ref="G132:G195" si="21">IF(E132&lt;=$M$14,1,IF(E132&lt;=$M$15,2,IF(E132&lt;=$M$19,3,IF(E132&lt;=$M$16,4,5))))</f>
        <v>2</v>
      </c>
      <c r="H132">
        <f t="shared" si="19"/>
        <v>4</v>
      </c>
      <c r="I132" s="9" t="str">
        <f t="shared" si="20"/>
        <v>524</v>
      </c>
      <c r="Q132" s="1">
        <v>0.55600400856780485</v>
      </c>
      <c r="R132" s="1">
        <v>0.48714318721659655</v>
      </c>
    </row>
    <row r="133" spans="1:18" x14ac:dyDescent="0.35">
      <c r="A133" t="s">
        <v>135</v>
      </c>
      <c r="B133" s="2">
        <v>45731</v>
      </c>
      <c r="C133" s="3">
        <f t="shared" si="15"/>
        <v>107</v>
      </c>
      <c r="D133">
        <f t="shared" si="16"/>
        <v>999</v>
      </c>
      <c r="E133">
        <f t="shared" si="17"/>
        <v>33</v>
      </c>
      <c r="F133">
        <f t="shared" si="18"/>
        <v>5</v>
      </c>
      <c r="G133">
        <f t="shared" si="21"/>
        <v>4</v>
      </c>
      <c r="H133">
        <f t="shared" si="19"/>
        <v>4</v>
      </c>
      <c r="I133" s="9" t="str">
        <f t="shared" si="20"/>
        <v>544</v>
      </c>
      <c r="Q133" s="1">
        <v>0.32020471536208561</v>
      </c>
      <c r="R133" s="1">
        <v>0.8008156009729086</v>
      </c>
    </row>
    <row r="134" spans="1:18" x14ac:dyDescent="0.35">
      <c r="A134" t="s">
        <v>136</v>
      </c>
      <c r="B134" s="2">
        <v>45593</v>
      </c>
      <c r="C134" s="3">
        <f t="shared" si="15"/>
        <v>245</v>
      </c>
      <c r="D134">
        <f t="shared" si="16"/>
        <v>400</v>
      </c>
      <c r="E134">
        <f t="shared" si="17"/>
        <v>13</v>
      </c>
      <c r="F134">
        <f t="shared" si="18"/>
        <v>4</v>
      </c>
      <c r="G134">
        <f t="shared" si="21"/>
        <v>1</v>
      </c>
      <c r="H134">
        <f t="shared" si="19"/>
        <v>1</v>
      </c>
      <c r="I134" s="9" t="str">
        <f t="shared" si="20"/>
        <v>411</v>
      </c>
      <c r="Q134" s="1">
        <v>5.9152284252482201E-2</v>
      </c>
      <c r="R134" s="1">
        <v>0.32717847386137933</v>
      </c>
    </row>
    <row r="135" spans="1:18" x14ac:dyDescent="0.35">
      <c r="A135" t="s">
        <v>137</v>
      </c>
      <c r="B135" s="2">
        <v>45718</v>
      </c>
      <c r="C135" s="3">
        <f t="shared" si="15"/>
        <v>120</v>
      </c>
      <c r="D135">
        <f t="shared" si="16"/>
        <v>498</v>
      </c>
      <c r="E135">
        <f t="shared" si="17"/>
        <v>16</v>
      </c>
      <c r="F135">
        <f t="shared" si="18"/>
        <v>5</v>
      </c>
      <c r="G135">
        <f t="shared" si="21"/>
        <v>1</v>
      </c>
      <c r="H135">
        <f t="shared" si="19"/>
        <v>1</v>
      </c>
      <c r="I135" s="9" t="str">
        <f t="shared" si="20"/>
        <v>511</v>
      </c>
      <c r="Q135" s="1">
        <v>0.40466381424970232</v>
      </c>
      <c r="R135" s="1">
        <v>0.27466134607588599</v>
      </c>
    </row>
    <row r="136" spans="1:18" x14ac:dyDescent="0.35">
      <c r="A136" t="s">
        <v>138</v>
      </c>
      <c r="B136" s="2">
        <v>45759</v>
      </c>
      <c r="C136" s="3">
        <f t="shared" si="15"/>
        <v>79</v>
      </c>
      <c r="D136">
        <f t="shared" si="16"/>
        <v>1142</v>
      </c>
      <c r="E136">
        <f t="shared" si="17"/>
        <v>38</v>
      </c>
      <c r="F136">
        <f t="shared" si="18"/>
        <v>5</v>
      </c>
      <c r="G136">
        <f t="shared" si="21"/>
        <v>5</v>
      </c>
      <c r="H136">
        <f t="shared" si="19"/>
        <v>5</v>
      </c>
      <c r="I136" s="9" t="str">
        <f t="shared" si="20"/>
        <v>555</v>
      </c>
      <c r="Q136" s="1">
        <v>0.31500260602159247</v>
      </c>
      <c r="R136" s="1">
        <v>0.94312319768117714</v>
      </c>
    </row>
    <row r="137" spans="1:18" x14ac:dyDescent="0.35">
      <c r="A137" t="s">
        <v>139</v>
      </c>
      <c r="B137" s="2">
        <v>45768</v>
      </c>
      <c r="C137" s="3">
        <f t="shared" si="15"/>
        <v>70</v>
      </c>
      <c r="D137">
        <f t="shared" si="16"/>
        <v>1205</v>
      </c>
      <c r="E137">
        <f t="shared" si="17"/>
        <v>40</v>
      </c>
      <c r="F137">
        <f t="shared" si="18"/>
        <v>5</v>
      </c>
      <c r="G137">
        <f t="shared" si="21"/>
        <v>5</v>
      </c>
      <c r="H137">
        <f t="shared" si="19"/>
        <v>5</v>
      </c>
      <c r="I137" s="9" t="str">
        <f t="shared" si="20"/>
        <v>555</v>
      </c>
      <c r="Q137" s="1">
        <v>0.98496942677425936</v>
      </c>
      <c r="R137" s="1">
        <v>0.71818194723982975</v>
      </c>
    </row>
    <row r="138" spans="1:18" x14ac:dyDescent="0.35">
      <c r="A138" t="s">
        <v>140</v>
      </c>
      <c r="B138" s="2">
        <v>45408</v>
      </c>
      <c r="C138" s="3">
        <f t="shared" si="15"/>
        <v>430</v>
      </c>
      <c r="D138">
        <f t="shared" si="16"/>
        <v>1293</v>
      </c>
      <c r="E138">
        <f t="shared" si="17"/>
        <v>43</v>
      </c>
      <c r="F138">
        <f t="shared" si="18"/>
        <v>1</v>
      </c>
      <c r="G138">
        <f t="shared" si="21"/>
        <v>5</v>
      </c>
      <c r="H138">
        <f t="shared" si="19"/>
        <v>5</v>
      </c>
      <c r="I138" s="9" t="str">
        <f t="shared" si="20"/>
        <v>155</v>
      </c>
      <c r="Q138" s="1">
        <v>0.83875368765966007</v>
      </c>
      <c r="R138" s="1">
        <v>0.86647732546027034</v>
      </c>
    </row>
    <row r="139" spans="1:18" x14ac:dyDescent="0.35">
      <c r="A139" t="s">
        <v>141</v>
      </c>
      <c r="B139" s="2">
        <v>45440</v>
      </c>
      <c r="C139" s="3">
        <f t="shared" si="15"/>
        <v>398</v>
      </c>
      <c r="D139">
        <f t="shared" si="16"/>
        <v>1210</v>
      </c>
      <c r="E139">
        <f t="shared" si="17"/>
        <v>40</v>
      </c>
      <c r="F139">
        <f t="shared" si="18"/>
        <v>2</v>
      </c>
      <c r="G139">
        <f t="shared" si="21"/>
        <v>5</v>
      </c>
      <c r="H139">
        <f t="shared" si="19"/>
        <v>5</v>
      </c>
      <c r="I139" s="9" t="str">
        <f t="shared" si="20"/>
        <v>255</v>
      </c>
      <c r="Q139" s="1">
        <v>0.38998973295385908</v>
      </c>
      <c r="R139" s="1">
        <v>0.97771226709791259</v>
      </c>
    </row>
    <row r="140" spans="1:18" x14ac:dyDescent="0.35">
      <c r="A140" t="s">
        <v>142</v>
      </c>
      <c r="B140" s="2">
        <v>45603</v>
      </c>
      <c r="C140" s="3">
        <f t="shared" si="15"/>
        <v>235</v>
      </c>
      <c r="D140">
        <f t="shared" si="16"/>
        <v>282</v>
      </c>
      <c r="E140">
        <f t="shared" si="17"/>
        <v>9</v>
      </c>
      <c r="F140">
        <f t="shared" si="18"/>
        <v>4</v>
      </c>
      <c r="G140">
        <f t="shared" si="21"/>
        <v>1</v>
      </c>
      <c r="H140">
        <f t="shared" si="19"/>
        <v>1</v>
      </c>
      <c r="I140" s="9" t="str">
        <f t="shared" si="20"/>
        <v>411</v>
      </c>
      <c r="Q140" s="1">
        <v>0.22584954094835885</v>
      </c>
      <c r="R140" s="1">
        <v>0.13996270328141647</v>
      </c>
    </row>
    <row r="141" spans="1:18" x14ac:dyDescent="0.35">
      <c r="A141" t="s">
        <v>143</v>
      </c>
      <c r="B141" s="2">
        <v>45507</v>
      </c>
      <c r="C141" s="3">
        <f t="shared" si="15"/>
        <v>331</v>
      </c>
      <c r="D141">
        <f t="shared" si="16"/>
        <v>432</v>
      </c>
      <c r="E141">
        <f t="shared" si="17"/>
        <v>14</v>
      </c>
      <c r="F141">
        <f t="shared" si="18"/>
        <v>2</v>
      </c>
      <c r="G141">
        <f t="shared" si="21"/>
        <v>1</v>
      </c>
      <c r="H141">
        <f t="shared" si="19"/>
        <v>1</v>
      </c>
      <c r="I141" s="9" t="str">
        <f t="shared" si="20"/>
        <v>211</v>
      </c>
      <c r="Q141" s="1">
        <v>0.66762047225179333</v>
      </c>
      <c r="R141" s="1">
        <v>9.7116258331919947E-2</v>
      </c>
    </row>
    <row r="142" spans="1:18" x14ac:dyDescent="0.35">
      <c r="A142" t="s">
        <v>144</v>
      </c>
      <c r="B142" s="2">
        <v>45692</v>
      </c>
      <c r="C142" s="3">
        <f t="shared" si="15"/>
        <v>146</v>
      </c>
      <c r="D142">
        <f t="shared" si="16"/>
        <v>330</v>
      </c>
      <c r="E142">
        <f t="shared" si="17"/>
        <v>11</v>
      </c>
      <c r="F142">
        <f t="shared" si="18"/>
        <v>4</v>
      </c>
      <c r="G142">
        <f t="shared" si="21"/>
        <v>1</v>
      </c>
      <c r="H142">
        <f t="shared" si="19"/>
        <v>1</v>
      </c>
      <c r="I142" s="9" t="str">
        <f t="shared" si="20"/>
        <v>411</v>
      </c>
      <c r="Q142" s="1">
        <v>0.22160593584544275</v>
      </c>
      <c r="R142" s="1">
        <v>0.18854431982520303</v>
      </c>
    </row>
    <row r="143" spans="1:18" x14ac:dyDescent="0.35">
      <c r="A143" t="s">
        <v>145</v>
      </c>
      <c r="B143" s="2">
        <v>45394</v>
      </c>
      <c r="C143" s="3">
        <f t="shared" si="15"/>
        <v>444</v>
      </c>
      <c r="D143">
        <f t="shared" si="16"/>
        <v>1362</v>
      </c>
      <c r="E143">
        <f t="shared" si="17"/>
        <v>45</v>
      </c>
      <c r="F143">
        <f t="shared" si="18"/>
        <v>1</v>
      </c>
      <c r="G143">
        <f t="shared" si="21"/>
        <v>5</v>
      </c>
      <c r="H143">
        <f t="shared" si="19"/>
        <v>5</v>
      </c>
      <c r="I143" s="9" t="str">
        <f t="shared" si="20"/>
        <v>155</v>
      </c>
      <c r="Q143" s="1">
        <v>0.70346360506880967</v>
      </c>
      <c r="R143" s="1">
        <v>0.99205876039216734</v>
      </c>
    </row>
    <row r="144" spans="1:18" x14ac:dyDescent="0.35">
      <c r="A144" t="s">
        <v>146</v>
      </c>
      <c r="B144" s="2">
        <v>45799</v>
      </c>
      <c r="C144" s="3">
        <f t="shared" si="15"/>
        <v>39</v>
      </c>
      <c r="D144">
        <f t="shared" si="16"/>
        <v>430</v>
      </c>
      <c r="E144">
        <f t="shared" si="17"/>
        <v>14</v>
      </c>
      <c r="F144">
        <f t="shared" si="18"/>
        <v>5</v>
      </c>
      <c r="G144">
        <f t="shared" si="21"/>
        <v>1</v>
      </c>
      <c r="H144">
        <f t="shared" si="19"/>
        <v>1</v>
      </c>
      <c r="I144" s="9" t="str">
        <f t="shared" si="20"/>
        <v>511</v>
      </c>
      <c r="Q144" s="1">
        <v>0.55735457033009717</v>
      </c>
      <c r="R144" s="1">
        <v>0.14277872138300529</v>
      </c>
    </row>
    <row r="145" spans="1:18" x14ac:dyDescent="0.35">
      <c r="A145" t="s">
        <v>147</v>
      </c>
      <c r="B145" s="2">
        <v>45653</v>
      </c>
      <c r="C145" s="3">
        <f t="shared" si="15"/>
        <v>185</v>
      </c>
      <c r="D145">
        <f t="shared" si="16"/>
        <v>1100</v>
      </c>
      <c r="E145">
        <f t="shared" si="17"/>
        <v>37</v>
      </c>
      <c r="F145">
        <f t="shared" si="18"/>
        <v>4</v>
      </c>
      <c r="G145">
        <f t="shared" si="21"/>
        <v>5</v>
      </c>
      <c r="H145">
        <f t="shared" si="19"/>
        <v>5</v>
      </c>
      <c r="I145" s="9" t="str">
        <f t="shared" si="20"/>
        <v>455</v>
      </c>
      <c r="Q145" s="1">
        <v>0.50822096350405344</v>
      </c>
      <c r="R145" s="1">
        <v>0.81906765457781772</v>
      </c>
    </row>
    <row r="146" spans="1:18" x14ac:dyDescent="0.35">
      <c r="A146" t="s">
        <v>148</v>
      </c>
      <c r="B146" s="2">
        <v>45430</v>
      </c>
      <c r="C146" s="3">
        <f t="shared" si="15"/>
        <v>408</v>
      </c>
      <c r="D146">
        <f t="shared" si="16"/>
        <v>589</v>
      </c>
      <c r="E146">
        <f t="shared" si="17"/>
        <v>19</v>
      </c>
      <c r="F146">
        <f t="shared" si="18"/>
        <v>2</v>
      </c>
      <c r="G146">
        <f t="shared" si="21"/>
        <v>2</v>
      </c>
      <c r="H146">
        <f t="shared" si="19"/>
        <v>2</v>
      </c>
      <c r="I146" s="9" t="str">
        <f t="shared" si="20"/>
        <v>222</v>
      </c>
      <c r="Q146" s="1">
        <v>0.49346258350687444</v>
      </c>
      <c r="R146" s="1">
        <v>0.32609800466481376</v>
      </c>
    </row>
    <row r="147" spans="1:18" x14ac:dyDescent="0.35">
      <c r="A147" t="s">
        <v>149</v>
      </c>
      <c r="B147" s="2">
        <v>45687</v>
      </c>
      <c r="C147" s="3">
        <f t="shared" si="15"/>
        <v>151</v>
      </c>
      <c r="D147">
        <f t="shared" si="16"/>
        <v>311</v>
      </c>
      <c r="E147">
        <f t="shared" si="17"/>
        <v>10</v>
      </c>
      <c r="F147">
        <f t="shared" si="18"/>
        <v>4</v>
      </c>
      <c r="G147">
        <f t="shared" si="21"/>
        <v>1</v>
      </c>
      <c r="H147">
        <f t="shared" si="19"/>
        <v>1</v>
      </c>
      <c r="I147" s="9" t="str">
        <f t="shared" si="20"/>
        <v>411</v>
      </c>
      <c r="Q147" s="1">
        <v>0.17113153827284777</v>
      </c>
      <c r="R147" s="1">
        <v>0.19171800842563669</v>
      </c>
    </row>
    <row r="148" spans="1:18" x14ac:dyDescent="0.35">
      <c r="A148" t="s">
        <v>150</v>
      </c>
      <c r="B148" s="2">
        <v>45545</v>
      </c>
      <c r="C148" s="3">
        <f t="shared" si="15"/>
        <v>293</v>
      </c>
      <c r="D148">
        <f t="shared" si="16"/>
        <v>398</v>
      </c>
      <c r="E148">
        <f t="shared" si="17"/>
        <v>13</v>
      </c>
      <c r="F148">
        <f t="shared" si="18"/>
        <v>2</v>
      </c>
      <c r="G148">
        <f t="shared" si="21"/>
        <v>1</v>
      </c>
      <c r="H148">
        <f t="shared" si="19"/>
        <v>1</v>
      </c>
      <c r="I148" s="9" t="str">
        <f t="shared" si="20"/>
        <v>211</v>
      </c>
      <c r="Q148" s="1">
        <v>0.25940156111413137</v>
      </c>
      <c r="R148" s="1">
        <v>0.23871440011532885</v>
      </c>
    </row>
    <row r="149" spans="1:18" x14ac:dyDescent="0.35">
      <c r="A149" t="s">
        <v>151</v>
      </c>
      <c r="B149" s="2">
        <v>45576</v>
      </c>
      <c r="C149" s="3">
        <f t="shared" si="15"/>
        <v>262</v>
      </c>
      <c r="D149">
        <f t="shared" si="16"/>
        <v>608</v>
      </c>
      <c r="E149">
        <f t="shared" si="17"/>
        <v>20</v>
      </c>
      <c r="F149">
        <f t="shared" si="18"/>
        <v>4</v>
      </c>
      <c r="G149">
        <f t="shared" si="21"/>
        <v>2</v>
      </c>
      <c r="H149">
        <f t="shared" si="19"/>
        <v>2</v>
      </c>
      <c r="I149" s="9" t="str">
        <f t="shared" si="20"/>
        <v>422</v>
      </c>
      <c r="Q149" s="1">
        <v>0.77278805817808693</v>
      </c>
      <c r="R149" s="1">
        <v>0.22478820513012476</v>
      </c>
    </row>
    <row r="150" spans="1:18" x14ac:dyDescent="0.35">
      <c r="A150" t="s">
        <v>152</v>
      </c>
      <c r="B150" s="2">
        <v>45444</v>
      </c>
      <c r="C150" s="3">
        <f t="shared" si="15"/>
        <v>394</v>
      </c>
      <c r="D150">
        <f t="shared" si="16"/>
        <v>899</v>
      </c>
      <c r="E150">
        <f t="shared" si="17"/>
        <v>30</v>
      </c>
      <c r="F150">
        <f t="shared" si="18"/>
        <v>2</v>
      </c>
      <c r="G150">
        <f t="shared" si="21"/>
        <v>4</v>
      </c>
      <c r="H150">
        <f t="shared" si="19"/>
        <v>4</v>
      </c>
      <c r="I150" s="9" t="str">
        <f t="shared" si="20"/>
        <v>244</v>
      </c>
      <c r="Q150" s="1">
        <v>4.6588264864856344E-2</v>
      </c>
      <c r="R150" s="1">
        <v>0.82082104005314094</v>
      </c>
    </row>
    <row r="151" spans="1:18" x14ac:dyDescent="0.35">
      <c r="A151" t="s">
        <v>153</v>
      </c>
      <c r="B151" s="2">
        <v>45292</v>
      </c>
      <c r="C151" s="3">
        <f t="shared" si="15"/>
        <v>546</v>
      </c>
      <c r="D151">
        <f t="shared" si="16"/>
        <v>585</v>
      </c>
      <c r="E151">
        <f t="shared" si="17"/>
        <v>19</v>
      </c>
      <c r="F151">
        <f t="shared" si="18"/>
        <v>1</v>
      </c>
      <c r="G151">
        <f t="shared" si="21"/>
        <v>2</v>
      </c>
      <c r="H151">
        <f t="shared" si="19"/>
        <v>2</v>
      </c>
      <c r="I151" s="9" t="str">
        <f t="shared" si="20"/>
        <v>122</v>
      </c>
      <c r="Q151" s="1">
        <v>0.41021494016489479</v>
      </c>
      <c r="R151" s="1">
        <v>0.35754856580391647</v>
      </c>
    </row>
    <row r="152" spans="1:18" x14ac:dyDescent="0.35">
      <c r="A152" t="s">
        <v>154</v>
      </c>
      <c r="B152" s="2">
        <v>45401</v>
      </c>
      <c r="C152" s="3">
        <f t="shared" si="15"/>
        <v>437</v>
      </c>
      <c r="D152">
        <f t="shared" si="16"/>
        <v>1095</v>
      </c>
      <c r="E152">
        <f t="shared" si="17"/>
        <v>36</v>
      </c>
      <c r="F152">
        <f t="shared" si="18"/>
        <v>1</v>
      </c>
      <c r="G152">
        <f t="shared" si="21"/>
        <v>5</v>
      </c>
      <c r="H152">
        <f t="shared" si="19"/>
        <v>5</v>
      </c>
      <c r="I152" s="9" t="str">
        <f t="shared" si="20"/>
        <v>155</v>
      </c>
      <c r="Q152" s="1">
        <v>0.49091518306377513</v>
      </c>
      <c r="R152" s="1">
        <v>0.82190122772853869</v>
      </c>
    </row>
    <row r="153" spans="1:18" x14ac:dyDescent="0.35">
      <c r="A153" t="s">
        <v>155</v>
      </c>
      <c r="B153" s="2">
        <v>45528</v>
      </c>
      <c r="C153" s="3">
        <f t="shared" si="15"/>
        <v>310</v>
      </c>
      <c r="D153">
        <f t="shared" si="16"/>
        <v>639</v>
      </c>
      <c r="E153">
        <f t="shared" si="17"/>
        <v>21</v>
      </c>
      <c r="F153">
        <f t="shared" si="18"/>
        <v>2</v>
      </c>
      <c r="G153">
        <f t="shared" si="21"/>
        <v>2</v>
      </c>
      <c r="H153">
        <f t="shared" si="19"/>
        <v>2</v>
      </c>
      <c r="I153" s="9" t="str">
        <f t="shared" si="20"/>
        <v>222</v>
      </c>
      <c r="Q153" s="1">
        <v>0.17688911003459951</v>
      </c>
      <c r="R153" s="1">
        <v>0.51017843329174473</v>
      </c>
    </row>
    <row r="154" spans="1:18" x14ac:dyDescent="0.35">
      <c r="A154" t="s">
        <v>156</v>
      </c>
      <c r="B154" s="2">
        <v>45485</v>
      </c>
      <c r="C154" s="3">
        <f t="shared" si="15"/>
        <v>353</v>
      </c>
      <c r="D154">
        <f t="shared" si="16"/>
        <v>202</v>
      </c>
      <c r="E154">
        <f t="shared" si="17"/>
        <v>6</v>
      </c>
      <c r="F154">
        <f t="shared" si="18"/>
        <v>2</v>
      </c>
      <c r="G154">
        <f t="shared" si="21"/>
        <v>1</v>
      </c>
      <c r="H154">
        <f t="shared" si="19"/>
        <v>1</v>
      </c>
      <c r="I154" s="9" t="str">
        <f t="shared" si="20"/>
        <v>211</v>
      </c>
      <c r="Q154" s="1">
        <v>0.14613776808465728</v>
      </c>
      <c r="R154" s="1">
        <v>9.6093621088631842E-2</v>
      </c>
    </row>
    <row r="155" spans="1:18" x14ac:dyDescent="0.35">
      <c r="A155" t="s">
        <v>157</v>
      </c>
      <c r="B155" s="2">
        <v>45509</v>
      </c>
      <c r="C155" s="3">
        <f t="shared" si="15"/>
        <v>329</v>
      </c>
      <c r="D155">
        <f t="shared" si="16"/>
        <v>179</v>
      </c>
      <c r="E155">
        <f t="shared" si="17"/>
        <v>6</v>
      </c>
      <c r="F155">
        <f t="shared" si="18"/>
        <v>2</v>
      </c>
      <c r="G155">
        <f t="shared" si="21"/>
        <v>1</v>
      </c>
      <c r="H155">
        <f t="shared" si="19"/>
        <v>1</v>
      </c>
      <c r="I155" s="9" t="str">
        <f t="shared" si="20"/>
        <v>211</v>
      </c>
      <c r="Q155" s="1">
        <v>0.30456310721878432</v>
      </c>
      <c r="R155" s="1">
        <v>5.5642794710347721E-3</v>
      </c>
    </row>
    <row r="156" spans="1:18" x14ac:dyDescent="0.35">
      <c r="A156" t="s">
        <v>158</v>
      </c>
      <c r="B156" s="2">
        <v>45428</v>
      </c>
      <c r="C156" s="3">
        <f t="shared" si="15"/>
        <v>410</v>
      </c>
      <c r="D156">
        <f t="shared" si="16"/>
        <v>1291</v>
      </c>
      <c r="E156">
        <f t="shared" si="17"/>
        <v>43</v>
      </c>
      <c r="F156">
        <f t="shared" si="18"/>
        <v>1</v>
      </c>
      <c r="G156">
        <f t="shared" si="21"/>
        <v>5</v>
      </c>
      <c r="H156">
        <f t="shared" si="19"/>
        <v>5</v>
      </c>
      <c r="I156" s="9" t="str">
        <f t="shared" si="20"/>
        <v>155</v>
      </c>
      <c r="Q156" s="1">
        <v>0.81541091561494705</v>
      </c>
      <c r="R156" s="1">
        <v>0.87429559867174722</v>
      </c>
    </row>
    <row r="157" spans="1:18" x14ac:dyDescent="0.35">
      <c r="A157" t="s">
        <v>159</v>
      </c>
      <c r="B157" s="2">
        <v>45510</v>
      </c>
      <c r="C157" s="3">
        <f t="shared" si="15"/>
        <v>328</v>
      </c>
      <c r="D157">
        <f t="shared" si="16"/>
        <v>427</v>
      </c>
      <c r="E157">
        <f t="shared" si="17"/>
        <v>14</v>
      </c>
      <c r="F157">
        <f t="shared" si="18"/>
        <v>2</v>
      </c>
      <c r="G157">
        <f t="shared" si="21"/>
        <v>1</v>
      </c>
      <c r="H157">
        <f t="shared" si="19"/>
        <v>1</v>
      </c>
      <c r="I157" s="9" t="str">
        <f t="shared" si="20"/>
        <v>211</v>
      </c>
      <c r="Q157" s="1">
        <v>0.63521817656941504</v>
      </c>
      <c r="R157" s="1">
        <v>0.10685886582563053</v>
      </c>
    </row>
    <row r="158" spans="1:18" x14ac:dyDescent="0.35">
      <c r="A158" t="s">
        <v>160</v>
      </c>
      <c r="B158" s="2">
        <v>45353</v>
      </c>
      <c r="C158" s="3">
        <f t="shared" si="15"/>
        <v>485</v>
      </c>
      <c r="D158">
        <f t="shared" si="16"/>
        <v>1323</v>
      </c>
      <c r="E158">
        <f t="shared" si="17"/>
        <v>44</v>
      </c>
      <c r="F158">
        <f t="shared" si="18"/>
        <v>1</v>
      </c>
      <c r="G158">
        <f t="shared" si="21"/>
        <v>5</v>
      </c>
      <c r="H158">
        <f t="shared" si="19"/>
        <v>5</v>
      </c>
      <c r="I158" s="9" t="str">
        <f t="shared" si="20"/>
        <v>155</v>
      </c>
      <c r="Q158" s="1">
        <v>0.99539714801934676</v>
      </c>
      <c r="R158" s="1">
        <v>0.82870868633159311</v>
      </c>
    </row>
    <row r="159" spans="1:18" x14ac:dyDescent="0.35">
      <c r="A159" t="s">
        <v>161</v>
      </c>
      <c r="B159" s="2">
        <v>45312</v>
      </c>
      <c r="C159" s="3">
        <f t="shared" si="15"/>
        <v>526</v>
      </c>
      <c r="D159">
        <f t="shared" si="16"/>
        <v>923</v>
      </c>
      <c r="E159">
        <f t="shared" si="17"/>
        <v>31</v>
      </c>
      <c r="F159">
        <f t="shared" si="18"/>
        <v>1</v>
      </c>
      <c r="G159">
        <f t="shared" si="21"/>
        <v>4</v>
      </c>
      <c r="H159">
        <f t="shared" si="19"/>
        <v>4</v>
      </c>
      <c r="I159" s="9" t="str">
        <f t="shared" si="20"/>
        <v>144</v>
      </c>
      <c r="Q159" s="1">
        <v>0.2358161835959961</v>
      </c>
      <c r="R159" s="1">
        <v>0.76285729533526569</v>
      </c>
    </row>
    <row r="160" spans="1:18" x14ac:dyDescent="0.35">
      <c r="A160" t="s">
        <v>162</v>
      </c>
      <c r="B160" s="2">
        <v>45479</v>
      </c>
      <c r="C160" s="3">
        <f t="shared" si="15"/>
        <v>359</v>
      </c>
      <c r="D160">
        <f t="shared" si="16"/>
        <v>83</v>
      </c>
      <c r="E160">
        <f t="shared" si="17"/>
        <v>2</v>
      </c>
      <c r="F160">
        <f t="shared" si="18"/>
        <v>2</v>
      </c>
      <c r="G160">
        <f t="shared" si="21"/>
        <v>1</v>
      </c>
      <c r="H160">
        <f t="shared" si="19"/>
        <v>1</v>
      </c>
      <c r="I160" s="9" t="str">
        <f t="shared" si="20"/>
        <v>211</v>
      </c>
      <c r="Q160" s="1">
        <v>7.3040731455758512E-2</v>
      </c>
      <c r="R160" s="1">
        <v>1.1114229439162959E-2</v>
      </c>
    </row>
    <row r="161" spans="1:18" x14ac:dyDescent="0.35">
      <c r="A161" t="s">
        <v>163</v>
      </c>
      <c r="B161" s="2">
        <v>45607</v>
      </c>
      <c r="C161" s="3">
        <f t="shared" si="15"/>
        <v>231</v>
      </c>
      <c r="D161">
        <f t="shared" si="16"/>
        <v>1013</v>
      </c>
      <c r="E161">
        <f t="shared" si="17"/>
        <v>34</v>
      </c>
      <c r="F161">
        <f t="shared" si="18"/>
        <v>4</v>
      </c>
      <c r="G161">
        <f t="shared" si="21"/>
        <v>4</v>
      </c>
      <c r="H161">
        <f t="shared" si="19"/>
        <v>4</v>
      </c>
      <c r="I161" s="9" t="str">
        <f t="shared" si="20"/>
        <v>444</v>
      </c>
      <c r="Q161" s="1">
        <v>0.89364394981565543</v>
      </c>
      <c r="R161" s="1">
        <v>0.56870064175795465</v>
      </c>
    </row>
    <row r="162" spans="1:18" x14ac:dyDescent="0.35">
      <c r="A162" t="s">
        <v>164</v>
      </c>
      <c r="B162" s="2">
        <v>45549</v>
      </c>
      <c r="C162" s="3">
        <f t="shared" si="15"/>
        <v>289</v>
      </c>
      <c r="D162">
        <f t="shared" si="16"/>
        <v>1246</v>
      </c>
      <c r="E162">
        <f t="shared" si="17"/>
        <v>41</v>
      </c>
      <c r="F162">
        <f t="shared" si="18"/>
        <v>2</v>
      </c>
      <c r="G162">
        <f t="shared" si="21"/>
        <v>5</v>
      </c>
      <c r="H162">
        <f t="shared" si="19"/>
        <v>5</v>
      </c>
      <c r="I162" s="9" t="str">
        <f t="shared" si="20"/>
        <v>255</v>
      </c>
      <c r="Q162" s="1">
        <v>0.91530622399331241</v>
      </c>
      <c r="R162" s="1">
        <v>0.78820898803875339</v>
      </c>
    </row>
    <row r="163" spans="1:18" x14ac:dyDescent="0.35">
      <c r="A163" t="s">
        <v>165</v>
      </c>
      <c r="B163" s="2">
        <v>45343</v>
      </c>
      <c r="C163" s="3">
        <f t="shared" si="15"/>
        <v>495</v>
      </c>
      <c r="D163">
        <f t="shared" si="16"/>
        <v>770</v>
      </c>
      <c r="E163">
        <f t="shared" si="17"/>
        <v>26</v>
      </c>
      <c r="F163">
        <f t="shared" si="18"/>
        <v>1</v>
      </c>
      <c r="G163">
        <f t="shared" si="21"/>
        <v>2</v>
      </c>
      <c r="H163">
        <f t="shared" si="19"/>
        <v>2</v>
      </c>
      <c r="I163" s="9" t="str">
        <f t="shared" si="20"/>
        <v>122</v>
      </c>
      <c r="Q163" s="1">
        <v>0.73928620203941864</v>
      </c>
      <c r="R163" s="1">
        <v>0.39756499722225647</v>
      </c>
    </row>
    <row r="164" spans="1:18" x14ac:dyDescent="0.35">
      <c r="A164" t="s">
        <v>166</v>
      </c>
      <c r="B164" s="2">
        <v>45443</v>
      </c>
      <c r="C164" s="3">
        <f t="shared" si="15"/>
        <v>395</v>
      </c>
      <c r="D164">
        <f t="shared" si="16"/>
        <v>290</v>
      </c>
      <c r="E164">
        <f t="shared" si="17"/>
        <v>9</v>
      </c>
      <c r="F164">
        <f t="shared" si="18"/>
        <v>2</v>
      </c>
      <c r="G164">
        <f t="shared" si="21"/>
        <v>1</v>
      </c>
      <c r="H164">
        <f t="shared" si="19"/>
        <v>1</v>
      </c>
      <c r="I164" s="9" t="str">
        <f t="shared" si="20"/>
        <v>211</v>
      </c>
      <c r="Q164" s="1">
        <v>2.4733606137174458E-2</v>
      </c>
      <c r="R164" s="1">
        <v>0.23404996422754021</v>
      </c>
    </row>
    <row r="165" spans="1:18" x14ac:dyDescent="0.35">
      <c r="A165" t="s">
        <v>167</v>
      </c>
      <c r="B165" s="2">
        <v>45739</v>
      </c>
      <c r="C165" s="3">
        <f t="shared" si="15"/>
        <v>99</v>
      </c>
      <c r="D165">
        <f t="shared" si="16"/>
        <v>934</v>
      </c>
      <c r="E165">
        <f t="shared" si="17"/>
        <v>31</v>
      </c>
      <c r="F165">
        <f t="shared" si="18"/>
        <v>5</v>
      </c>
      <c r="G165">
        <f t="shared" si="21"/>
        <v>4</v>
      </c>
      <c r="H165">
        <f t="shared" si="19"/>
        <v>4</v>
      </c>
      <c r="I165" s="9" t="str">
        <f t="shared" si="20"/>
        <v>544</v>
      </c>
      <c r="Q165" s="1">
        <v>0.7250411400567498</v>
      </c>
      <c r="R165" s="1">
        <v>0.56424455203618629</v>
      </c>
    </row>
    <row r="166" spans="1:18" x14ac:dyDescent="0.35">
      <c r="A166" t="s">
        <v>168</v>
      </c>
      <c r="B166" s="2">
        <v>45356</v>
      </c>
      <c r="C166" s="3">
        <f t="shared" si="15"/>
        <v>482</v>
      </c>
      <c r="D166">
        <f t="shared" si="16"/>
        <v>819</v>
      </c>
      <c r="E166">
        <f t="shared" si="17"/>
        <v>27</v>
      </c>
      <c r="F166">
        <f t="shared" si="18"/>
        <v>1</v>
      </c>
      <c r="G166">
        <f t="shared" si="21"/>
        <v>4</v>
      </c>
      <c r="H166">
        <f t="shared" si="19"/>
        <v>4</v>
      </c>
      <c r="I166" s="9" t="str">
        <f t="shared" si="20"/>
        <v>144</v>
      </c>
      <c r="Q166" s="1">
        <v>0.67166214936374879</v>
      </c>
      <c r="R166" s="1">
        <v>0.47444676919315609</v>
      </c>
    </row>
    <row r="167" spans="1:18" x14ac:dyDescent="0.35">
      <c r="A167" t="s">
        <v>169</v>
      </c>
      <c r="B167" s="2">
        <v>45343</v>
      </c>
      <c r="C167" s="3">
        <f t="shared" si="15"/>
        <v>495</v>
      </c>
      <c r="D167">
        <f t="shared" si="16"/>
        <v>851</v>
      </c>
      <c r="E167">
        <f t="shared" si="17"/>
        <v>28</v>
      </c>
      <c r="F167">
        <f t="shared" si="18"/>
        <v>1</v>
      </c>
      <c r="G167">
        <f t="shared" si="21"/>
        <v>4</v>
      </c>
      <c r="H167">
        <f t="shared" si="19"/>
        <v>4</v>
      </c>
      <c r="I167" s="9" t="str">
        <f t="shared" si="20"/>
        <v>144</v>
      </c>
      <c r="Q167" s="1">
        <v>0.78651289256368995</v>
      </c>
      <c r="R167" s="1">
        <v>0.45670925714791244</v>
      </c>
    </row>
    <row r="168" spans="1:18" x14ac:dyDescent="0.35">
      <c r="A168" t="s">
        <v>170</v>
      </c>
      <c r="B168" s="2">
        <v>45512</v>
      </c>
      <c r="C168" s="3">
        <f t="shared" si="15"/>
        <v>326</v>
      </c>
      <c r="D168">
        <f t="shared" si="16"/>
        <v>530</v>
      </c>
      <c r="E168">
        <f t="shared" si="17"/>
        <v>17</v>
      </c>
      <c r="F168">
        <f t="shared" si="18"/>
        <v>2</v>
      </c>
      <c r="G168">
        <f t="shared" si="21"/>
        <v>2</v>
      </c>
      <c r="H168">
        <f t="shared" si="19"/>
        <v>2</v>
      </c>
      <c r="I168" s="9" t="str">
        <f t="shared" si="20"/>
        <v>222</v>
      </c>
      <c r="Q168" s="1">
        <v>0.61725196467831622</v>
      </c>
      <c r="R168" s="1">
        <v>0.21470023317052811</v>
      </c>
    </row>
    <row r="169" spans="1:18" x14ac:dyDescent="0.35">
      <c r="A169" t="s">
        <v>171</v>
      </c>
      <c r="B169" s="2">
        <v>45550</v>
      </c>
      <c r="C169" s="3">
        <f t="shared" si="15"/>
        <v>288</v>
      </c>
      <c r="D169">
        <f t="shared" si="16"/>
        <v>1103</v>
      </c>
      <c r="E169">
        <f t="shared" si="17"/>
        <v>37</v>
      </c>
      <c r="F169">
        <f t="shared" si="18"/>
        <v>2</v>
      </c>
      <c r="G169">
        <f t="shared" si="21"/>
        <v>5</v>
      </c>
      <c r="H169">
        <f t="shared" si="19"/>
        <v>5</v>
      </c>
      <c r="I169" s="9" t="str">
        <f t="shared" si="20"/>
        <v>255</v>
      </c>
      <c r="Q169" s="1">
        <v>0.13736838258131689</v>
      </c>
      <c r="R169" s="1">
        <v>0.98147016753613159</v>
      </c>
    </row>
    <row r="170" spans="1:18" x14ac:dyDescent="0.35">
      <c r="A170" t="s">
        <v>172</v>
      </c>
      <c r="B170" s="2">
        <v>45452</v>
      </c>
      <c r="C170" s="3">
        <f t="shared" si="15"/>
        <v>386</v>
      </c>
      <c r="D170">
        <f t="shared" si="16"/>
        <v>710</v>
      </c>
      <c r="E170">
        <f t="shared" si="17"/>
        <v>23</v>
      </c>
      <c r="F170">
        <f t="shared" si="18"/>
        <v>2</v>
      </c>
      <c r="G170">
        <f t="shared" si="21"/>
        <v>2</v>
      </c>
      <c r="H170">
        <f t="shared" si="19"/>
        <v>2</v>
      </c>
      <c r="I170" s="9" t="str">
        <f t="shared" si="20"/>
        <v>222</v>
      </c>
      <c r="Q170" s="1">
        <v>0.13846509275021324</v>
      </c>
      <c r="R170" s="1">
        <v>0.59616851937799165</v>
      </c>
    </row>
    <row r="171" spans="1:18" x14ac:dyDescent="0.35">
      <c r="A171" t="s">
        <v>173</v>
      </c>
      <c r="B171" s="2">
        <v>45612</v>
      </c>
      <c r="C171" s="3">
        <f t="shared" si="15"/>
        <v>226</v>
      </c>
      <c r="D171">
        <f t="shared" si="16"/>
        <v>679</v>
      </c>
      <c r="E171">
        <f t="shared" si="17"/>
        <v>22</v>
      </c>
      <c r="F171">
        <f t="shared" si="18"/>
        <v>4</v>
      </c>
      <c r="G171">
        <f t="shared" si="21"/>
        <v>2</v>
      </c>
      <c r="H171">
        <f t="shared" si="19"/>
        <v>2</v>
      </c>
      <c r="I171" s="9" t="str">
        <f t="shared" si="20"/>
        <v>422</v>
      </c>
      <c r="Q171" s="1">
        <v>0.23034691718735756</v>
      </c>
      <c r="R171" s="1">
        <v>0.52611282002049753</v>
      </c>
    </row>
    <row r="172" spans="1:18" x14ac:dyDescent="0.35">
      <c r="A172" t="s">
        <v>174</v>
      </c>
      <c r="B172" s="2">
        <v>45497</v>
      </c>
      <c r="C172" s="3">
        <f t="shared" si="15"/>
        <v>341</v>
      </c>
      <c r="D172">
        <f t="shared" si="16"/>
        <v>280</v>
      </c>
      <c r="E172">
        <f t="shared" si="17"/>
        <v>9</v>
      </c>
      <c r="F172">
        <f t="shared" si="18"/>
        <v>2</v>
      </c>
      <c r="G172">
        <f t="shared" si="21"/>
        <v>1</v>
      </c>
      <c r="H172">
        <f t="shared" si="19"/>
        <v>1</v>
      </c>
      <c r="I172" s="9" t="str">
        <f t="shared" si="20"/>
        <v>211</v>
      </c>
      <c r="Q172" s="1">
        <v>0.43617391697333407</v>
      </c>
      <c r="R172" s="1">
        <v>4.7769323574610056E-2</v>
      </c>
    </row>
    <row r="173" spans="1:18" x14ac:dyDescent="0.35">
      <c r="A173" t="s">
        <v>175</v>
      </c>
      <c r="B173" s="2">
        <v>45641</v>
      </c>
      <c r="C173" s="3">
        <f t="shared" si="15"/>
        <v>197</v>
      </c>
      <c r="D173">
        <f t="shared" si="16"/>
        <v>509</v>
      </c>
      <c r="E173">
        <f t="shared" si="17"/>
        <v>17</v>
      </c>
      <c r="F173">
        <f t="shared" si="18"/>
        <v>4</v>
      </c>
      <c r="G173">
        <f t="shared" si="21"/>
        <v>2</v>
      </c>
      <c r="H173">
        <f t="shared" si="19"/>
        <v>2</v>
      </c>
      <c r="I173" s="9" t="str">
        <f t="shared" si="20"/>
        <v>422</v>
      </c>
      <c r="Q173" s="1">
        <v>0.61725853316460755</v>
      </c>
      <c r="R173" s="1">
        <v>0.19458867023532411</v>
      </c>
    </row>
    <row r="174" spans="1:18" x14ac:dyDescent="0.35">
      <c r="A174" t="s">
        <v>176</v>
      </c>
      <c r="B174" s="2">
        <v>45588</v>
      </c>
      <c r="C174" s="3">
        <f t="shared" si="15"/>
        <v>250</v>
      </c>
      <c r="D174">
        <f t="shared" si="16"/>
        <v>1026</v>
      </c>
      <c r="E174">
        <f t="shared" si="17"/>
        <v>34</v>
      </c>
      <c r="F174">
        <f t="shared" si="18"/>
        <v>4</v>
      </c>
      <c r="G174">
        <f t="shared" si="21"/>
        <v>4</v>
      </c>
      <c r="H174">
        <f t="shared" si="19"/>
        <v>4</v>
      </c>
      <c r="I174" s="9" t="str">
        <f t="shared" si="20"/>
        <v>444</v>
      </c>
      <c r="Q174" s="1">
        <v>0.77272636238549697</v>
      </c>
      <c r="R174" s="1">
        <v>0.63323286441520998</v>
      </c>
    </row>
    <row r="175" spans="1:18" x14ac:dyDescent="0.35">
      <c r="A175" t="s">
        <v>177</v>
      </c>
      <c r="B175" s="2">
        <v>45444</v>
      </c>
      <c r="C175" s="3">
        <f t="shared" si="15"/>
        <v>394</v>
      </c>
      <c r="D175">
        <f t="shared" si="16"/>
        <v>403</v>
      </c>
      <c r="E175">
        <f t="shared" si="17"/>
        <v>13</v>
      </c>
      <c r="F175">
        <f t="shared" si="18"/>
        <v>2</v>
      </c>
      <c r="G175">
        <f t="shared" si="21"/>
        <v>1</v>
      </c>
      <c r="H175">
        <f t="shared" si="19"/>
        <v>1</v>
      </c>
      <c r="I175" s="9" t="str">
        <f t="shared" si="20"/>
        <v>211</v>
      </c>
      <c r="Q175" s="1">
        <v>0.73764533583317593</v>
      </c>
      <c r="R175" s="1">
        <v>3.9255259114485686E-2</v>
      </c>
    </row>
    <row r="176" spans="1:18" x14ac:dyDescent="0.35">
      <c r="A176" t="s">
        <v>178</v>
      </c>
      <c r="B176" s="2">
        <v>45664</v>
      </c>
      <c r="C176" s="3">
        <f t="shared" si="15"/>
        <v>174</v>
      </c>
      <c r="D176">
        <f t="shared" si="16"/>
        <v>1128</v>
      </c>
      <c r="E176">
        <f t="shared" si="17"/>
        <v>38</v>
      </c>
      <c r="F176">
        <f t="shared" si="18"/>
        <v>4</v>
      </c>
      <c r="G176">
        <f t="shared" si="21"/>
        <v>5</v>
      </c>
      <c r="H176">
        <f t="shared" si="19"/>
        <v>5</v>
      </c>
      <c r="I176" s="9" t="str">
        <f t="shared" si="20"/>
        <v>455</v>
      </c>
      <c r="Q176" s="1">
        <v>0.3434396636310737</v>
      </c>
      <c r="R176" s="1">
        <v>0.91718475286745405</v>
      </c>
    </row>
    <row r="177" spans="1:18" x14ac:dyDescent="0.35">
      <c r="A177" t="s">
        <v>179</v>
      </c>
      <c r="B177" s="2">
        <v>45733</v>
      </c>
      <c r="C177" s="3">
        <f t="shared" si="15"/>
        <v>105</v>
      </c>
      <c r="D177">
        <f t="shared" si="16"/>
        <v>433</v>
      </c>
      <c r="E177">
        <f t="shared" si="17"/>
        <v>14</v>
      </c>
      <c r="F177">
        <f t="shared" si="18"/>
        <v>5</v>
      </c>
      <c r="G177">
        <f t="shared" si="21"/>
        <v>1</v>
      </c>
      <c r="H177">
        <f t="shared" si="19"/>
        <v>1</v>
      </c>
      <c r="I177" s="9" t="str">
        <f t="shared" si="20"/>
        <v>511</v>
      </c>
      <c r="Q177" s="1">
        <v>0.6183521683606622</v>
      </c>
      <c r="R177" s="1">
        <v>0.11908373367920888</v>
      </c>
    </row>
    <row r="178" spans="1:18" x14ac:dyDescent="0.35">
      <c r="A178" t="s">
        <v>180</v>
      </c>
      <c r="B178" s="2">
        <v>45666</v>
      </c>
      <c r="C178" s="3">
        <f t="shared" si="15"/>
        <v>172</v>
      </c>
      <c r="D178">
        <f t="shared" si="16"/>
        <v>1243</v>
      </c>
      <c r="E178">
        <f t="shared" si="17"/>
        <v>41</v>
      </c>
      <c r="F178">
        <f t="shared" si="18"/>
        <v>4</v>
      </c>
      <c r="G178">
        <f t="shared" si="21"/>
        <v>5</v>
      </c>
      <c r="H178">
        <f t="shared" si="19"/>
        <v>5</v>
      </c>
      <c r="I178" s="9" t="str">
        <f t="shared" si="20"/>
        <v>455</v>
      </c>
      <c r="Q178" s="1">
        <v>0.62411143019341686</v>
      </c>
      <c r="R178" s="1">
        <v>0.9100011996938393</v>
      </c>
    </row>
    <row r="179" spans="1:18" x14ac:dyDescent="0.35">
      <c r="A179" t="s">
        <v>181</v>
      </c>
      <c r="B179" s="2">
        <v>45333</v>
      </c>
      <c r="C179" s="3">
        <f t="shared" si="15"/>
        <v>505</v>
      </c>
      <c r="D179">
        <f t="shared" si="16"/>
        <v>493</v>
      </c>
      <c r="E179">
        <f t="shared" si="17"/>
        <v>16</v>
      </c>
      <c r="F179">
        <f t="shared" si="18"/>
        <v>1</v>
      </c>
      <c r="G179">
        <f t="shared" si="21"/>
        <v>1</v>
      </c>
      <c r="H179">
        <f t="shared" si="19"/>
        <v>1</v>
      </c>
      <c r="I179" s="9" t="str">
        <f t="shared" si="20"/>
        <v>111</v>
      </c>
      <c r="Q179" s="1">
        <v>0.50205352357330824</v>
      </c>
      <c r="R179" s="1">
        <v>0.228384166508108</v>
      </c>
    </row>
    <row r="180" spans="1:18" x14ac:dyDescent="0.35">
      <c r="A180" t="s">
        <v>182</v>
      </c>
      <c r="B180" s="2">
        <v>45834</v>
      </c>
      <c r="C180" s="3">
        <f t="shared" si="15"/>
        <v>4</v>
      </c>
      <c r="D180">
        <f t="shared" si="16"/>
        <v>609</v>
      </c>
      <c r="E180">
        <f t="shared" si="17"/>
        <v>20</v>
      </c>
      <c r="F180">
        <f t="shared" si="18"/>
        <v>5</v>
      </c>
      <c r="G180">
        <f t="shared" si="21"/>
        <v>2</v>
      </c>
      <c r="H180">
        <f t="shared" si="19"/>
        <v>2</v>
      </c>
      <c r="I180" s="9" t="str">
        <f t="shared" si="20"/>
        <v>522</v>
      </c>
      <c r="Q180" s="1">
        <v>0.86256005859727081</v>
      </c>
      <c r="R180" s="1">
        <v>0.18686573832804265</v>
      </c>
    </row>
    <row r="181" spans="1:18" x14ac:dyDescent="0.35">
      <c r="A181" t="s">
        <v>183</v>
      </c>
      <c r="B181" s="2">
        <v>45315</v>
      </c>
      <c r="C181" s="3">
        <f t="shared" si="15"/>
        <v>523</v>
      </c>
      <c r="D181">
        <f t="shared" si="16"/>
        <v>558</v>
      </c>
      <c r="E181">
        <f t="shared" si="17"/>
        <v>18</v>
      </c>
      <c r="F181">
        <f t="shared" si="18"/>
        <v>1</v>
      </c>
      <c r="G181">
        <f t="shared" si="21"/>
        <v>2</v>
      </c>
      <c r="H181">
        <f t="shared" si="19"/>
        <v>2</v>
      </c>
      <c r="I181" s="9" t="str">
        <f t="shared" si="20"/>
        <v>122</v>
      </c>
      <c r="Q181" s="1">
        <v>0.9057286271691547</v>
      </c>
      <c r="R181" s="1">
        <v>0.11888118855164986</v>
      </c>
    </row>
    <row r="182" spans="1:18" x14ac:dyDescent="0.35">
      <c r="A182" t="s">
        <v>184</v>
      </c>
      <c r="B182" s="2">
        <v>45343</v>
      </c>
      <c r="C182" s="3">
        <f t="shared" si="15"/>
        <v>495</v>
      </c>
      <c r="D182">
        <f t="shared" si="16"/>
        <v>365</v>
      </c>
      <c r="E182">
        <f t="shared" si="17"/>
        <v>12</v>
      </c>
      <c r="F182">
        <f t="shared" si="18"/>
        <v>1</v>
      </c>
      <c r="G182">
        <f t="shared" si="21"/>
        <v>1</v>
      </c>
      <c r="H182">
        <f t="shared" si="19"/>
        <v>1</v>
      </c>
      <c r="I182" s="9" t="str">
        <f t="shared" si="20"/>
        <v>111</v>
      </c>
      <c r="Q182" s="1">
        <v>0.6393155765607007</v>
      </c>
      <c r="R182" s="1">
        <v>4.4095284245286748E-2</v>
      </c>
    </row>
    <row r="183" spans="1:18" x14ac:dyDescent="0.35">
      <c r="A183" t="s">
        <v>185</v>
      </c>
      <c r="B183" s="2">
        <v>45635</v>
      </c>
      <c r="C183" s="3">
        <f t="shared" si="15"/>
        <v>203</v>
      </c>
      <c r="D183">
        <f t="shared" si="16"/>
        <v>596</v>
      </c>
      <c r="E183">
        <f t="shared" si="17"/>
        <v>20</v>
      </c>
      <c r="F183">
        <f t="shared" si="18"/>
        <v>4</v>
      </c>
      <c r="G183">
        <f t="shared" si="21"/>
        <v>2</v>
      </c>
      <c r="H183">
        <f t="shared" si="19"/>
        <v>2</v>
      </c>
      <c r="I183" s="9" t="str">
        <f t="shared" si="20"/>
        <v>422</v>
      </c>
      <c r="Q183" s="1">
        <v>0.84684758887124378</v>
      </c>
      <c r="R183" s="1">
        <v>0.18152108419478263</v>
      </c>
    </row>
    <row r="184" spans="1:18" x14ac:dyDescent="0.35">
      <c r="A184" t="s">
        <v>186</v>
      </c>
      <c r="B184" s="2">
        <v>45299</v>
      </c>
      <c r="C184" s="3">
        <f t="shared" si="15"/>
        <v>539</v>
      </c>
      <c r="D184">
        <f t="shared" si="16"/>
        <v>529</v>
      </c>
      <c r="E184">
        <f t="shared" si="17"/>
        <v>17</v>
      </c>
      <c r="F184">
        <f t="shared" si="18"/>
        <v>1</v>
      </c>
      <c r="G184">
        <f t="shared" si="21"/>
        <v>2</v>
      </c>
      <c r="H184">
        <f t="shared" si="19"/>
        <v>2</v>
      </c>
      <c r="I184" s="9" t="str">
        <f t="shared" si="20"/>
        <v>122</v>
      </c>
      <c r="Q184" s="1">
        <v>0.54413440345922026</v>
      </c>
      <c r="R184" s="1">
        <v>0.24568599214937625</v>
      </c>
    </row>
    <row r="185" spans="1:18" x14ac:dyDescent="0.35">
      <c r="A185" t="s">
        <v>187</v>
      </c>
      <c r="B185" s="2">
        <v>45371</v>
      </c>
      <c r="C185" s="3">
        <f t="shared" si="15"/>
        <v>467</v>
      </c>
      <c r="D185">
        <f t="shared" si="16"/>
        <v>1395</v>
      </c>
      <c r="E185">
        <f t="shared" si="17"/>
        <v>46</v>
      </c>
      <c r="F185">
        <f t="shared" si="18"/>
        <v>1</v>
      </c>
      <c r="G185">
        <f t="shared" si="21"/>
        <v>5</v>
      </c>
      <c r="H185">
        <f t="shared" si="19"/>
        <v>5</v>
      </c>
      <c r="I185" s="9" t="str">
        <f t="shared" si="20"/>
        <v>155</v>
      </c>
      <c r="Q185" s="1">
        <v>0.90178157959544647</v>
      </c>
      <c r="R185" s="1">
        <v>0.93977436502978551</v>
      </c>
    </row>
    <row r="186" spans="1:18" x14ac:dyDescent="0.35">
      <c r="A186" t="s">
        <v>188</v>
      </c>
      <c r="B186" s="2">
        <v>45345</v>
      </c>
      <c r="C186" s="3">
        <f t="shared" si="15"/>
        <v>493</v>
      </c>
      <c r="D186">
        <f t="shared" si="16"/>
        <v>879</v>
      </c>
      <c r="E186">
        <f t="shared" si="17"/>
        <v>29</v>
      </c>
      <c r="F186">
        <f t="shared" si="18"/>
        <v>1</v>
      </c>
      <c r="G186">
        <f t="shared" si="21"/>
        <v>4</v>
      </c>
      <c r="H186">
        <f t="shared" si="19"/>
        <v>4</v>
      </c>
      <c r="I186" s="9" t="str">
        <f t="shared" si="20"/>
        <v>144</v>
      </c>
      <c r="Q186" s="1">
        <v>0.31993016170685662</v>
      </c>
      <c r="R186" s="1">
        <v>0.6840169075912309</v>
      </c>
    </row>
    <row r="187" spans="1:18" x14ac:dyDescent="0.35">
      <c r="A187" t="s">
        <v>189</v>
      </c>
      <c r="B187" s="2">
        <v>45824</v>
      </c>
      <c r="C187" s="3">
        <f t="shared" si="15"/>
        <v>14</v>
      </c>
      <c r="D187">
        <f t="shared" si="16"/>
        <v>553</v>
      </c>
      <c r="E187">
        <f t="shared" si="17"/>
        <v>18</v>
      </c>
      <c r="F187">
        <f t="shared" si="18"/>
        <v>5</v>
      </c>
      <c r="G187">
        <f t="shared" si="21"/>
        <v>2</v>
      </c>
      <c r="H187">
        <f t="shared" si="19"/>
        <v>2</v>
      </c>
      <c r="I187" s="9" t="str">
        <f t="shared" si="20"/>
        <v>522</v>
      </c>
      <c r="Q187" s="1">
        <v>0.54956009258968064</v>
      </c>
      <c r="R187" s="1">
        <v>0.2663739409042678</v>
      </c>
    </row>
    <row r="188" spans="1:18" x14ac:dyDescent="0.35">
      <c r="A188" t="s">
        <v>190</v>
      </c>
      <c r="B188" s="2">
        <v>45565</v>
      </c>
      <c r="C188" s="3">
        <f t="shared" si="15"/>
        <v>273</v>
      </c>
      <c r="D188">
        <f t="shared" si="16"/>
        <v>941</v>
      </c>
      <c r="E188">
        <f t="shared" si="17"/>
        <v>31</v>
      </c>
      <c r="F188">
        <f t="shared" si="18"/>
        <v>3</v>
      </c>
      <c r="G188">
        <f t="shared" si="21"/>
        <v>4</v>
      </c>
      <c r="H188">
        <f t="shared" si="19"/>
        <v>4</v>
      </c>
      <c r="I188" s="9" t="str">
        <f t="shared" si="20"/>
        <v>344</v>
      </c>
      <c r="Q188" s="1">
        <v>0.32593790539230849</v>
      </c>
      <c r="R188" s="1">
        <v>0.7414351755434524</v>
      </c>
    </row>
    <row r="189" spans="1:18" x14ac:dyDescent="0.35">
      <c r="A189" t="s">
        <v>191</v>
      </c>
      <c r="B189" s="2">
        <v>45808</v>
      </c>
      <c r="C189" s="3">
        <f t="shared" si="15"/>
        <v>30</v>
      </c>
      <c r="D189">
        <f t="shared" si="16"/>
        <v>1132</v>
      </c>
      <c r="E189">
        <f t="shared" si="17"/>
        <v>38</v>
      </c>
      <c r="F189">
        <f t="shared" si="18"/>
        <v>5</v>
      </c>
      <c r="G189">
        <f t="shared" si="21"/>
        <v>5</v>
      </c>
      <c r="H189">
        <f t="shared" si="19"/>
        <v>5</v>
      </c>
      <c r="I189" s="9" t="str">
        <f t="shared" si="20"/>
        <v>555</v>
      </c>
      <c r="Q189" s="1">
        <v>0.19204701388835499</v>
      </c>
      <c r="R189" s="1">
        <v>0.98606049038020727</v>
      </c>
    </row>
    <row r="190" spans="1:18" x14ac:dyDescent="0.35">
      <c r="A190" t="s">
        <v>192</v>
      </c>
      <c r="B190" s="2">
        <v>45409</v>
      </c>
      <c r="C190" s="3">
        <f t="shared" si="15"/>
        <v>429</v>
      </c>
      <c r="D190">
        <f t="shared" si="16"/>
        <v>457</v>
      </c>
      <c r="E190">
        <f t="shared" si="17"/>
        <v>15</v>
      </c>
      <c r="F190">
        <f t="shared" si="18"/>
        <v>1</v>
      </c>
      <c r="G190">
        <f t="shared" si="21"/>
        <v>1</v>
      </c>
      <c r="H190">
        <f t="shared" si="19"/>
        <v>1</v>
      </c>
      <c r="I190" s="9" t="str">
        <f t="shared" si="20"/>
        <v>111</v>
      </c>
      <c r="Q190" s="1">
        <v>0.43838561530135733</v>
      </c>
      <c r="R190" s="1">
        <v>0.22045672905211389</v>
      </c>
    </row>
    <row r="191" spans="1:18" x14ac:dyDescent="0.35">
      <c r="A191" t="s">
        <v>193</v>
      </c>
      <c r="B191" s="2">
        <v>45344</v>
      </c>
      <c r="C191" s="3">
        <f t="shared" si="15"/>
        <v>494</v>
      </c>
      <c r="D191">
        <f t="shared" si="16"/>
        <v>641</v>
      </c>
      <c r="E191">
        <f t="shared" si="17"/>
        <v>21</v>
      </c>
      <c r="F191">
        <f t="shared" si="18"/>
        <v>1</v>
      </c>
      <c r="G191">
        <f t="shared" si="21"/>
        <v>2</v>
      </c>
      <c r="H191">
        <f t="shared" si="19"/>
        <v>2</v>
      </c>
      <c r="I191" s="9" t="str">
        <f t="shared" si="20"/>
        <v>122</v>
      </c>
      <c r="Q191" s="1">
        <v>0.20688425664101706</v>
      </c>
      <c r="R191" s="1">
        <v>0.49938261872619549</v>
      </c>
    </row>
    <row r="192" spans="1:18" x14ac:dyDescent="0.35">
      <c r="A192" t="s">
        <v>194</v>
      </c>
      <c r="B192" s="2">
        <v>45493</v>
      </c>
      <c r="C192" s="3">
        <f t="shared" si="15"/>
        <v>345</v>
      </c>
      <c r="D192">
        <f t="shared" si="16"/>
        <v>450</v>
      </c>
      <c r="E192">
        <f t="shared" si="17"/>
        <v>15</v>
      </c>
      <c r="F192">
        <f t="shared" si="18"/>
        <v>2</v>
      </c>
      <c r="G192">
        <f t="shared" si="21"/>
        <v>1</v>
      </c>
      <c r="H192">
        <f t="shared" si="19"/>
        <v>1</v>
      </c>
      <c r="I192" s="9" t="str">
        <f t="shared" si="20"/>
        <v>211</v>
      </c>
      <c r="Q192" s="1">
        <v>0.54315145124945163</v>
      </c>
      <c r="R192" s="1">
        <v>0.16835170541244704</v>
      </c>
    </row>
    <row r="193" spans="1:18" x14ac:dyDescent="0.35">
      <c r="A193" t="s">
        <v>195</v>
      </c>
      <c r="B193" s="2">
        <v>45773</v>
      </c>
      <c r="C193" s="3">
        <f t="shared" si="15"/>
        <v>65</v>
      </c>
      <c r="D193">
        <f t="shared" si="16"/>
        <v>1186</v>
      </c>
      <c r="E193">
        <f t="shared" si="17"/>
        <v>39</v>
      </c>
      <c r="F193">
        <f t="shared" si="18"/>
        <v>5</v>
      </c>
      <c r="G193">
        <f t="shared" si="21"/>
        <v>5</v>
      </c>
      <c r="H193">
        <f t="shared" si="19"/>
        <v>5</v>
      </c>
      <c r="I193" s="9" t="str">
        <f t="shared" si="20"/>
        <v>555</v>
      </c>
      <c r="Q193" s="1">
        <v>0.97628968194311416</v>
      </c>
      <c r="R193" s="1">
        <v>0.70295577268473997</v>
      </c>
    </row>
    <row r="194" spans="1:18" x14ac:dyDescent="0.35">
      <c r="A194" t="s">
        <v>196</v>
      </c>
      <c r="B194" s="2">
        <v>45332</v>
      </c>
      <c r="C194" s="3">
        <f t="shared" si="15"/>
        <v>506</v>
      </c>
      <c r="D194">
        <f t="shared" si="16"/>
        <v>330</v>
      </c>
      <c r="E194">
        <f t="shared" si="17"/>
        <v>11</v>
      </c>
      <c r="F194">
        <f t="shared" si="18"/>
        <v>1</v>
      </c>
      <c r="G194">
        <f t="shared" si="21"/>
        <v>1</v>
      </c>
      <c r="H194">
        <f t="shared" si="19"/>
        <v>1</v>
      </c>
      <c r="I194" s="9" t="str">
        <f t="shared" si="20"/>
        <v>111</v>
      </c>
      <c r="Q194" s="1">
        <v>0.40886426460430358</v>
      </c>
      <c r="R194" s="1">
        <v>0.10899034552298004</v>
      </c>
    </row>
    <row r="195" spans="1:18" x14ac:dyDescent="0.35">
      <c r="A195" t="s">
        <v>197</v>
      </c>
      <c r="B195" s="2">
        <v>45646</v>
      </c>
      <c r="C195" s="3">
        <f t="shared" ref="C195:C258" si="22">$S$6-B195</f>
        <v>192</v>
      </c>
      <c r="D195">
        <f t="shared" ref="D195:D258" si="23">ROUND((R195*0.7+Q195*0.3)*(1500-40)+40,0)</f>
        <v>610</v>
      </c>
      <c r="E195">
        <f t="shared" ref="E195:E258" si="24">ROUND((R195*0.7+Q195*0.3)*(50-1)+1,0)</f>
        <v>20</v>
      </c>
      <c r="F195">
        <f t="shared" ref="F195:F258" si="25">IF(C195&lt;=$M$4,5,IF(C195&lt;=$M$9,4,IF(C195&lt;=$M$5,3,IF(C195&lt;=$M$6,2,1))))</f>
        <v>4</v>
      </c>
      <c r="G195">
        <f t="shared" si="21"/>
        <v>2</v>
      </c>
      <c r="H195">
        <f t="shared" ref="H195:H258" si="26">IF(D195&lt;=$M$24,1,IF(D195&lt;=$M$25,2,IF(D195&lt;=$M$29,3,IF(D195&lt;=$M$26,4,5))))</f>
        <v>2</v>
      </c>
      <c r="I195" s="9" t="str">
        <f t="shared" ref="I195:I258" si="27">CONCATENATE(F195,G195,H195)</f>
        <v>422</v>
      </c>
      <c r="Q195" s="1">
        <v>0.65818539129697151</v>
      </c>
      <c r="R195" s="1">
        <v>0.27569252245611153</v>
      </c>
    </row>
    <row r="196" spans="1:18" x14ac:dyDescent="0.35">
      <c r="A196" t="s">
        <v>198</v>
      </c>
      <c r="B196" s="2">
        <v>45426</v>
      </c>
      <c r="C196" s="3">
        <f t="shared" si="22"/>
        <v>412</v>
      </c>
      <c r="D196">
        <f t="shared" si="23"/>
        <v>806</v>
      </c>
      <c r="E196">
        <f t="shared" si="24"/>
        <v>27</v>
      </c>
      <c r="F196">
        <f t="shared" si="25"/>
        <v>1</v>
      </c>
      <c r="G196">
        <f t="shared" ref="G196:G259" si="28">IF(E196&lt;=$M$14,1,IF(E196&lt;=$M$15,2,IF(E196&lt;=$M$19,3,IF(E196&lt;=$M$16,4,5))))</f>
        <v>4</v>
      </c>
      <c r="H196">
        <f t="shared" si="26"/>
        <v>4</v>
      </c>
      <c r="I196" s="9" t="str">
        <f t="shared" si="27"/>
        <v>144</v>
      </c>
      <c r="Q196" s="1">
        <v>0.81211744829862897</v>
      </c>
      <c r="R196" s="1">
        <v>0.40181636262568488</v>
      </c>
    </row>
    <row r="197" spans="1:18" x14ac:dyDescent="0.35">
      <c r="A197" t="s">
        <v>199</v>
      </c>
      <c r="B197" s="2">
        <v>45544</v>
      </c>
      <c r="C197" s="3">
        <f t="shared" si="22"/>
        <v>294</v>
      </c>
      <c r="D197">
        <f t="shared" si="23"/>
        <v>1224</v>
      </c>
      <c r="E197">
        <f t="shared" si="24"/>
        <v>41</v>
      </c>
      <c r="F197">
        <f t="shared" si="25"/>
        <v>2</v>
      </c>
      <c r="G197">
        <f t="shared" si="28"/>
        <v>5</v>
      </c>
      <c r="H197">
        <f t="shared" si="26"/>
        <v>5</v>
      </c>
      <c r="I197" s="9" t="str">
        <f t="shared" si="27"/>
        <v>255</v>
      </c>
      <c r="Q197" s="1">
        <v>0.71794481160924406</v>
      </c>
      <c r="R197" s="1">
        <v>0.8508902170288023</v>
      </c>
    </row>
    <row r="198" spans="1:18" x14ac:dyDescent="0.35">
      <c r="A198" t="s">
        <v>200</v>
      </c>
      <c r="B198" s="2">
        <v>45538</v>
      </c>
      <c r="C198" s="3">
        <f t="shared" si="22"/>
        <v>300</v>
      </c>
      <c r="D198">
        <f t="shared" si="23"/>
        <v>818</v>
      </c>
      <c r="E198">
        <f t="shared" si="24"/>
        <v>27</v>
      </c>
      <c r="F198">
        <f t="shared" si="25"/>
        <v>2</v>
      </c>
      <c r="G198">
        <f t="shared" si="28"/>
        <v>4</v>
      </c>
      <c r="H198">
        <f t="shared" si="26"/>
        <v>4</v>
      </c>
      <c r="I198" s="9" t="str">
        <f t="shared" si="27"/>
        <v>244</v>
      </c>
      <c r="Q198" s="1">
        <v>0.66273273833069557</v>
      </c>
      <c r="R198" s="1">
        <v>0.47700449813723445</v>
      </c>
    </row>
    <row r="199" spans="1:18" x14ac:dyDescent="0.35">
      <c r="A199" t="s">
        <v>201</v>
      </c>
      <c r="B199" s="2">
        <v>45452</v>
      </c>
      <c r="C199" s="3">
        <f t="shared" si="22"/>
        <v>386</v>
      </c>
      <c r="D199">
        <f t="shared" si="23"/>
        <v>594</v>
      </c>
      <c r="E199">
        <f t="shared" si="24"/>
        <v>20</v>
      </c>
      <c r="F199">
        <f t="shared" si="25"/>
        <v>2</v>
      </c>
      <c r="G199">
        <f t="shared" si="28"/>
        <v>2</v>
      </c>
      <c r="H199">
        <f t="shared" si="26"/>
        <v>2</v>
      </c>
      <c r="I199" s="9" t="str">
        <f t="shared" si="27"/>
        <v>222</v>
      </c>
      <c r="Q199" s="1">
        <v>2.145878737046536E-2</v>
      </c>
      <c r="R199" s="1">
        <v>0.53244144562290796</v>
      </c>
    </row>
    <row r="200" spans="1:18" x14ac:dyDescent="0.35">
      <c r="A200" t="s">
        <v>202</v>
      </c>
      <c r="B200" s="2">
        <v>45633</v>
      </c>
      <c r="C200" s="3">
        <f t="shared" si="22"/>
        <v>205</v>
      </c>
      <c r="D200">
        <f t="shared" si="23"/>
        <v>690</v>
      </c>
      <c r="E200">
        <f t="shared" si="24"/>
        <v>23</v>
      </c>
      <c r="F200">
        <f t="shared" si="25"/>
        <v>4</v>
      </c>
      <c r="G200">
        <f t="shared" si="28"/>
        <v>2</v>
      </c>
      <c r="H200">
        <f t="shared" si="26"/>
        <v>2</v>
      </c>
      <c r="I200" s="9" t="str">
        <f t="shared" si="27"/>
        <v>422</v>
      </c>
      <c r="Q200" s="1">
        <v>0.60533733052974625</v>
      </c>
      <c r="R200" s="1">
        <v>0.37675158479185211</v>
      </c>
    </row>
    <row r="201" spans="1:18" x14ac:dyDescent="0.35">
      <c r="A201" t="s">
        <v>203</v>
      </c>
      <c r="B201" s="2">
        <v>45713</v>
      </c>
      <c r="C201" s="3">
        <f t="shared" si="22"/>
        <v>125</v>
      </c>
      <c r="D201">
        <f t="shared" si="23"/>
        <v>962</v>
      </c>
      <c r="E201">
        <f t="shared" si="24"/>
        <v>32</v>
      </c>
      <c r="F201">
        <f t="shared" si="25"/>
        <v>4</v>
      </c>
      <c r="G201">
        <f t="shared" si="28"/>
        <v>4</v>
      </c>
      <c r="H201">
        <f t="shared" si="26"/>
        <v>4</v>
      </c>
      <c r="I201" s="9" t="str">
        <f t="shared" si="27"/>
        <v>444</v>
      </c>
      <c r="Q201" s="1">
        <v>0.61359406681460904</v>
      </c>
      <c r="R201" s="1">
        <v>0.63897686996776948</v>
      </c>
    </row>
    <row r="202" spans="1:18" x14ac:dyDescent="0.35">
      <c r="A202" t="s">
        <v>204</v>
      </c>
      <c r="B202" s="2">
        <v>45300</v>
      </c>
      <c r="C202" s="3">
        <f t="shared" si="22"/>
        <v>538</v>
      </c>
      <c r="D202">
        <f t="shared" si="23"/>
        <v>1067</v>
      </c>
      <c r="E202">
        <f t="shared" si="24"/>
        <v>35</v>
      </c>
      <c r="F202">
        <f t="shared" si="25"/>
        <v>1</v>
      </c>
      <c r="G202">
        <f t="shared" si="28"/>
        <v>4</v>
      </c>
      <c r="H202">
        <f t="shared" si="26"/>
        <v>5</v>
      </c>
      <c r="I202" s="9" t="str">
        <f t="shared" si="27"/>
        <v>145</v>
      </c>
      <c r="Q202" s="1">
        <v>0.79615061383900199</v>
      </c>
      <c r="R202" s="1">
        <v>0.66374757344589397</v>
      </c>
    </row>
    <row r="203" spans="1:18" x14ac:dyDescent="0.35">
      <c r="A203" t="s">
        <v>205</v>
      </c>
      <c r="B203" s="2">
        <v>45603</v>
      </c>
      <c r="C203" s="3">
        <f t="shared" si="22"/>
        <v>235</v>
      </c>
      <c r="D203">
        <f t="shared" si="23"/>
        <v>1322</v>
      </c>
      <c r="E203">
        <f t="shared" si="24"/>
        <v>44</v>
      </c>
      <c r="F203">
        <f t="shared" si="25"/>
        <v>4</v>
      </c>
      <c r="G203">
        <f t="shared" si="28"/>
        <v>5</v>
      </c>
      <c r="H203">
        <f t="shared" si="26"/>
        <v>5</v>
      </c>
      <c r="I203" s="9" t="str">
        <f t="shared" si="27"/>
        <v>455</v>
      </c>
      <c r="Q203" s="1">
        <v>0.89761684047278756</v>
      </c>
      <c r="R203" s="1">
        <v>0.87013741709605963</v>
      </c>
    </row>
    <row r="204" spans="1:18" x14ac:dyDescent="0.35">
      <c r="A204" t="s">
        <v>206</v>
      </c>
      <c r="B204" s="2">
        <v>45343</v>
      </c>
      <c r="C204" s="3">
        <f t="shared" si="22"/>
        <v>495</v>
      </c>
      <c r="D204">
        <f t="shared" si="23"/>
        <v>1313</v>
      </c>
      <c r="E204">
        <f t="shared" si="24"/>
        <v>44</v>
      </c>
      <c r="F204">
        <f t="shared" si="25"/>
        <v>1</v>
      </c>
      <c r="G204">
        <f t="shared" si="28"/>
        <v>5</v>
      </c>
      <c r="H204">
        <f t="shared" si="26"/>
        <v>5</v>
      </c>
      <c r="I204" s="9" t="str">
        <f t="shared" si="27"/>
        <v>155</v>
      </c>
      <c r="Q204" s="1">
        <v>0.91758508863873467</v>
      </c>
      <c r="R204" s="1">
        <v>0.85209632708024685</v>
      </c>
    </row>
    <row r="205" spans="1:18" x14ac:dyDescent="0.35">
      <c r="A205" t="s">
        <v>207</v>
      </c>
      <c r="B205" s="2">
        <v>45298</v>
      </c>
      <c r="C205" s="3">
        <f t="shared" si="22"/>
        <v>540</v>
      </c>
      <c r="D205">
        <f t="shared" si="23"/>
        <v>498</v>
      </c>
      <c r="E205">
        <f t="shared" si="24"/>
        <v>16</v>
      </c>
      <c r="F205">
        <f t="shared" si="25"/>
        <v>1</v>
      </c>
      <c r="G205">
        <f t="shared" si="28"/>
        <v>1</v>
      </c>
      <c r="H205">
        <f t="shared" si="26"/>
        <v>1</v>
      </c>
      <c r="I205" s="9" t="str">
        <f t="shared" si="27"/>
        <v>111</v>
      </c>
      <c r="Q205" s="1">
        <v>0.70578807589625048</v>
      </c>
      <c r="R205" s="1">
        <v>0.14538746799308777</v>
      </c>
    </row>
    <row r="206" spans="1:18" x14ac:dyDescent="0.35">
      <c r="A206" t="s">
        <v>208</v>
      </c>
      <c r="B206" s="2">
        <v>45575</v>
      </c>
      <c r="C206" s="3">
        <f t="shared" si="22"/>
        <v>263</v>
      </c>
      <c r="D206">
        <f t="shared" si="23"/>
        <v>1182</v>
      </c>
      <c r="E206">
        <f t="shared" si="24"/>
        <v>39</v>
      </c>
      <c r="F206">
        <f t="shared" si="25"/>
        <v>4</v>
      </c>
      <c r="G206">
        <f t="shared" si="28"/>
        <v>5</v>
      </c>
      <c r="H206">
        <f t="shared" si="26"/>
        <v>5</v>
      </c>
      <c r="I206" s="9" t="str">
        <f t="shared" si="27"/>
        <v>455</v>
      </c>
      <c r="Q206" s="1">
        <v>0.4914354375664981</v>
      </c>
      <c r="R206" s="1">
        <v>0.90652577391685885</v>
      </c>
    </row>
    <row r="207" spans="1:18" x14ac:dyDescent="0.35">
      <c r="A207" t="s">
        <v>209</v>
      </c>
      <c r="B207" s="2">
        <v>45333</v>
      </c>
      <c r="C207" s="3">
        <f t="shared" si="22"/>
        <v>505</v>
      </c>
      <c r="D207">
        <f t="shared" si="23"/>
        <v>906</v>
      </c>
      <c r="E207">
        <f t="shared" si="24"/>
        <v>30</v>
      </c>
      <c r="F207">
        <f t="shared" si="25"/>
        <v>1</v>
      </c>
      <c r="G207">
        <f t="shared" si="28"/>
        <v>4</v>
      </c>
      <c r="H207">
        <f t="shared" si="26"/>
        <v>4</v>
      </c>
      <c r="I207" s="9" t="str">
        <f t="shared" si="27"/>
        <v>144</v>
      </c>
      <c r="Q207" s="1">
        <v>0.9403413393662029</v>
      </c>
      <c r="R207" s="1">
        <v>0.44449172287671534</v>
      </c>
    </row>
    <row r="208" spans="1:18" x14ac:dyDescent="0.35">
      <c r="A208" t="s">
        <v>210</v>
      </c>
      <c r="B208" s="2">
        <v>45670</v>
      </c>
      <c r="C208" s="3">
        <f t="shared" si="22"/>
        <v>168</v>
      </c>
      <c r="D208">
        <f t="shared" si="23"/>
        <v>423</v>
      </c>
      <c r="E208">
        <f t="shared" si="24"/>
        <v>14</v>
      </c>
      <c r="F208">
        <f t="shared" si="25"/>
        <v>4</v>
      </c>
      <c r="G208">
        <f t="shared" si="28"/>
        <v>1</v>
      </c>
      <c r="H208">
        <f t="shared" si="26"/>
        <v>1</v>
      </c>
      <c r="I208" s="9" t="str">
        <f t="shared" si="27"/>
        <v>411</v>
      </c>
      <c r="Q208" s="1">
        <v>0.48239958663414051</v>
      </c>
      <c r="R208" s="1">
        <v>0.16838841379135139</v>
      </c>
    </row>
    <row r="209" spans="1:18" x14ac:dyDescent="0.35">
      <c r="A209" t="s">
        <v>211</v>
      </c>
      <c r="B209" s="2">
        <v>45323</v>
      </c>
      <c r="C209" s="3">
        <f t="shared" si="22"/>
        <v>515</v>
      </c>
      <c r="D209">
        <f t="shared" si="23"/>
        <v>911</v>
      </c>
      <c r="E209">
        <f t="shared" si="24"/>
        <v>30</v>
      </c>
      <c r="F209">
        <f t="shared" si="25"/>
        <v>1</v>
      </c>
      <c r="G209">
        <f t="shared" si="28"/>
        <v>4</v>
      </c>
      <c r="H209">
        <f t="shared" si="26"/>
        <v>4</v>
      </c>
      <c r="I209" s="9" t="str">
        <f t="shared" si="27"/>
        <v>144</v>
      </c>
      <c r="Q209" s="1">
        <v>0.91048742036852537</v>
      </c>
      <c r="R209" s="1">
        <v>0.46168252879525007</v>
      </c>
    </row>
    <row r="210" spans="1:18" x14ac:dyDescent="0.35">
      <c r="A210" t="s">
        <v>212</v>
      </c>
      <c r="B210" s="2">
        <v>45598</v>
      </c>
      <c r="C210" s="3">
        <f t="shared" si="22"/>
        <v>240</v>
      </c>
      <c r="D210">
        <f t="shared" si="23"/>
        <v>1461</v>
      </c>
      <c r="E210">
        <f t="shared" si="24"/>
        <v>49</v>
      </c>
      <c r="F210">
        <f t="shared" si="25"/>
        <v>4</v>
      </c>
      <c r="G210">
        <f t="shared" si="28"/>
        <v>5</v>
      </c>
      <c r="H210">
        <f t="shared" si="26"/>
        <v>5</v>
      </c>
      <c r="I210" s="9" t="str">
        <f t="shared" si="27"/>
        <v>455</v>
      </c>
      <c r="Q210" s="1">
        <v>0.96342193957681554</v>
      </c>
      <c r="R210" s="1">
        <v>0.97782361366816883</v>
      </c>
    </row>
    <row r="211" spans="1:18" x14ac:dyDescent="0.35">
      <c r="A211" t="s">
        <v>213</v>
      </c>
      <c r="B211" s="2">
        <v>45628</v>
      </c>
      <c r="C211" s="3">
        <f t="shared" si="22"/>
        <v>210</v>
      </c>
      <c r="D211">
        <f t="shared" si="23"/>
        <v>1120</v>
      </c>
      <c r="E211">
        <f t="shared" si="24"/>
        <v>37</v>
      </c>
      <c r="F211">
        <f t="shared" si="25"/>
        <v>4</v>
      </c>
      <c r="G211">
        <f t="shared" si="28"/>
        <v>5</v>
      </c>
      <c r="H211">
        <f t="shared" si="26"/>
        <v>5</v>
      </c>
      <c r="I211" s="9" t="str">
        <f t="shared" si="27"/>
        <v>455</v>
      </c>
      <c r="Q211" s="1">
        <v>0.25877041043278459</v>
      </c>
      <c r="R211" s="1">
        <v>0.94581965247712185</v>
      </c>
    </row>
    <row r="212" spans="1:18" x14ac:dyDescent="0.35">
      <c r="A212" t="s">
        <v>214</v>
      </c>
      <c r="B212" s="2">
        <v>45610</v>
      </c>
      <c r="C212" s="3">
        <f t="shared" si="22"/>
        <v>228</v>
      </c>
      <c r="D212">
        <f t="shared" si="23"/>
        <v>805</v>
      </c>
      <c r="E212">
        <f t="shared" si="24"/>
        <v>27</v>
      </c>
      <c r="F212">
        <f t="shared" si="25"/>
        <v>4</v>
      </c>
      <c r="G212">
        <f t="shared" si="28"/>
        <v>4</v>
      </c>
      <c r="H212">
        <f t="shared" si="26"/>
        <v>4</v>
      </c>
      <c r="I212" s="9" t="str">
        <f t="shared" si="27"/>
        <v>444</v>
      </c>
      <c r="Q212" s="1">
        <v>0.72649212361483451</v>
      </c>
      <c r="R212" s="1">
        <v>0.43742356456317144</v>
      </c>
    </row>
    <row r="213" spans="1:18" x14ac:dyDescent="0.35">
      <c r="A213" t="s">
        <v>215</v>
      </c>
      <c r="B213" s="2">
        <v>45449</v>
      </c>
      <c r="C213" s="3">
        <f t="shared" si="22"/>
        <v>389</v>
      </c>
      <c r="D213">
        <f t="shared" si="23"/>
        <v>1316</v>
      </c>
      <c r="E213">
        <f t="shared" si="24"/>
        <v>44</v>
      </c>
      <c r="F213">
        <f t="shared" si="25"/>
        <v>2</v>
      </c>
      <c r="G213">
        <f t="shared" si="28"/>
        <v>5</v>
      </c>
      <c r="H213">
        <f t="shared" si="26"/>
        <v>5</v>
      </c>
      <c r="I213" s="9" t="str">
        <f t="shared" si="27"/>
        <v>255</v>
      </c>
      <c r="Q213" s="1">
        <v>0.94608374338400791</v>
      </c>
      <c r="R213" s="1">
        <v>0.84287895334761787</v>
      </c>
    </row>
    <row r="214" spans="1:18" x14ac:dyDescent="0.35">
      <c r="A214" t="s">
        <v>216</v>
      </c>
      <c r="B214" s="2">
        <v>45757</v>
      </c>
      <c r="C214" s="3">
        <f t="shared" si="22"/>
        <v>81</v>
      </c>
      <c r="D214">
        <f t="shared" si="23"/>
        <v>546</v>
      </c>
      <c r="E214">
        <f t="shared" si="24"/>
        <v>18</v>
      </c>
      <c r="F214">
        <f t="shared" si="25"/>
        <v>5</v>
      </c>
      <c r="G214">
        <f t="shared" si="28"/>
        <v>2</v>
      </c>
      <c r="H214">
        <f t="shared" si="26"/>
        <v>2</v>
      </c>
      <c r="I214" s="9" t="str">
        <f t="shared" si="27"/>
        <v>522</v>
      </c>
      <c r="Q214" s="1">
        <v>0.33273568750018545</v>
      </c>
      <c r="R214" s="1">
        <v>0.35289946279280238</v>
      </c>
    </row>
    <row r="215" spans="1:18" x14ac:dyDescent="0.35">
      <c r="A215" t="s">
        <v>217</v>
      </c>
      <c r="B215" s="2">
        <v>45789</v>
      </c>
      <c r="C215" s="3">
        <f t="shared" si="22"/>
        <v>49</v>
      </c>
      <c r="D215">
        <f t="shared" si="23"/>
        <v>502</v>
      </c>
      <c r="E215">
        <f t="shared" si="24"/>
        <v>17</v>
      </c>
      <c r="F215">
        <f t="shared" si="25"/>
        <v>5</v>
      </c>
      <c r="G215">
        <f t="shared" si="28"/>
        <v>2</v>
      </c>
      <c r="H215">
        <f t="shared" si="26"/>
        <v>2</v>
      </c>
      <c r="I215" s="9" t="str">
        <f t="shared" si="27"/>
        <v>522</v>
      </c>
      <c r="Q215" s="1">
        <v>0.28015321551372352</v>
      </c>
      <c r="R215" s="1">
        <v>0.33208699426902299</v>
      </c>
    </row>
    <row r="216" spans="1:18" x14ac:dyDescent="0.35">
      <c r="A216" t="s">
        <v>218</v>
      </c>
      <c r="B216" s="2">
        <v>45509</v>
      </c>
      <c r="C216" s="3">
        <f t="shared" si="22"/>
        <v>329</v>
      </c>
      <c r="D216">
        <f t="shared" si="23"/>
        <v>1198</v>
      </c>
      <c r="E216">
        <f t="shared" si="24"/>
        <v>40</v>
      </c>
      <c r="F216">
        <f t="shared" si="25"/>
        <v>2</v>
      </c>
      <c r="G216">
        <f t="shared" si="28"/>
        <v>5</v>
      </c>
      <c r="H216">
        <f t="shared" si="26"/>
        <v>5</v>
      </c>
      <c r="I216" s="9" t="str">
        <f t="shared" si="27"/>
        <v>255</v>
      </c>
      <c r="Q216" s="1">
        <v>0.37462558621890607</v>
      </c>
      <c r="R216" s="1">
        <v>0.9723316685599771</v>
      </c>
    </row>
    <row r="217" spans="1:18" x14ac:dyDescent="0.35">
      <c r="A217" t="s">
        <v>219</v>
      </c>
      <c r="B217" s="2">
        <v>45807</v>
      </c>
      <c r="C217" s="3">
        <f t="shared" si="22"/>
        <v>31</v>
      </c>
      <c r="D217">
        <f t="shared" si="23"/>
        <v>1028</v>
      </c>
      <c r="E217">
        <f t="shared" si="24"/>
        <v>34</v>
      </c>
      <c r="F217">
        <f t="shared" si="25"/>
        <v>5</v>
      </c>
      <c r="G217">
        <f t="shared" si="28"/>
        <v>4</v>
      </c>
      <c r="H217">
        <f t="shared" si="26"/>
        <v>4</v>
      </c>
      <c r="I217" s="9" t="str">
        <f t="shared" si="27"/>
        <v>544</v>
      </c>
      <c r="Q217" s="1">
        <v>0.61006853345436041</v>
      </c>
      <c r="R217" s="1">
        <v>0.70571147170884374</v>
      </c>
    </row>
    <row r="218" spans="1:18" x14ac:dyDescent="0.35">
      <c r="A218" t="s">
        <v>220</v>
      </c>
      <c r="B218" s="2">
        <v>45715</v>
      </c>
      <c r="C218" s="3">
        <f t="shared" si="22"/>
        <v>123</v>
      </c>
      <c r="D218">
        <f t="shared" si="23"/>
        <v>716</v>
      </c>
      <c r="E218">
        <f t="shared" si="24"/>
        <v>24</v>
      </c>
      <c r="F218">
        <f t="shared" si="25"/>
        <v>4</v>
      </c>
      <c r="G218">
        <f t="shared" si="28"/>
        <v>2</v>
      </c>
      <c r="H218">
        <f t="shared" si="26"/>
        <v>2</v>
      </c>
      <c r="I218" s="9" t="str">
        <f t="shared" si="27"/>
        <v>422</v>
      </c>
      <c r="Q218" s="1">
        <v>0.69887440319696859</v>
      </c>
      <c r="R218" s="1">
        <v>0.36220847829833713</v>
      </c>
    </row>
    <row r="219" spans="1:18" x14ac:dyDescent="0.35">
      <c r="A219" t="s">
        <v>221</v>
      </c>
      <c r="B219" s="2">
        <v>45596</v>
      </c>
      <c r="C219" s="3">
        <f t="shared" si="22"/>
        <v>242</v>
      </c>
      <c r="D219">
        <f t="shared" si="23"/>
        <v>287</v>
      </c>
      <c r="E219">
        <f t="shared" si="24"/>
        <v>9</v>
      </c>
      <c r="F219">
        <f t="shared" si="25"/>
        <v>4</v>
      </c>
      <c r="G219">
        <f t="shared" si="28"/>
        <v>1</v>
      </c>
      <c r="H219">
        <f t="shared" si="26"/>
        <v>1</v>
      </c>
      <c r="I219" s="9" t="str">
        <f t="shared" si="27"/>
        <v>411</v>
      </c>
      <c r="Q219" s="1">
        <v>0.52315159593171234</v>
      </c>
      <c r="R219" s="1">
        <v>1.7682732679888069E-2</v>
      </c>
    </row>
    <row r="220" spans="1:18" x14ac:dyDescent="0.35">
      <c r="A220" t="s">
        <v>222</v>
      </c>
      <c r="B220" s="2">
        <v>45313</v>
      </c>
      <c r="C220" s="3">
        <f t="shared" si="22"/>
        <v>525</v>
      </c>
      <c r="D220">
        <f t="shared" si="23"/>
        <v>802</v>
      </c>
      <c r="E220">
        <f t="shared" si="24"/>
        <v>27</v>
      </c>
      <c r="F220">
        <f t="shared" si="25"/>
        <v>1</v>
      </c>
      <c r="G220">
        <f t="shared" si="28"/>
        <v>4</v>
      </c>
      <c r="H220">
        <f t="shared" si="26"/>
        <v>4</v>
      </c>
      <c r="I220" s="9" t="str">
        <f t="shared" si="27"/>
        <v>144</v>
      </c>
      <c r="Q220" s="1">
        <v>0.99553219251339597</v>
      </c>
      <c r="R220" s="1">
        <v>0.31910325508848358</v>
      </c>
    </row>
    <row r="221" spans="1:18" x14ac:dyDescent="0.35">
      <c r="A221" t="s">
        <v>223</v>
      </c>
      <c r="B221" s="2">
        <v>45353</v>
      </c>
      <c r="C221" s="3">
        <f t="shared" si="22"/>
        <v>485</v>
      </c>
      <c r="D221">
        <f t="shared" si="23"/>
        <v>730</v>
      </c>
      <c r="E221">
        <f t="shared" si="24"/>
        <v>24</v>
      </c>
      <c r="F221">
        <f t="shared" si="25"/>
        <v>1</v>
      </c>
      <c r="G221">
        <f t="shared" si="28"/>
        <v>2</v>
      </c>
      <c r="H221">
        <f t="shared" si="26"/>
        <v>2</v>
      </c>
      <c r="I221" s="9" t="str">
        <f t="shared" si="27"/>
        <v>122</v>
      </c>
      <c r="Q221" s="1">
        <v>0.27039816976575737</v>
      </c>
      <c r="R221" s="1">
        <v>0.55919528067399804</v>
      </c>
    </row>
    <row r="222" spans="1:18" x14ac:dyDescent="0.35">
      <c r="A222" t="s">
        <v>224</v>
      </c>
      <c r="B222" s="2">
        <v>45633</v>
      </c>
      <c r="C222" s="3">
        <f t="shared" si="22"/>
        <v>205</v>
      </c>
      <c r="D222">
        <f t="shared" si="23"/>
        <v>276</v>
      </c>
      <c r="E222">
        <f t="shared" si="24"/>
        <v>9</v>
      </c>
      <c r="F222">
        <f t="shared" si="25"/>
        <v>4</v>
      </c>
      <c r="G222">
        <f t="shared" si="28"/>
        <v>1</v>
      </c>
      <c r="H222">
        <f t="shared" si="26"/>
        <v>1</v>
      </c>
      <c r="I222" s="9" t="str">
        <f t="shared" si="27"/>
        <v>411</v>
      </c>
      <c r="Q222" s="1">
        <v>0.25023717420986391</v>
      </c>
      <c r="R222" s="1">
        <v>0.12336205916474385</v>
      </c>
    </row>
    <row r="223" spans="1:18" x14ac:dyDescent="0.35">
      <c r="A223" t="s">
        <v>225</v>
      </c>
      <c r="B223" s="2">
        <v>45318</v>
      </c>
      <c r="C223" s="3">
        <f t="shared" si="22"/>
        <v>520</v>
      </c>
      <c r="D223">
        <f t="shared" si="23"/>
        <v>870</v>
      </c>
      <c r="E223">
        <f t="shared" si="24"/>
        <v>29</v>
      </c>
      <c r="F223">
        <f t="shared" si="25"/>
        <v>1</v>
      </c>
      <c r="G223">
        <f t="shared" si="28"/>
        <v>4</v>
      </c>
      <c r="H223">
        <f t="shared" si="26"/>
        <v>4</v>
      </c>
      <c r="I223" s="9" t="str">
        <f t="shared" si="27"/>
        <v>144</v>
      </c>
      <c r="Q223" s="1">
        <v>0.43650827679844451</v>
      </c>
      <c r="R223" s="1">
        <v>0.62534858605321364</v>
      </c>
    </row>
    <row r="224" spans="1:18" x14ac:dyDescent="0.35">
      <c r="A224" t="s">
        <v>226</v>
      </c>
      <c r="B224" s="2">
        <v>45703</v>
      </c>
      <c r="C224" s="3">
        <f t="shared" si="22"/>
        <v>135</v>
      </c>
      <c r="D224">
        <f t="shared" si="23"/>
        <v>1191</v>
      </c>
      <c r="E224">
        <f t="shared" si="24"/>
        <v>40</v>
      </c>
      <c r="F224">
        <f t="shared" si="25"/>
        <v>4</v>
      </c>
      <c r="G224">
        <f t="shared" si="28"/>
        <v>5</v>
      </c>
      <c r="H224">
        <f t="shared" si="26"/>
        <v>5</v>
      </c>
      <c r="I224" s="9" t="str">
        <f t="shared" si="27"/>
        <v>455</v>
      </c>
      <c r="Q224" s="1">
        <v>0.92049927319733038</v>
      </c>
      <c r="R224" s="1">
        <v>0.73193196759940005</v>
      </c>
    </row>
    <row r="225" spans="1:18" x14ac:dyDescent="0.35">
      <c r="A225" t="s">
        <v>227</v>
      </c>
      <c r="B225" s="2">
        <v>45775</v>
      </c>
      <c r="C225" s="3">
        <f t="shared" si="22"/>
        <v>63</v>
      </c>
      <c r="D225">
        <f t="shared" si="23"/>
        <v>508</v>
      </c>
      <c r="E225">
        <f t="shared" si="24"/>
        <v>17</v>
      </c>
      <c r="F225">
        <f t="shared" si="25"/>
        <v>5</v>
      </c>
      <c r="G225">
        <f t="shared" si="28"/>
        <v>2</v>
      </c>
      <c r="H225">
        <f t="shared" si="26"/>
        <v>2</v>
      </c>
      <c r="I225" s="9" t="str">
        <f t="shared" si="27"/>
        <v>522</v>
      </c>
      <c r="Q225" s="1">
        <v>4.195418316250954E-2</v>
      </c>
      <c r="R225" s="1">
        <v>0.43991520693906272</v>
      </c>
    </row>
    <row r="226" spans="1:18" x14ac:dyDescent="0.35">
      <c r="A226" t="s">
        <v>228</v>
      </c>
      <c r="B226" s="2">
        <v>45765</v>
      </c>
      <c r="C226" s="3">
        <f t="shared" si="22"/>
        <v>73</v>
      </c>
      <c r="D226">
        <f t="shared" si="23"/>
        <v>642</v>
      </c>
      <c r="E226">
        <f t="shared" si="24"/>
        <v>21</v>
      </c>
      <c r="F226">
        <f t="shared" si="25"/>
        <v>5</v>
      </c>
      <c r="G226">
        <f t="shared" si="28"/>
        <v>2</v>
      </c>
      <c r="H226">
        <f t="shared" si="26"/>
        <v>2</v>
      </c>
      <c r="I226" s="9" t="str">
        <f t="shared" si="27"/>
        <v>522</v>
      </c>
      <c r="Q226" s="1">
        <v>0.80786626111179261</v>
      </c>
      <c r="R226" s="1">
        <v>0.24242875024260468</v>
      </c>
    </row>
    <row r="227" spans="1:18" x14ac:dyDescent="0.35">
      <c r="A227" t="s">
        <v>229</v>
      </c>
      <c r="B227" s="2">
        <v>45780</v>
      </c>
      <c r="C227" s="3">
        <f t="shared" si="22"/>
        <v>58</v>
      </c>
      <c r="D227">
        <f t="shared" si="23"/>
        <v>1135</v>
      </c>
      <c r="E227">
        <f t="shared" si="24"/>
        <v>38</v>
      </c>
      <c r="F227">
        <f t="shared" si="25"/>
        <v>5</v>
      </c>
      <c r="G227">
        <f t="shared" si="28"/>
        <v>5</v>
      </c>
      <c r="H227">
        <f t="shared" si="26"/>
        <v>5</v>
      </c>
      <c r="I227" s="9" t="str">
        <f t="shared" si="27"/>
        <v>555</v>
      </c>
      <c r="Q227" s="1">
        <v>0.31182348390580517</v>
      </c>
      <c r="R227" s="1">
        <v>0.9382707654808764</v>
      </c>
    </row>
    <row r="228" spans="1:18" x14ac:dyDescent="0.35">
      <c r="A228" t="s">
        <v>230</v>
      </c>
      <c r="B228" s="2">
        <v>45517</v>
      </c>
      <c r="C228" s="3">
        <f t="shared" si="22"/>
        <v>321</v>
      </c>
      <c r="D228">
        <f t="shared" si="23"/>
        <v>1010</v>
      </c>
      <c r="E228">
        <f t="shared" si="24"/>
        <v>34</v>
      </c>
      <c r="F228">
        <f t="shared" si="25"/>
        <v>2</v>
      </c>
      <c r="G228">
        <f t="shared" si="28"/>
        <v>4</v>
      </c>
      <c r="H228">
        <f t="shared" si="26"/>
        <v>4</v>
      </c>
      <c r="I228" s="9" t="str">
        <f t="shared" si="27"/>
        <v>244</v>
      </c>
      <c r="Q228" s="1">
        <v>0.36403612039296718</v>
      </c>
      <c r="R228" s="1">
        <v>0.79356799138029177</v>
      </c>
    </row>
    <row r="229" spans="1:18" x14ac:dyDescent="0.35">
      <c r="A229" t="s">
        <v>231</v>
      </c>
      <c r="B229" s="2">
        <v>45521</v>
      </c>
      <c r="C229" s="3">
        <f t="shared" si="22"/>
        <v>317</v>
      </c>
      <c r="D229">
        <f t="shared" si="23"/>
        <v>272</v>
      </c>
      <c r="E229">
        <f t="shared" si="24"/>
        <v>9</v>
      </c>
      <c r="F229">
        <f t="shared" si="25"/>
        <v>2</v>
      </c>
      <c r="G229">
        <f t="shared" si="28"/>
        <v>1</v>
      </c>
      <c r="H229">
        <f t="shared" si="26"/>
        <v>1</v>
      </c>
      <c r="I229" s="9" t="str">
        <f t="shared" si="27"/>
        <v>211</v>
      </c>
      <c r="Q229" s="1">
        <v>0.12135054314625948</v>
      </c>
      <c r="R229" s="1">
        <v>0.17451063493394081</v>
      </c>
    </row>
    <row r="230" spans="1:18" x14ac:dyDescent="0.35">
      <c r="A230" t="s">
        <v>232</v>
      </c>
      <c r="B230" s="2">
        <v>45344</v>
      </c>
      <c r="C230" s="3">
        <f t="shared" si="22"/>
        <v>494</v>
      </c>
      <c r="D230">
        <f t="shared" si="23"/>
        <v>213</v>
      </c>
      <c r="E230">
        <f t="shared" si="24"/>
        <v>7</v>
      </c>
      <c r="F230">
        <f t="shared" si="25"/>
        <v>1</v>
      </c>
      <c r="G230">
        <f t="shared" si="28"/>
        <v>1</v>
      </c>
      <c r="H230">
        <f t="shared" si="26"/>
        <v>1</v>
      </c>
      <c r="I230" s="9" t="str">
        <f t="shared" si="27"/>
        <v>111</v>
      </c>
      <c r="Q230" s="1">
        <v>0.38302172419397407</v>
      </c>
      <c r="R230" s="1">
        <v>5.467506358996177E-3</v>
      </c>
    </row>
    <row r="231" spans="1:18" x14ac:dyDescent="0.35">
      <c r="A231" t="s">
        <v>233</v>
      </c>
      <c r="B231" s="2">
        <v>45354</v>
      </c>
      <c r="C231" s="3">
        <f t="shared" si="22"/>
        <v>484</v>
      </c>
      <c r="D231">
        <f t="shared" si="23"/>
        <v>837</v>
      </c>
      <c r="E231">
        <f t="shared" si="24"/>
        <v>28</v>
      </c>
      <c r="F231">
        <f t="shared" si="25"/>
        <v>1</v>
      </c>
      <c r="G231">
        <f t="shared" si="28"/>
        <v>4</v>
      </c>
      <c r="H231">
        <f t="shared" si="26"/>
        <v>4</v>
      </c>
      <c r="I231" s="9" t="str">
        <f t="shared" si="27"/>
        <v>144</v>
      </c>
      <c r="Q231" s="1">
        <v>0.23024811098259146</v>
      </c>
      <c r="R231" s="1">
        <v>0.68130328392342299</v>
      </c>
    </row>
    <row r="232" spans="1:18" x14ac:dyDescent="0.35">
      <c r="A232" t="s">
        <v>234</v>
      </c>
      <c r="B232" s="2">
        <v>45372</v>
      </c>
      <c r="C232" s="3">
        <f t="shared" si="22"/>
        <v>466</v>
      </c>
      <c r="D232">
        <f t="shared" si="23"/>
        <v>300</v>
      </c>
      <c r="E232">
        <f t="shared" si="24"/>
        <v>10</v>
      </c>
      <c r="F232">
        <f t="shared" si="25"/>
        <v>1</v>
      </c>
      <c r="G232">
        <f t="shared" si="28"/>
        <v>1</v>
      </c>
      <c r="H232">
        <f t="shared" si="26"/>
        <v>1</v>
      </c>
      <c r="I232" s="9" t="str">
        <f t="shared" si="27"/>
        <v>111</v>
      </c>
      <c r="Q232" s="1">
        <v>0.43551040157690857</v>
      </c>
      <c r="R232" s="1">
        <v>6.759282936114519E-2</v>
      </c>
    </row>
    <row r="233" spans="1:18" x14ac:dyDescent="0.35">
      <c r="A233" t="s">
        <v>235</v>
      </c>
      <c r="B233" s="2">
        <v>45326</v>
      </c>
      <c r="C233" s="3">
        <f t="shared" si="22"/>
        <v>512</v>
      </c>
      <c r="D233">
        <f t="shared" si="23"/>
        <v>354</v>
      </c>
      <c r="E233">
        <f t="shared" si="24"/>
        <v>12</v>
      </c>
      <c r="F233">
        <f t="shared" si="25"/>
        <v>1</v>
      </c>
      <c r="G233">
        <f t="shared" si="28"/>
        <v>1</v>
      </c>
      <c r="H233">
        <f t="shared" si="26"/>
        <v>1</v>
      </c>
      <c r="I233" s="9" t="str">
        <f t="shared" si="27"/>
        <v>111</v>
      </c>
      <c r="Q233" s="1">
        <v>0.47922941528386598</v>
      </c>
      <c r="R233" s="1">
        <v>0.10136922717807173</v>
      </c>
    </row>
    <row r="234" spans="1:18" x14ac:dyDescent="0.35">
      <c r="A234" t="s">
        <v>236</v>
      </c>
      <c r="B234" s="2">
        <v>45757</v>
      </c>
      <c r="C234" s="3">
        <f t="shared" si="22"/>
        <v>81</v>
      </c>
      <c r="D234">
        <f t="shared" si="23"/>
        <v>1254</v>
      </c>
      <c r="E234">
        <f t="shared" si="24"/>
        <v>42</v>
      </c>
      <c r="F234">
        <f t="shared" si="25"/>
        <v>5</v>
      </c>
      <c r="G234">
        <f t="shared" si="28"/>
        <v>5</v>
      </c>
      <c r="H234">
        <f t="shared" si="26"/>
        <v>5</v>
      </c>
      <c r="I234" s="9" t="str">
        <f t="shared" si="27"/>
        <v>555</v>
      </c>
      <c r="Q234" s="1">
        <v>0.55596186776635315</v>
      </c>
      <c r="R234" s="1">
        <v>0.94914868249671447</v>
      </c>
    </row>
    <row r="235" spans="1:18" x14ac:dyDescent="0.35">
      <c r="A235" t="s">
        <v>237</v>
      </c>
      <c r="B235" s="2">
        <v>45373</v>
      </c>
      <c r="C235" s="3">
        <f t="shared" si="22"/>
        <v>465</v>
      </c>
      <c r="D235">
        <f t="shared" si="23"/>
        <v>230</v>
      </c>
      <c r="E235">
        <f t="shared" si="24"/>
        <v>7</v>
      </c>
      <c r="F235">
        <f t="shared" si="25"/>
        <v>1</v>
      </c>
      <c r="G235">
        <f t="shared" si="28"/>
        <v>1</v>
      </c>
      <c r="H235">
        <f t="shared" si="26"/>
        <v>1</v>
      </c>
      <c r="I235" s="9" t="str">
        <f t="shared" si="27"/>
        <v>111</v>
      </c>
      <c r="Q235" s="1">
        <v>0.21762085256738306</v>
      </c>
      <c r="R235" s="1">
        <v>9.2572389414267708E-2</v>
      </c>
    </row>
    <row r="236" spans="1:18" x14ac:dyDescent="0.35">
      <c r="A236" t="s">
        <v>238</v>
      </c>
      <c r="B236" s="2">
        <v>45653</v>
      </c>
      <c r="C236" s="3">
        <f t="shared" si="22"/>
        <v>185</v>
      </c>
      <c r="D236">
        <f t="shared" si="23"/>
        <v>1093</v>
      </c>
      <c r="E236">
        <f t="shared" si="24"/>
        <v>36</v>
      </c>
      <c r="F236">
        <f t="shared" si="25"/>
        <v>4</v>
      </c>
      <c r="G236">
        <f t="shared" si="28"/>
        <v>5</v>
      </c>
      <c r="H236">
        <f t="shared" si="26"/>
        <v>5</v>
      </c>
      <c r="I236" s="9" t="str">
        <f t="shared" si="27"/>
        <v>455</v>
      </c>
      <c r="Q236" s="1">
        <v>9.0717829205854472E-2</v>
      </c>
      <c r="R236" s="1">
        <v>0.99185057461109127</v>
      </c>
    </row>
    <row r="237" spans="1:18" x14ac:dyDescent="0.35">
      <c r="A237" t="s">
        <v>239</v>
      </c>
      <c r="B237" s="2">
        <v>45586</v>
      </c>
      <c r="C237" s="3">
        <f t="shared" si="22"/>
        <v>252</v>
      </c>
      <c r="D237">
        <f t="shared" si="23"/>
        <v>1072</v>
      </c>
      <c r="E237">
        <f t="shared" si="24"/>
        <v>36</v>
      </c>
      <c r="F237">
        <f t="shared" si="25"/>
        <v>4</v>
      </c>
      <c r="G237">
        <f t="shared" si="28"/>
        <v>5</v>
      </c>
      <c r="H237">
        <f t="shared" si="26"/>
        <v>5</v>
      </c>
      <c r="I237" s="9" t="str">
        <f t="shared" si="27"/>
        <v>455</v>
      </c>
      <c r="Q237" s="1">
        <v>7.3728296566731077E-2</v>
      </c>
      <c r="R237" s="1">
        <v>0.97770492480000326</v>
      </c>
    </row>
    <row r="238" spans="1:18" x14ac:dyDescent="0.35">
      <c r="A238" t="s">
        <v>240</v>
      </c>
      <c r="B238" s="2">
        <v>45662</v>
      </c>
      <c r="C238" s="3">
        <f t="shared" si="22"/>
        <v>176</v>
      </c>
      <c r="D238">
        <f t="shared" si="23"/>
        <v>729</v>
      </c>
      <c r="E238">
        <f t="shared" si="24"/>
        <v>24</v>
      </c>
      <c r="F238">
        <f t="shared" si="25"/>
        <v>4</v>
      </c>
      <c r="G238">
        <f t="shared" si="28"/>
        <v>2</v>
      </c>
      <c r="H238">
        <f t="shared" si="26"/>
        <v>2</v>
      </c>
      <c r="I238" s="9" t="str">
        <f t="shared" si="27"/>
        <v>422</v>
      </c>
      <c r="Q238" s="1">
        <v>0.72664121594596864</v>
      </c>
      <c r="R238" s="1">
        <v>0.36320400773932682</v>
      </c>
    </row>
    <row r="239" spans="1:18" x14ac:dyDescent="0.35">
      <c r="A239" t="s">
        <v>241</v>
      </c>
      <c r="B239" s="2">
        <v>45650</v>
      </c>
      <c r="C239" s="3">
        <f t="shared" si="22"/>
        <v>188</v>
      </c>
      <c r="D239">
        <f t="shared" si="23"/>
        <v>1046</v>
      </c>
      <c r="E239">
        <f t="shared" si="24"/>
        <v>35</v>
      </c>
      <c r="F239">
        <f t="shared" si="25"/>
        <v>4</v>
      </c>
      <c r="G239">
        <f t="shared" si="28"/>
        <v>4</v>
      </c>
      <c r="H239">
        <f t="shared" si="26"/>
        <v>4</v>
      </c>
      <c r="I239" s="9" t="str">
        <f t="shared" si="27"/>
        <v>444</v>
      </c>
      <c r="Q239" s="1">
        <v>0.79972947616976686</v>
      </c>
      <c r="R239" s="1">
        <v>0.64142207007118102</v>
      </c>
    </row>
    <row r="240" spans="1:18" x14ac:dyDescent="0.35">
      <c r="A240" t="s">
        <v>242</v>
      </c>
      <c r="B240" s="2">
        <v>45831</v>
      </c>
      <c r="C240" s="3">
        <f t="shared" si="22"/>
        <v>7</v>
      </c>
      <c r="D240">
        <f t="shared" si="23"/>
        <v>741</v>
      </c>
      <c r="E240">
        <f t="shared" si="24"/>
        <v>25</v>
      </c>
      <c r="F240">
        <f t="shared" si="25"/>
        <v>5</v>
      </c>
      <c r="G240">
        <f t="shared" si="28"/>
        <v>2</v>
      </c>
      <c r="H240">
        <f t="shared" si="26"/>
        <v>2</v>
      </c>
      <c r="I240" s="9" t="str">
        <f t="shared" si="27"/>
        <v>522</v>
      </c>
      <c r="Q240" s="1">
        <v>0.32761671726015118</v>
      </c>
      <c r="R240" s="1">
        <v>0.54523960562476714</v>
      </c>
    </row>
    <row r="241" spans="1:18" x14ac:dyDescent="0.35">
      <c r="A241" t="s">
        <v>243</v>
      </c>
      <c r="B241" s="2">
        <v>45544</v>
      </c>
      <c r="C241" s="3">
        <f t="shared" si="22"/>
        <v>294</v>
      </c>
      <c r="D241">
        <f t="shared" si="23"/>
        <v>321</v>
      </c>
      <c r="E241">
        <f t="shared" si="24"/>
        <v>10</v>
      </c>
      <c r="F241">
        <f t="shared" si="25"/>
        <v>2</v>
      </c>
      <c r="G241">
        <f t="shared" si="28"/>
        <v>1</v>
      </c>
      <c r="H241">
        <f t="shared" si="26"/>
        <v>1</v>
      </c>
      <c r="I241" s="9" t="str">
        <f t="shared" si="27"/>
        <v>211</v>
      </c>
      <c r="Q241" s="1">
        <v>0.32015767893739766</v>
      </c>
      <c r="R241" s="1">
        <v>0.13821677107874775</v>
      </c>
    </row>
    <row r="242" spans="1:18" x14ac:dyDescent="0.35">
      <c r="A242" t="s">
        <v>244</v>
      </c>
      <c r="B242" s="2">
        <v>45435</v>
      </c>
      <c r="C242" s="3">
        <f t="shared" si="22"/>
        <v>403</v>
      </c>
      <c r="D242">
        <f t="shared" si="23"/>
        <v>689</v>
      </c>
      <c r="E242">
        <f t="shared" si="24"/>
        <v>23</v>
      </c>
      <c r="F242">
        <f t="shared" si="25"/>
        <v>2</v>
      </c>
      <c r="G242">
        <f t="shared" si="28"/>
        <v>2</v>
      </c>
      <c r="H242">
        <f t="shared" si="26"/>
        <v>2</v>
      </c>
      <c r="I242" s="9" t="str">
        <f t="shared" si="27"/>
        <v>222</v>
      </c>
      <c r="Q242" s="1">
        <v>0.55499465427431594</v>
      </c>
      <c r="R242" s="1">
        <v>0.39748713829295179</v>
      </c>
    </row>
    <row r="243" spans="1:18" x14ac:dyDescent="0.35">
      <c r="A243" t="s">
        <v>245</v>
      </c>
      <c r="B243" s="2">
        <v>45825</v>
      </c>
      <c r="C243" s="3">
        <f t="shared" si="22"/>
        <v>13</v>
      </c>
      <c r="D243">
        <f t="shared" si="23"/>
        <v>1091</v>
      </c>
      <c r="E243">
        <f t="shared" si="24"/>
        <v>36</v>
      </c>
      <c r="F243">
        <f t="shared" si="25"/>
        <v>5</v>
      </c>
      <c r="G243">
        <f t="shared" si="28"/>
        <v>5</v>
      </c>
      <c r="H243">
        <f t="shared" si="26"/>
        <v>5</v>
      </c>
      <c r="I243" s="9" t="str">
        <f t="shared" si="27"/>
        <v>555</v>
      </c>
      <c r="Q243" s="1">
        <v>0.33440657712362265</v>
      </c>
      <c r="R243" s="1">
        <v>0.88490071387781</v>
      </c>
    </row>
    <row r="244" spans="1:18" x14ac:dyDescent="0.35">
      <c r="A244" t="s">
        <v>246</v>
      </c>
      <c r="B244" s="2">
        <v>45542</v>
      </c>
      <c r="C244" s="3">
        <f t="shared" si="22"/>
        <v>296</v>
      </c>
      <c r="D244">
        <f t="shared" si="23"/>
        <v>354</v>
      </c>
      <c r="E244">
        <f t="shared" si="24"/>
        <v>12</v>
      </c>
      <c r="F244">
        <f t="shared" si="25"/>
        <v>2</v>
      </c>
      <c r="G244">
        <f t="shared" si="28"/>
        <v>1</v>
      </c>
      <c r="H244">
        <f t="shared" si="26"/>
        <v>1</v>
      </c>
      <c r="I244" s="9" t="str">
        <f t="shared" si="27"/>
        <v>211</v>
      </c>
      <c r="Q244" s="1">
        <v>0.12658118129731422</v>
      </c>
      <c r="R244" s="1">
        <v>0.25295514031685185</v>
      </c>
    </row>
    <row r="245" spans="1:18" x14ac:dyDescent="0.35">
      <c r="A245" t="s">
        <v>247</v>
      </c>
      <c r="B245" s="2">
        <v>45316</v>
      </c>
      <c r="C245" s="3">
        <f t="shared" si="22"/>
        <v>522</v>
      </c>
      <c r="D245">
        <f t="shared" si="23"/>
        <v>191</v>
      </c>
      <c r="E245">
        <f t="shared" si="24"/>
        <v>6</v>
      </c>
      <c r="F245">
        <f t="shared" si="25"/>
        <v>1</v>
      </c>
      <c r="G245">
        <f t="shared" si="28"/>
        <v>1</v>
      </c>
      <c r="H245">
        <f t="shared" si="26"/>
        <v>1</v>
      </c>
      <c r="I245" s="9" t="str">
        <f t="shared" si="27"/>
        <v>111</v>
      </c>
      <c r="Q245" s="1">
        <v>0.12402138094696857</v>
      </c>
      <c r="R245" s="1">
        <v>9.4813667126636303E-2</v>
      </c>
    </row>
    <row r="246" spans="1:18" x14ac:dyDescent="0.35">
      <c r="A246" t="s">
        <v>248</v>
      </c>
      <c r="B246" s="2">
        <v>45531</v>
      </c>
      <c r="C246" s="3">
        <f t="shared" si="22"/>
        <v>307</v>
      </c>
      <c r="D246">
        <f t="shared" si="23"/>
        <v>1032</v>
      </c>
      <c r="E246">
        <f t="shared" si="24"/>
        <v>34</v>
      </c>
      <c r="F246">
        <f t="shared" si="25"/>
        <v>2</v>
      </c>
      <c r="G246">
        <f t="shared" si="28"/>
        <v>4</v>
      </c>
      <c r="H246">
        <f t="shared" si="26"/>
        <v>4</v>
      </c>
      <c r="I246" s="9" t="str">
        <f t="shared" si="27"/>
        <v>244</v>
      </c>
      <c r="Q246" s="1">
        <v>0.19272130387158604</v>
      </c>
      <c r="R246" s="1">
        <v>0.8876541736182314</v>
      </c>
    </row>
    <row r="247" spans="1:18" x14ac:dyDescent="0.35">
      <c r="A247" t="s">
        <v>249</v>
      </c>
      <c r="B247" s="2">
        <v>45640</v>
      </c>
      <c r="C247" s="3">
        <f t="shared" si="22"/>
        <v>198</v>
      </c>
      <c r="D247">
        <f t="shared" si="23"/>
        <v>235</v>
      </c>
      <c r="E247">
        <f t="shared" si="24"/>
        <v>8</v>
      </c>
      <c r="F247">
        <f t="shared" si="25"/>
        <v>4</v>
      </c>
      <c r="G247">
        <f t="shared" si="28"/>
        <v>1</v>
      </c>
      <c r="H247">
        <f t="shared" si="26"/>
        <v>1</v>
      </c>
      <c r="I247" s="9" t="str">
        <f t="shared" si="27"/>
        <v>411</v>
      </c>
      <c r="Q247" s="1">
        <v>0.37878197424773041</v>
      </c>
      <c r="R247" s="1">
        <v>2.889045130312673E-2</v>
      </c>
    </row>
    <row r="248" spans="1:18" x14ac:dyDescent="0.35">
      <c r="A248" t="s">
        <v>250</v>
      </c>
      <c r="B248" s="2">
        <v>45384</v>
      </c>
      <c r="C248" s="3">
        <f t="shared" si="22"/>
        <v>454</v>
      </c>
      <c r="D248">
        <f t="shared" si="23"/>
        <v>677</v>
      </c>
      <c r="E248">
        <f t="shared" si="24"/>
        <v>22</v>
      </c>
      <c r="F248">
        <f t="shared" si="25"/>
        <v>1</v>
      </c>
      <c r="G248">
        <f t="shared" si="28"/>
        <v>2</v>
      </c>
      <c r="H248">
        <f t="shared" si="26"/>
        <v>2</v>
      </c>
      <c r="I248" s="9" t="str">
        <f t="shared" si="27"/>
        <v>122</v>
      </c>
      <c r="Q248" s="1">
        <v>0.60061582937789848</v>
      </c>
      <c r="R248" s="1">
        <v>0.36541765493164258</v>
      </c>
    </row>
    <row r="249" spans="1:18" x14ac:dyDescent="0.35">
      <c r="A249" t="s">
        <v>251</v>
      </c>
      <c r="B249" s="2">
        <v>45492</v>
      </c>
      <c r="C249" s="3">
        <f t="shared" si="22"/>
        <v>346</v>
      </c>
      <c r="D249">
        <f t="shared" si="23"/>
        <v>1064</v>
      </c>
      <c r="E249">
        <f t="shared" si="24"/>
        <v>35</v>
      </c>
      <c r="F249">
        <f t="shared" si="25"/>
        <v>2</v>
      </c>
      <c r="G249">
        <f t="shared" si="28"/>
        <v>4</v>
      </c>
      <c r="H249">
        <f t="shared" si="26"/>
        <v>5</v>
      </c>
      <c r="I249" s="9" t="str">
        <f t="shared" si="27"/>
        <v>245</v>
      </c>
      <c r="Q249" s="1">
        <v>3.2568502930395704E-2</v>
      </c>
      <c r="R249" s="1">
        <v>0.98822609026118347</v>
      </c>
    </row>
    <row r="250" spans="1:18" x14ac:dyDescent="0.35">
      <c r="A250" t="s">
        <v>252</v>
      </c>
      <c r="B250" s="2">
        <v>45351</v>
      </c>
      <c r="C250" s="3">
        <f t="shared" si="22"/>
        <v>487</v>
      </c>
      <c r="D250">
        <f t="shared" si="23"/>
        <v>619</v>
      </c>
      <c r="E250">
        <f t="shared" si="24"/>
        <v>20</v>
      </c>
      <c r="F250">
        <f t="shared" si="25"/>
        <v>1</v>
      </c>
      <c r="G250">
        <f t="shared" si="28"/>
        <v>2</v>
      </c>
      <c r="H250">
        <f t="shared" si="26"/>
        <v>2</v>
      </c>
      <c r="I250" s="9" t="str">
        <f t="shared" si="27"/>
        <v>122</v>
      </c>
      <c r="Q250" s="1">
        <v>0.48419685054515071</v>
      </c>
      <c r="R250" s="1">
        <v>0.35854754025772739</v>
      </c>
    </row>
    <row r="251" spans="1:18" x14ac:dyDescent="0.35">
      <c r="A251" t="s">
        <v>253</v>
      </c>
      <c r="B251" s="2">
        <v>45377</v>
      </c>
      <c r="C251" s="3">
        <f t="shared" si="22"/>
        <v>461</v>
      </c>
      <c r="D251">
        <f t="shared" si="23"/>
        <v>633</v>
      </c>
      <c r="E251">
        <f t="shared" si="24"/>
        <v>21</v>
      </c>
      <c r="F251">
        <f t="shared" si="25"/>
        <v>1</v>
      </c>
      <c r="G251">
        <f t="shared" si="28"/>
        <v>2</v>
      </c>
      <c r="H251">
        <f t="shared" si="26"/>
        <v>2</v>
      </c>
      <c r="I251" s="9" t="str">
        <f t="shared" si="27"/>
        <v>122</v>
      </c>
      <c r="Q251" s="1">
        <v>0.20574790905632856</v>
      </c>
      <c r="R251" s="1">
        <v>0.49230732809492939</v>
      </c>
    </row>
    <row r="252" spans="1:18" x14ac:dyDescent="0.35">
      <c r="A252" t="s">
        <v>254</v>
      </c>
      <c r="B252" s="2">
        <v>45610</v>
      </c>
      <c r="C252" s="3">
        <f t="shared" si="22"/>
        <v>228</v>
      </c>
      <c r="D252">
        <f t="shared" si="23"/>
        <v>575</v>
      </c>
      <c r="E252">
        <f t="shared" si="24"/>
        <v>19</v>
      </c>
      <c r="F252">
        <f t="shared" si="25"/>
        <v>4</v>
      </c>
      <c r="G252">
        <f t="shared" si="28"/>
        <v>2</v>
      </c>
      <c r="H252">
        <f t="shared" si="26"/>
        <v>2</v>
      </c>
      <c r="I252" s="9" t="str">
        <f t="shared" si="27"/>
        <v>422</v>
      </c>
      <c r="Q252" s="1">
        <v>0.93196657897218238</v>
      </c>
      <c r="R252" s="1">
        <v>0.12358508791727429</v>
      </c>
    </row>
    <row r="253" spans="1:18" x14ac:dyDescent="0.35">
      <c r="A253" t="s">
        <v>255</v>
      </c>
      <c r="B253" s="2">
        <v>45804</v>
      </c>
      <c r="C253" s="3">
        <f t="shared" si="22"/>
        <v>34</v>
      </c>
      <c r="D253">
        <f t="shared" si="23"/>
        <v>1173</v>
      </c>
      <c r="E253">
        <f t="shared" si="24"/>
        <v>39</v>
      </c>
      <c r="F253">
        <f t="shared" si="25"/>
        <v>5</v>
      </c>
      <c r="G253">
        <f t="shared" si="28"/>
        <v>5</v>
      </c>
      <c r="H253">
        <f t="shared" si="26"/>
        <v>5</v>
      </c>
      <c r="I253" s="9" t="str">
        <f t="shared" si="27"/>
        <v>555</v>
      </c>
      <c r="Q253" s="1">
        <v>0.46973034897313548</v>
      </c>
      <c r="R253" s="1">
        <v>0.90744294477305842</v>
      </c>
    </row>
    <row r="254" spans="1:18" x14ac:dyDescent="0.35">
      <c r="A254" t="s">
        <v>256</v>
      </c>
      <c r="B254" s="2">
        <v>45562</v>
      </c>
      <c r="C254" s="3">
        <f t="shared" si="22"/>
        <v>276</v>
      </c>
      <c r="D254">
        <f t="shared" si="23"/>
        <v>858</v>
      </c>
      <c r="E254">
        <f t="shared" si="24"/>
        <v>28</v>
      </c>
      <c r="F254">
        <f t="shared" si="25"/>
        <v>3</v>
      </c>
      <c r="G254">
        <f t="shared" si="28"/>
        <v>4</v>
      </c>
      <c r="H254">
        <f t="shared" si="26"/>
        <v>4</v>
      </c>
      <c r="I254" s="9" t="str">
        <f t="shared" si="27"/>
        <v>344</v>
      </c>
      <c r="Q254" s="1">
        <v>0.94340518234664883</v>
      </c>
      <c r="R254" s="1">
        <v>0.3962199432805763</v>
      </c>
    </row>
    <row r="255" spans="1:18" x14ac:dyDescent="0.35">
      <c r="A255" t="s">
        <v>257</v>
      </c>
      <c r="B255" s="2">
        <v>45836</v>
      </c>
      <c r="C255" s="3">
        <f t="shared" si="22"/>
        <v>2</v>
      </c>
      <c r="D255">
        <f t="shared" si="23"/>
        <v>1147</v>
      </c>
      <c r="E255">
        <f t="shared" si="24"/>
        <v>38</v>
      </c>
      <c r="F255">
        <f t="shared" si="25"/>
        <v>5</v>
      </c>
      <c r="G255">
        <f t="shared" si="28"/>
        <v>5</v>
      </c>
      <c r="H255">
        <f t="shared" si="26"/>
        <v>5</v>
      </c>
      <c r="I255" s="9" t="str">
        <f t="shared" si="27"/>
        <v>555</v>
      </c>
      <c r="Q255" s="1">
        <v>0.41589369885905902</v>
      </c>
      <c r="R255" s="1">
        <v>0.90500951782566652</v>
      </c>
    </row>
    <row r="256" spans="1:18" x14ac:dyDescent="0.35">
      <c r="A256" t="s">
        <v>258</v>
      </c>
      <c r="B256" s="2">
        <v>45758</v>
      </c>
      <c r="C256" s="3">
        <f t="shared" si="22"/>
        <v>80</v>
      </c>
      <c r="D256">
        <f t="shared" si="23"/>
        <v>836</v>
      </c>
      <c r="E256">
        <f t="shared" si="24"/>
        <v>28</v>
      </c>
      <c r="F256">
        <f t="shared" si="25"/>
        <v>5</v>
      </c>
      <c r="G256">
        <f t="shared" si="28"/>
        <v>4</v>
      </c>
      <c r="H256">
        <f t="shared" si="26"/>
        <v>4</v>
      </c>
      <c r="I256" s="9" t="str">
        <f t="shared" si="27"/>
        <v>544</v>
      </c>
      <c r="Q256" s="1">
        <v>0.16765350255894163</v>
      </c>
      <c r="R256" s="1">
        <v>0.70669318872501352</v>
      </c>
    </row>
    <row r="257" spans="1:18" x14ac:dyDescent="0.35">
      <c r="A257" t="s">
        <v>259</v>
      </c>
      <c r="B257" s="2">
        <v>45536</v>
      </c>
      <c r="C257" s="3">
        <f t="shared" si="22"/>
        <v>302</v>
      </c>
      <c r="D257">
        <f t="shared" si="23"/>
        <v>522</v>
      </c>
      <c r="E257">
        <f t="shared" si="24"/>
        <v>17</v>
      </c>
      <c r="F257">
        <f t="shared" si="25"/>
        <v>2</v>
      </c>
      <c r="G257">
        <f t="shared" si="28"/>
        <v>2</v>
      </c>
      <c r="H257">
        <f t="shared" si="26"/>
        <v>2</v>
      </c>
      <c r="I257" s="9" t="str">
        <f t="shared" si="27"/>
        <v>222</v>
      </c>
      <c r="Q257" s="1">
        <v>0.56146271610715592</v>
      </c>
      <c r="R257" s="1">
        <v>0.23079489650853513</v>
      </c>
    </row>
    <row r="258" spans="1:18" x14ac:dyDescent="0.35">
      <c r="A258" t="s">
        <v>260</v>
      </c>
      <c r="B258" s="2">
        <v>45784</v>
      </c>
      <c r="C258" s="3">
        <f t="shared" si="22"/>
        <v>54</v>
      </c>
      <c r="D258">
        <f t="shared" si="23"/>
        <v>747</v>
      </c>
      <c r="E258">
        <f t="shared" si="24"/>
        <v>25</v>
      </c>
      <c r="F258">
        <f t="shared" si="25"/>
        <v>5</v>
      </c>
      <c r="G258">
        <f t="shared" si="28"/>
        <v>2</v>
      </c>
      <c r="H258">
        <f t="shared" si="26"/>
        <v>2</v>
      </c>
      <c r="I258" s="9" t="str">
        <f t="shared" si="27"/>
        <v>522</v>
      </c>
      <c r="Q258" s="1">
        <v>0.73757233561980029</v>
      </c>
      <c r="R258" s="1">
        <v>0.37521846125621527</v>
      </c>
    </row>
    <row r="259" spans="1:18" x14ac:dyDescent="0.35">
      <c r="A259" t="s">
        <v>261</v>
      </c>
      <c r="B259" s="2">
        <v>45641</v>
      </c>
      <c r="C259" s="3">
        <f t="shared" ref="C259:C322" si="29">$S$6-B259</f>
        <v>197</v>
      </c>
      <c r="D259">
        <f t="shared" ref="D259:D322" si="30">ROUND((R259*0.7+Q259*0.3)*(1500-40)+40,0)</f>
        <v>1037</v>
      </c>
      <c r="E259">
        <f t="shared" ref="E259:E322" si="31">ROUND((R259*0.7+Q259*0.3)*(50-1)+1,0)</f>
        <v>34</v>
      </c>
      <c r="F259">
        <f t="shared" ref="F259:F322" si="32">IF(C259&lt;=$M$4,5,IF(C259&lt;=$M$9,4,IF(C259&lt;=$M$5,3,IF(C259&lt;=$M$6,2,1))))</f>
        <v>4</v>
      </c>
      <c r="G259">
        <f t="shared" si="28"/>
        <v>4</v>
      </c>
      <c r="H259">
        <f t="shared" ref="H259:H322" si="33">IF(D259&lt;=$M$24,1,IF(D259&lt;=$M$25,2,IF(D259&lt;=$M$29,3,IF(D259&lt;=$M$26,4,5))))</f>
        <v>4</v>
      </c>
      <c r="I259" s="9" t="str">
        <f t="shared" ref="I259:I322" si="34">CONCATENATE(F259,G259,H259)</f>
        <v>444</v>
      </c>
      <c r="Q259" s="1">
        <v>0.89329207459953985</v>
      </c>
      <c r="R259" s="1">
        <v>0.59222897075889058</v>
      </c>
    </row>
    <row r="260" spans="1:18" x14ac:dyDescent="0.35">
      <c r="A260" t="s">
        <v>262</v>
      </c>
      <c r="B260" s="2">
        <v>45715</v>
      </c>
      <c r="C260" s="3">
        <f t="shared" si="29"/>
        <v>123</v>
      </c>
      <c r="D260">
        <f t="shared" si="30"/>
        <v>762</v>
      </c>
      <c r="E260">
        <f t="shared" si="31"/>
        <v>25</v>
      </c>
      <c r="F260">
        <f t="shared" si="32"/>
        <v>4</v>
      </c>
      <c r="G260">
        <f t="shared" ref="G260:G323" si="35">IF(E260&lt;=$M$14,1,IF(E260&lt;=$M$15,2,IF(E260&lt;=$M$19,3,IF(E260&lt;=$M$16,4,5))))</f>
        <v>2</v>
      </c>
      <c r="H260">
        <f t="shared" si="33"/>
        <v>2</v>
      </c>
      <c r="I260" s="9" t="str">
        <f t="shared" si="34"/>
        <v>422</v>
      </c>
      <c r="Q260" s="1">
        <v>0.54173824832946604</v>
      </c>
      <c r="R260" s="1">
        <v>0.47413382521857161</v>
      </c>
    </row>
    <row r="261" spans="1:18" x14ac:dyDescent="0.35">
      <c r="A261" t="s">
        <v>263</v>
      </c>
      <c r="B261" s="2">
        <v>45785</v>
      </c>
      <c r="C261" s="3">
        <f t="shared" si="29"/>
        <v>53</v>
      </c>
      <c r="D261">
        <f t="shared" si="30"/>
        <v>246</v>
      </c>
      <c r="E261">
        <f t="shared" si="31"/>
        <v>8</v>
      </c>
      <c r="F261">
        <f t="shared" si="32"/>
        <v>5</v>
      </c>
      <c r="G261">
        <f t="shared" si="35"/>
        <v>1</v>
      </c>
      <c r="H261">
        <f t="shared" si="33"/>
        <v>1</v>
      </c>
      <c r="I261" s="9" t="str">
        <f t="shared" si="34"/>
        <v>511</v>
      </c>
      <c r="Q261" s="1">
        <v>2.8428616812693264E-2</v>
      </c>
      <c r="R261" s="1">
        <v>0.18919466263331297</v>
      </c>
    </row>
    <row r="262" spans="1:18" x14ac:dyDescent="0.35">
      <c r="A262" t="s">
        <v>264</v>
      </c>
      <c r="B262" s="2">
        <v>45441</v>
      </c>
      <c r="C262" s="3">
        <f t="shared" si="29"/>
        <v>397</v>
      </c>
      <c r="D262">
        <f t="shared" si="30"/>
        <v>364</v>
      </c>
      <c r="E262">
        <f t="shared" si="31"/>
        <v>12</v>
      </c>
      <c r="F262">
        <f t="shared" si="32"/>
        <v>2</v>
      </c>
      <c r="G262">
        <f t="shared" si="35"/>
        <v>1</v>
      </c>
      <c r="H262">
        <f t="shared" si="33"/>
        <v>1</v>
      </c>
      <c r="I262" s="9" t="str">
        <f t="shared" si="34"/>
        <v>211</v>
      </c>
      <c r="Q262" s="1">
        <v>0.44773961421164754</v>
      </c>
      <c r="R262" s="1">
        <v>0.12519201727852147</v>
      </c>
    </row>
    <row r="263" spans="1:18" x14ac:dyDescent="0.35">
      <c r="A263" t="s">
        <v>265</v>
      </c>
      <c r="B263" s="2">
        <v>45655</v>
      </c>
      <c r="C263" s="3">
        <f t="shared" si="29"/>
        <v>183</v>
      </c>
      <c r="D263">
        <f t="shared" si="30"/>
        <v>1391</v>
      </c>
      <c r="E263">
        <f t="shared" si="31"/>
        <v>46</v>
      </c>
      <c r="F263">
        <f t="shared" si="32"/>
        <v>4</v>
      </c>
      <c r="G263">
        <f t="shared" si="35"/>
        <v>5</v>
      </c>
      <c r="H263">
        <f t="shared" si="33"/>
        <v>5</v>
      </c>
      <c r="I263" s="9" t="str">
        <f t="shared" si="34"/>
        <v>455</v>
      </c>
      <c r="Q263" s="1">
        <v>0.9775202917917194</v>
      </c>
      <c r="R263" s="1">
        <v>0.90326151029138468</v>
      </c>
    </row>
    <row r="264" spans="1:18" x14ac:dyDescent="0.35">
      <c r="A264" t="s">
        <v>266</v>
      </c>
      <c r="B264" s="2">
        <v>45605</v>
      </c>
      <c r="C264" s="3">
        <f t="shared" si="29"/>
        <v>233</v>
      </c>
      <c r="D264">
        <f t="shared" si="30"/>
        <v>1239</v>
      </c>
      <c r="E264">
        <f t="shared" si="31"/>
        <v>41</v>
      </c>
      <c r="F264">
        <f t="shared" si="32"/>
        <v>4</v>
      </c>
      <c r="G264">
        <f t="shared" si="35"/>
        <v>5</v>
      </c>
      <c r="H264">
        <f t="shared" si="33"/>
        <v>5</v>
      </c>
      <c r="I264" s="9" t="str">
        <f t="shared" si="34"/>
        <v>455</v>
      </c>
      <c r="Q264" s="1">
        <v>0.70140836642083582</v>
      </c>
      <c r="R264" s="1">
        <v>0.87307499932059562</v>
      </c>
    </row>
    <row r="265" spans="1:18" x14ac:dyDescent="0.35">
      <c r="A265" t="s">
        <v>267</v>
      </c>
      <c r="B265" s="2">
        <v>45701</v>
      </c>
      <c r="C265" s="3">
        <f t="shared" si="29"/>
        <v>137</v>
      </c>
      <c r="D265">
        <f t="shared" si="30"/>
        <v>847</v>
      </c>
      <c r="E265">
        <f t="shared" si="31"/>
        <v>28</v>
      </c>
      <c r="F265">
        <f t="shared" si="32"/>
        <v>4</v>
      </c>
      <c r="G265">
        <f t="shared" si="35"/>
        <v>4</v>
      </c>
      <c r="H265">
        <f t="shared" si="33"/>
        <v>4</v>
      </c>
      <c r="I265" s="9" t="str">
        <f t="shared" si="34"/>
        <v>444</v>
      </c>
      <c r="Q265" s="1">
        <v>0.95697713308033983</v>
      </c>
      <c r="R265" s="1">
        <v>0.37983380810540202</v>
      </c>
    </row>
    <row r="266" spans="1:18" x14ac:dyDescent="0.35">
      <c r="A266" t="s">
        <v>268</v>
      </c>
      <c r="B266" s="2">
        <v>45788</v>
      </c>
      <c r="C266" s="3">
        <f t="shared" si="29"/>
        <v>50</v>
      </c>
      <c r="D266">
        <f t="shared" si="30"/>
        <v>524</v>
      </c>
      <c r="E266">
        <f t="shared" si="31"/>
        <v>17</v>
      </c>
      <c r="F266">
        <f t="shared" si="32"/>
        <v>5</v>
      </c>
      <c r="G266">
        <f t="shared" si="35"/>
        <v>2</v>
      </c>
      <c r="H266">
        <f t="shared" si="33"/>
        <v>2</v>
      </c>
      <c r="I266" s="9" t="str">
        <f t="shared" si="34"/>
        <v>522</v>
      </c>
      <c r="Q266" s="1">
        <v>0.67701536540923923</v>
      </c>
      <c r="R266" s="1">
        <v>0.18331039305151176</v>
      </c>
    </row>
    <row r="267" spans="1:18" x14ac:dyDescent="0.35">
      <c r="A267" t="s">
        <v>269</v>
      </c>
      <c r="B267" s="2">
        <v>45338</v>
      </c>
      <c r="C267" s="3">
        <f t="shared" si="29"/>
        <v>500</v>
      </c>
      <c r="D267">
        <f t="shared" si="30"/>
        <v>1110</v>
      </c>
      <c r="E267">
        <f t="shared" si="31"/>
        <v>37</v>
      </c>
      <c r="F267">
        <f t="shared" si="32"/>
        <v>1</v>
      </c>
      <c r="G267">
        <f t="shared" si="35"/>
        <v>5</v>
      </c>
      <c r="H267">
        <f t="shared" si="33"/>
        <v>5</v>
      </c>
      <c r="I267" s="9" t="str">
        <f t="shared" si="34"/>
        <v>155</v>
      </c>
      <c r="Q267" s="1">
        <v>0.65575473300666176</v>
      </c>
      <c r="R267" s="1">
        <v>0.76580504954385487</v>
      </c>
    </row>
    <row r="268" spans="1:18" x14ac:dyDescent="0.35">
      <c r="A268" t="s">
        <v>270</v>
      </c>
      <c r="B268" s="2">
        <v>45585</v>
      </c>
      <c r="C268" s="3">
        <f t="shared" si="29"/>
        <v>253</v>
      </c>
      <c r="D268">
        <f t="shared" si="30"/>
        <v>1138</v>
      </c>
      <c r="E268">
        <f t="shared" si="31"/>
        <v>38</v>
      </c>
      <c r="F268">
        <f t="shared" si="32"/>
        <v>4</v>
      </c>
      <c r="G268">
        <f t="shared" si="35"/>
        <v>5</v>
      </c>
      <c r="H268">
        <f t="shared" si="33"/>
        <v>5</v>
      </c>
      <c r="I268" s="9" t="str">
        <f t="shared" si="34"/>
        <v>455</v>
      </c>
      <c r="Q268" s="1">
        <v>0.71965647642565655</v>
      </c>
      <c r="R268" s="1">
        <v>0.76624363429721487</v>
      </c>
    </row>
    <row r="269" spans="1:18" x14ac:dyDescent="0.35">
      <c r="A269" t="s">
        <v>271</v>
      </c>
      <c r="B269" s="2">
        <v>45331</v>
      </c>
      <c r="C269" s="3">
        <f t="shared" si="29"/>
        <v>507</v>
      </c>
      <c r="D269">
        <f t="shared" si="30"/>
        <v>979</v>
      </c>
      <c r="E269">
        <f t="shared" si="31"/>
        <v>33</v>
      </c>
      <c r="F269">
        <f t="shared" si="32"/>
        <v>1</v>
      </c>
      <c r="G269">
        <f t="shared" si="35"/>
        <v>4</v>
      </c>
      <c r="H269">
        <f t="shared" si="33"/>
        <v>4</v>
      </c>
      <c r="I269" s="9" t="str">
        <f t="shared" si="34"/>
        <v>144</v>
      </c>
      <c r="Q269" s="1">
        <v>2.0842353169912564E-2</v>
      </c>
      <c r="R269" s="1">
        <v>0.91000872331013849</v>
      </c>
    </row>
    <row r="270" spans="1:18" x14ac:dyDescent="0.35">
      <c r="A270" t="s">
        <v>272</v>
      </c>
      <c r="B270" s="2">
        <v>45397</v>
      </c>
      <c r="C270" s="3">
        <f t="shared" si="29"/>
        <v>441</v>
      </c>
      <c r="D270">
        <f t="shared" si="30"/>
        <v>1125</v>
      </c>
      <c r="E270">
        <f t="shared" si="31"/>
        <v>37</v>
      </c>
      <c r="F270">
        <f t="shared" si="32"/>
        <v>1</v>
      </c>
      <c r="G270">
        <f t="shared" si="35"/>
        <v>5</v>
      </c>
      <c r="H270">
        <f t="shared" si="33"/>
        <v>5</v>
      </c>
      <c r="I270" s="9" t="str">
        <f t="shared" si="34"/>
        <v>155</v>
      </c>
      <c r="Q270" s="1">
        <v>0.45101705179334683</v>
      </c>
      <c r="R270" s="1">
        <v>0.86800918014467654</v>
      </c>
    </row>
    <row r="271" spans="1:18" x14ac:dyDescent="0.35">
      <c r="A271" t="s">
        <v>273</v>
      </c>
      <c r="B271" s="2">
        <v>45621</v>
      </c>
      <c r="C271" s="3">
        <f t="shared" si="29"/>
        <v>217</v>
      </c>
      <c r="D271">
        <f t="shared" si="30"/>
        <v>726</v>
      </c>
      <c r="E271">
        <f t="shared" si="31"/>
        <v>24</v>
      </c>
      <c r="F271">
        <f t="shared" si="32"/>
        <v>4</v>
      </c>
      <c r="G271">
        <f t="shared" si="35"/>
        <v>2</v>
      </c>
      <c r="H271">
        <f t="shared" si="33"/>
        <v>2</v>
      </c>
      <c r="I271" s="9" t="str">
        <f t="shared" si="34"/>
        <v>422</v>
      </c>
      <c r="Q271" s="1">
        <v>0.65016433751314884</v>
      </c>
      <c r="R271" s="1">
        <v>0.39295000080811004</v>
      </c>
    </row>
    <row r="272" spans="1:18" x14ac:dyDescent="0.35">
      <c r="A272" t="s">
        <v>274</v>
      </c>
      <c r="B272" s="2">
        <v>45734</v>
      </c>
      <c r="C272" s="3">
        <f t="shared" si="29"/>
        <v>104</v>
      </c>
      <c r="D272">
        <f t="shared" si="30"/>
        <v>370</v>
      </c>
      <c r="E272">
        <f t="shared" si="31"/>
        <v>12</v>
      </c>
      <c r="F272">
        <f t="shared" si="32"/>
        <v>5</v>
      </c>
      <c r="G272">
        <f t="shared" si="35"/>
        <v>1</v>
      </c>
      <c r="H272">
        <f t="shared" si="33"/>
        <v>1</v>
      </c>
      <c r="I272" s="9" t="str">
        <f t="shared" si="34"/>
        <v>511</v>
      </c>
      <c r="Q272" s="1">
        <v>0.37191127169205329</v>
      </c>
      <c r="R272" s="1">
        <v>0.1635514412819512</v>
      </c>
    </row>
    <row r="273" spans="1:18" x14ac:dyDescent="0.35">
      <c r="A273" t="s">
        <v>275</v>
      </c>
      <c r="B273" s="2">
        <v>45732</v>
      </c>
      <c r="C273" s="3">
        <f t="shared" si="29"/>
        <v>106</v>
      </c>
      <c r="D273">
        <f t="shared" si="30"/>
        <v>315</v>
      </c>
      <c r="E273">
        <f t="shared" si="31"/>
        <v>10</v>
      </c>
      <c r="F273">
        <f t="shared" si="32"/>
        <v>5</v>
      </c>
      <c r="G273">
        <f t="shared" si="35"/>
        <v>1</v>
      </c>
      <c r="H273">
        <f t="shared" si="33"/>
        <v>1</v>
      </c>
      <c r="I273" s="9" t="str">
        <f t="shared" si="34"/>
        <v>511</v>
      </c>
      <c r="Q273" s="1">
        <v>4.6371916197294194E-3</v>
      </c>
      <c r="R273" s="1">
        <v>0.26676945953577202</v>
      </c>
    </row>
    <row r="274" spans="1:18" x14ac:dyDescent="0.35">
      <c r="A274" t="s">
        <v>276</v>
      </c>
      <c r="B274" s="2">
        <v>45836</v>
      </c>
      <c r="C274" s="3">
        <f t="shared" si="29"/>
        <v>2</v>
      </c>
      <c r="D274">
        <f t="shared" si="30"/>
        <v>445</v>
      </c>
      <c r="E274">
        <f t="shared" si="31"/>
        <v>15</v>
      </c>
      <c r="F274">
        <f t="shared" si="32"/>
        <v>5</v>
      </c>
      <c r="G274">
        <f t="shared" si="35"/>
        <v>1</v>
      </c>
      <c r="H274">
        <f t="shared" si="33"/>
        <v>1</v>
      </c>
      <c r="I274" s="9" t="str">
        <f t="shared" si="34"/>
        <v>511</v>
      </c>
      <c r="Q274" s="1">
        <v>0.26317511233651714</v>
      </c>
      <c r="R274" s="1">
        <v>0.28388688334996937</v>
      </c>
    </row>
    <row r="275" spans="1:18" x14ac:dyDescent="0.35">
      <c r="A275" t="s">
        <v>277</v>
      </c>
      <c r="B275" s="2">
        <v>45399</v>
      </c>
      <c r="C275" s="3">
        <f t="shared" si="29"/>
        <v>439</v>
      </c>
      <c r="D275">
        <f t="shared" si="30"/>
        <v>841</v>
      </c>
      <c r="E275">
        <f t="shared" si="31"/>
        <v>28</v>
      </c>
      <c r="F275">
        <f t="shared" si="32"/>
        <v>1</v>
      </c>
      <c r="G275">
        <f t="shared" si="35"/>
        <v>4</v>
      </c>
      <c r="H275">
        <f t="shared" si="33"/>
        <v>4</v>
      </c>
      <c r="I275" s="9" t="str">
        <f t="shared" si="34"/>
        <v>144</v>
      </c>
      <c r="Q275" s="1">
        <v>0.51750260367706558</v>
      </c>
      <c r="R275" s="1">
        <v>0.56236386123074877</v>
      </c>
    </row>
    <row r="276" spans="1:18" x14ac:dyDescent="0.35">
      <c r="A276" t="s">
        <v>278</v>
      </c>
      <c r="B276" s="2">
        <v>45669</v>
      </c>
      <c r="C276" s="3">
        <f t="shared" si="29"/>
        <v>169</v>
      </c>
      <c r="D276">
        <f t="shared" si="30"/>
        <v>970</v>
      </c>
      <c r="E276">
        <f t="shared" si="31"/>
        <v>32</v>
      </c>
      <c r="F276">
        <f t="shared" si="32"/>
        <v>4</v>
      </c>
      <c r="G276">
        <f t="shared" si="35"/>
        <v>4</v>
      </c>
      <c r="H276">
        <f t="shared" si="33"/>
        <v>4</v>
      </c>
      <c r="I276" s="9" t="str">
        <f t="shared" si="34"/>
        <v>444</v>
      </c>
      <c r="Q276" s="1">
        <v>0.53676846878797457</v>
      </c>
      <c r="R276" s="1">
        <v>0.68036702180114383</v>
      </c>
    </row>
    <row r="277" spans="1:18" x14ac:dyDescent="0.35">
      <c r="A277" t="s">
        <v>279</v>
      </c>
      <c r="B277" s="2">
        <v>45573</v>
      </c>
      <c r="C277" s="3">
        <f t="shared" si="29"/>
        <v>265</v>
      </c>
      <c r="D277">
        <f t="shared" si="30"/>
        <v>266</v>
      </c>
      <c r="E277">
        <f t="shared" si="31"/>
        <v>9</v>
      </c>
      <c r="F277">
        <f t="shared" si="32"/>
        <v>4</v>
      </c>
      <c r="G277">
        <f t="shared" si="35"/>
        <v>1</v>
      </c>
      <c r="H277">
        <f t="shared" si="33"/>
        <v>1</v>
      </c>
      <c r="I277" s="9" t="str">
        <f t="shared" si="34"/>
        <v>411</v>
      </c>
      <c r="Q277" s="1">
        <v>6.2197384168150793E-2</v>
      </c>
      <c r="R277" s="1">
        <v>0.19459688958019616</v>
      </c>
    </row>
    <row r="278" spans="1:18" x14ac:dyDescent="0.35">
      <c r="A278" t="s">
        <v>280</v>
      </c>
      <c r="B278" s="2">
        <v>45759</v>
      </c>
      <c r="C278" s="3">
        <f t="shared" si="29"/>
        <v>79</v>
      </c>
      <c r="D278">
        <f t="shared" si="30"/>
        <v>717</v>
      </c>
      <c r="E278">
        <f t="shared" si="31"/>
        <v>24</v>
      </c>
      <c r="F278">
        <f t="shared" si="32"/>
        <v>5</v>
      </c>
      <c r="G278">
        <f t="shared" si="35"/>
        <v>2</v>
      </c>
      <c r="H278">
        <f t="shared" si="33"/>
        <v>2</v>
      </c>
      <c r="I278" s="9" t="str">
        <f t="shared" si="34"/>
        <v>522</v>
      </c>
      <c r="Q278" s="1">
        <v>0.93018875999620909</v>
      </c>
      <c r="R278" s="1">
        <v>0.26381488080563675</v>
      </c>
    </row>
    <row r="279" spans="1:18" x14ac:dyDescent="0.35">
      <c r="A279" t="s">
        <v>281</v>
      </c>
      <c r="B279" s="2">
        <v>45487</v>
      </c>
      <c r="C279" s="3">
        <f t="shared" si="29"/>
        <v>351</v>
      </c>
      <c r="D279">
        <f t="shared" si="30"/>
        <v>1127</v>
      </c>
      <c r="E279">
        <f t="shared" si="31"/>
        <v>37</v>
      </c>
      <c r="F279">
        <f t="shared" si="32"/>
        <v>2</v>
      </c>
      <c r="G279">
        <f t="shared" si="35"/>
        <v>5</v>
      </c>
      <c r="H279">
        <f t="shared" si="33"/>
        <v>5</v>
      </c>
      <c r="I279" s="9" t="str">
        <f t="shared" si="34"/>
        <v>255</v>
      </c>
      <c r="Q279" s="1">
        <v>0.65048853644515103</v>
      </c>
      <c r="R279" s="1">
        <v>0.78459294203721475</v>
      </c>
    </row>
    <row r="280" spans="1:18" x14ac:dyDescent="0.35">
      <c r="A280" t="s">
        <v>282</v>
      </c>
      <c r="B280" s="2">
        <v>45314</v>
      </c>
      <c r="C280" s="3">
        <f t="shared" si="29"/>
        <v>524</v>
      </c>
      <c r="D280">
        <f t="shared" si="30"/>
        <v>666</v>
      </c>
      <c r="E280">
        <f t="shared" si="31"/>
        <v>22</v>
      </c>
      <c r="F280">
        <f t="shared" si="32"/>
        <v>1</v>
      </c>
      <c r="G280">
        <f t="shared" si="35"/>
        <v>2</v>
      </c>
      <c r="H280">
        <f t="shared" si="33"/>
        <v>2</v>
      </c>
      <c r="I280" s="9" t="str">
        <f t="shared" si="34"/>
        <v>122</v>
      </c>
      <c r="Q280" s="1">
        <v>0.98839451387070376</v>
      </c>
      <c r="R280" s="1">
        <v>0.18846834532117396</v>
      </c>
    </row>
    <row r="281" spans="1:18" x14ac:dyDescent="0.35">
      <c r="A281" t="s">
        <v>283</v>
      </c>
      <c r="B281" s="2">
        <v>45815</v>
      </c>
      <c r="C281" s="3">
        <f t="shared" si="29"/>
        <v>23</v>
      </c>
      <c r="D281">
        <f t="shared" si="30"/>
        <v>980</v>
      </c>
      <c r="E281">
        <f t="shared" si="31"/>
        <v>33</v>
      </c>
      <c r="F281">
        <f t="shared" si="32"/>
        <v>5</v>
      </c>
      <c r="G281">
        <f t="shared" si="35"/>
        <v>4</v>
      </c>
      <c r="H281">
        <f t="shared" si="33"/>
        <v>4</v>
      </c>
      <c r="I281" s="9" t="str">
        <f t="shared" si="34"/>
        <v>544</v>
      </c>
      <c r="Q281" s="1">
        <v>0.78815589749006876</v>
      </c>
      <c r="R281" s="1">
        <v>0.58193175183344048</v>
      </c>
    </row>
    <row r="282" spans="1:18" x14ac:dyDescent="0.35">
      <c r="A282" t="s">
        <v>284</v>
      </c>
      <c r="B282" s="2">
        <v>45485</v>
      </c>
      <c r="C282" s="3">
        <f t="shared" si="29"/>
        <v>353</v>
      </c>
      <c r="D282">
        <f t="shared" si="30"/>
        <v>477</v>
      </c>
      <c r="E282">
        <f t="shared" si="31"/>
        <v>16</v>
      </c>
      <c r="F282">
        <f t="shared" si="32"/>
        <v>2</v>
      </c>
      <c r="G282">
        <f t="shared" si="35"/>
        <v>1</v>
      </c>
      <c r="H282">
        <f t="shared" si="33"/>
        <v>1</v>
      </c>
      <c r="I282" s="9" t="str">
        <f t="shared" si="34"/>
        <v>211</v>
      </c>
      <c r="Q282" s="1">
        <v>0.62259341762118636</v>
      </c>
      <c r="R282" s="1">
        <v>0.16061632425934191</v>
      </c>
    </row>
    <row r="283" spans="1:18" x14ac:dyDescent="0.35">
      <c r="A283" t="s">
        <v>285</v>
      </c>
      <c r="B283" s="2">
        <v>45626</v>
      </c>
      <c r="C283" s="3">
        <f t="shared" si="29"/>
        <v>212</v>
      </c>
      <c r="D283">
        <f t="shared" si="30"/>
        <v>1192</v>
      </c>
      <c r="E283">
        <f t="shared" si="31"/>
        <v>40</v>
      </c>
      <c r="F283">
        <f t="shared" si="32"/>
        <v>4</v>
      </c>
      <c r="G283">
        <f t="shared" si="35"/>
        <v>5</v>
      </c>
      <c r="H283">
        <f t="shared" si="33"/>
        <v>5</v>
      </c>
      <c r="I283" s="9" t="str">
        <f t="shared" si="34"/>
        <v>455</v>
      </c>
      <c r="Q283" s="1">
        <v>0.56366235944504128</v>
      </c>
      <c r="R283" s="1">
        <v>0.88551960571045218</v>
      </c>
    </row>
    <row r="284" spans="1:18" x14ac:dyDescent="0.35">
      <c r="A284" t="s">
        <v>286</v>
      </c>
      <c r="B284" s="2">
        <v>45322</v>
      </c>
      <c r="C284" s="3">
        <f t="shared" si="29"/>
        <v>516</v>
      </c>
      <c r="D284">
        <f t="shared" si="30"/>
        <v>919</v>
      </c>
      <c r="E284">
        <f t="shared" si="31"/>
        <v>30</v>
      </c>
      <c r="F284">
        <f t="shared" si="32"/>
        <v>1</v>
      </c>
      <c r="G284">
        <f t="shared" si="35"/>
        <v>4</v>
      </c>
      <c r="H284">
        <f t="shared" si="33"/>
        <v>4</v>
      </c>
      <c r="I284" s="9" t="str">
        <f t="shared" si="34"/>
        <v>144</v>
      </c>
      <c r="Q284" s="1">
        <v>0.46372587900919127</v>
      </c>
      <c r="R284" s="1">
        <v>0.66108284583351695</v>
      </c>
    </row>
    <row r="285" spans="1:18" x14ac:dyDescent="0.35">
      <c r="A285" t="s">
        <v>287</v>
      </c>
      <c r="B285" s="2">
        <v>45546</v>
      </c>
      <c r="C285" s="3">
        <f t="shared" si="29"/>
        <v>292</v>
      </c>
      <c r="D285">
        <f t="shared" si="30"/>
        <v>370</v>
      </c>
      <c r="E285">
        <f t="shared" si="31"/>
        <v>12</v>
      </c>
      <c r="F285">
        <f t="shared" si="32"/>
        <v>2</v>
      </c>
      <c r="G285">
        <f t="shared" si="35"/>
        <v>1</v>
      </c>
      <c r="H285">
        <f t="shared" si="33"/>
        <v>1</v>
      </c>
      <c r="I285" s="9" t="str">
        <f t="shared" si="34"/>
        <v>211</v>
      </c>
      <c r="Q285" s="1">
        <v>6.3919918448550272E-2</v>
      </c>
      <c r="R285" s="1">
        <v>0.29548308778391918</v>
      </c>
    </row>
    <row r="286" spans="1:18" x14ac:dyDescent="0.35">
      <c r="A286" t="s">
        <v>288</v>
      </c>
      <c r="B286" s="2">
        <v>45601</v>
      </c>
      <c r="C286" s="3">
        <f t="shared" si="29"/>
        <v>237</v>
      </c>
      <c r="D286">
        <f t="shared" si="30"/>
        <v>1006</v>
      </c>
      <c r="E286">
        <f t="shared" si="31"/>
        <v>33</v>
      </c>
      <c r="F286">
        <f t="shared" si="32"/>
        <v>4</v>
      </c>
      <c r="G286">
        <f t="shared" si="35"/>
        <v>4</v>
      </c>
      <c r="H286">
        <f t="shared" si="33"/>
        <v>4</v>
      </c>
      <c r="I286" s="9" t="str">
        <f t="shared" si="34"/>
        <v>444</v>
      </c>
      <c r="Q286" s="1">
        <v>8.0389148529202537E-2</v>
      </c>
      <c r="R286" s="1">
        <v>0.91070966607588089</v>
      </c>
    </row>
    <row r="287" spans="1:18" x14ac:dyDescent="0.35">
      <c r="A287" t="s">
        <v>289</v>
      </c>
      <c r="B287" s="2">
        <v>45754</v>
      </c>
      <c r="C287" s="3">
        <f t="shared" si="29"/>
        <v>84</v>
      </c>
      <c r="D287">
        <f t="shared" si="30"/>
        <v>1182</v>
      </c>
      <c r="E287">
        <f t="shared" si="31"/>
        <v>39</v>
      </c>
      <c r="F287">
        <f t="shared" si="32"/>
        <v>5</v>
      </c>
      <c r="G287">
        <f t="shared" si="35"/>
        <v>5</v>
      </c>
      <c r="H287">
        <f t="shared" si="33"/>
        <v>5</v>
      </c>
      <c r="I287" s="9" t="str">
        <f t="shared" si="34"/>
        <v>555</v>
      </c>
      <c r="Q287" s="1">
        <v>0.40101628429783032</v>
      </c>
      <c r="R287" s="1">
        <v>0.94519602092931265</v>
      </c>
    </row>
    <row r="288" spans="1:18" x14ac:dyDescent="0.35">
      <c r="A288" t="s">
        <v>290</v>
      </c>
      <c r="B288" s="2">
        <v>45482</v>
      </c>
      <c r="C288" s="3">
        <f t="shared" si="29"/>
        <v>356</v>
      </c>
      <c r="D288">
        <f t="shared" si="30"/>
        <v>576</v>
      </c>
      <c r="E288">
        <f t="shared" si="31"/>
        <v>19</v>
      </c>
      <c r="F288">
        <f t="shared" si="32"/>
        <v>2</v>
      </c>
      <c r="G288">
        <f t="shared" si="35"/>
        <v>2</v>
      </c>
      <c r="H288">
        <f t="shared" si="33"/>
        <v>2</v>
      </c>
      <c r="I288" s="9" t="str">
        <f t="shared" si="34"/>
        <v>222</v>
      </c>
      <c r="Q288" s="1">
        <v>0.47671390569207261</v>
      </c>
      <c r="R288" s="1">
        <v>0.3196716565282709</v>
      </c>
    </row>
    <row r="289" spans="1:18" x14ac:dyDescent="0.35">
      <c r="A289" t="s">
        <v>291</v>
      </c>
      <c r="B289" s="2">
        <v>45374</v>
      </c>
      <c r="C289" s="3">
        <f t="shared" si="29"/>
        <v>464</v>
      </c>
      <c r="D289">
        <f t="shared" si="30"/>
        <v>526</v>
      </c>
      <c r="E289">
        <f t="shared" si="31"/>
        <v>17</v>
      </c>
      <c r="F289">
        <f t="shared" si="32"/>
        <v>1</v>
      </c>
      <c r="G289">
        <f t="shared" si="35"/>
        <v>2</v>
      </c>
      <c r="H289">
        <f t="shared" si="33"/>
        <v>2</v>
      </c>
      <c r="I289" s="9" t="str">
        <f t="shared" si="34"/>
        <v>122</v>
      </c>
      <c r="Q289" s="1">
        <v>0.70301291996331816</v>
      </c>
      <c r="R289" s="1">
        <v>0.17423077012884058</v>
      </c>
    </row>
    <row r="290" spans="1:18" x14ac:dyDescent="0.35">
      <c r="A290" t="s">
        <v>292</v>
      </c>
      <c r="B290" s="2">
        <v>45738</v>
      </c>
      <c r="C290" s="3">
        <f t="shared" si="29"/>
        <v>100</v>
      </c>
      <c r="D290">
        <f t="shared" si="30"/>
        <v>893</v>
      </c>
      <c r="E290">
        <f t="shared" si="31"/>
        <v>30</v>
      </c>
      <c r="F290">
        <f t="shared" si="32"/>
        <v>5</v>
      </c>
      <c r="G290">
        <f t="shared" si="35"/>
        <v>4</v>
      </c>
      <c r="H290">
        <f t="shared" si="33"/>
        <v>4</v>
      </c>
      <c r="I290" s="9" t="str">
        <f t="shared" si="34"/>
        <v>544</v>
      </c>
      <c r="Q290" s="1">
        <v>0.67136023735952521</v>
      </c>
      <c r="R290" s="1">
        <v>0.54701375563740073</v>
      </c>
    </row>
    <row r="291" spans="1:18" x14ac:dyDescent="0.35">
      <c r="A291" t="s">
        <v>293</v>
      </c>
      <c r="B291" s="2">
        <v>45609</v>
      </c>
      <c r="C291" s="3">
        <f t="shared" si="29"/>
        <v>229</v>
      </c>
      <c r="D291">
        <f t="shared" si="30"/>
        <v>443</v>
      </c>
      <c r="E291">
        <f t="shared" si="31"/>
        <v>15</v>
      </c>
      <c r="F291">
        <f t="shared" si="32"/>
        <v>4</v>
      </c>
      <c r="G291">
        <f t="shared" si="35"/>
        <v>1</v>
      </c>
      <c r="H291">
        <f t="shared" si="33"/>
        <v>1</v>
      </c>
      <c r="I291" s="9" t="str">
        <f t="shared" si="34"/>
        <v>411</v>
      </c>
      <c r="Q291" s="1">
        <v>0.42505694637844893</v>
      </c>
      <c r="R291" s="1">
        <v>0.21252067988544987</v>
      </c>
    </row>
    <row r="292" spans="1:18" x14ac:dyDescent="0.35">
      <c r="A292" t="s">
        <v>294</v>
      </c>
      <c r="B292" s="2">
        <v>45681</v>
      </c>
      <c r="C292" s="3">
        <f t="shared" si="29"/>
        <v>157</v>
      </c>
      <c r="D292">
        <f t="shared" si="30"/>
        <v>180</v>
      </c>
      <c r="E292">
        <f t="shared" si="31"/>
        <v>6</v>
      </c>
      <c r="F292">
        <f t="shared" si="32"/>
        <v>4</v>
      </c>
      <c r="G292">
        <f t="shared" si="35"/>
        <v>1</v>
      </c>
      <c r="H292">
        <f t="shared" si="33"/>
        <v>1</v>
      </c>
      <c r="I292" s="9" t="str">
        <f t="shared" si="34"/>
        <v>411</v>
      </c>
      <c r="Q292" s="1">
        <v>0.2722550509238626</v>
      </c>
      <c r="R292" s="1">
        <v>2.0397473205558625E-2</v>
      </c>
    </row>
    <row r="293" spans="1:18" x14ac:dyDescent="0.35">
      <c r="A293" t="s">
        <v>295</v>
      </c>
      <c r="B293" s="2">
        <v>45543</v>
      </c>
      <c r="C293" s="3">
        <f t="shared" si="29"/>
        <v>295</v>
      </c>
      <c r="D293">
        <f t="shared" si="30"/>
        <v>714</v>
      </c>
      <c r="E293">
        <f t="shared" si="31"/>
        <v>24</v>
      </c>
      <c r="F293">
        <f t="shared" si="32"/>
        <v>2</v>
      </c>
      <c r="G293">
        <f t="shared" si="35"/>
        <v>2</v>
      </c>
      <c r="H293">
        <f t="shared" si="33"/>
        <v>2</v>
      </c>
      <c r="I293" s="9" t="str">
        <f t="shared" si="34"/>
        <v>222</v>
      </c>
      <c r="Q293" s="1">
        <v>1.5829218249601262E-2</v>
      </c>
      <c r="R293" s="1">
        <v>0.65261194817645174</v>
      </c>
    </row>
    <row r="294" spans="1:18" x14ac:dyDescent="0.35">
      <c r="A294" t="s">
        <v>296</v>
      </c>
      <c r="B294" s="2">
        <v>45699</v>
      </c>
      <c r="C294" s="3">
        <f t="shared" si="29"/>
        <v>139</v>
      </c>
      <c r="D294">
        <f t="shared" si="30"/>
        <v>710</v>
      </c>
      <c r="E294">
        <f t="shared" si="31"/>
        <v>23</v>
      </c>
      <c r="F294">
        <f t="shared" si="32"/>
        <v>4</v>
      </c>
      <c r="G294">
        <f t="shared" si="35"/>
        <v>2</v>
      </c>
      <c r="H294">
        <f t="shared" si="33"/>
        <v>2</v>
      </c>
      <c r="I294" s="9" t="str">
        <f t="shared" si="34"/>
        <v>422</v>
      </c>
      <c r="Q294" s="1">
        <v>2.6143468780953305E-2</v>
      </c>
      <c r="R294" s="1">
        <v>0.64399651670464764</v>
      </c>
    </row>
    <row r="295" spans="1:18" x14ac:dyDescent="0.35">
      <c r="A295" t="s">
        <v>297</v>
      </c>
      <c r="B295" s="2">
        <v>45445</v>
      </c>
      <c r="C295" s="3">
        <f t="shared" si="29"/>
        <v>393</v>
      </c>
      <c r="D295">
        <f t="shared" si="30"/>
        <v>826</v>
      </c>
      <c r="E295">
        <f t="shared" si="31"/>
        <v>27</v>
      </c>
      <c r="F295">
        <f t="shared" si="32"/>
        <v>2</v>
      </c>
      <c r="G295">
        <f t="shared" si="35"/>
        <v>4</v>
      </c>
      <c r="H295">
        <f t="shared" si="33"/>
        <v>4</v>
      </c>
      <c r="I295" s="9" t="str">
        <f t="shared" si="34"/>
        <v>244</v>
      </c>
      <c r="Q295" s="1">
        <v>0.17238446479457081</v>
      </c>
      <c r="R295" s="1">
        <v>0.69483213613946504</v>
      </c>
    </row>
    <row r="296" spans="1:18" x14ac:dyDescent="0.35">
      <c r="A296" t="s">
        <v>298</v>
      </c>
      <c r="B296" s="2">
        <v>45309</v>
      </c>
      <c r="C296" s="3">
        <f t="shared" si="29"/>
        <v>529</v>
      </c>
      <c r="D296">
        <f t="shared" si="30"/>
        <v>534</v>
      </c>
      <c r="E296">
        <f t="shared" si="31"/>
        <v>18</v>
      </c>
      <c r="F296">
        <f t="shared" si="32"/>
        <v>1</v>
      </c>
      <c r="G296">
        <f t="shared" si="35"/>
        <v>2</v>
      </c>
      <c r="H296">
        <f t="shared" si="33"/>
        <v>2</v>
      </c>
      <c r="I296" s="9" t="str">
        <f t="shared" si="34"/>
        <v>122</v>
      </c>
      <c r="Q296" s="1">
        <v>0.68619897391582996</v>
      </c>
      <c r="R296" s="1">
        <v>0.18955597732580742</v>
      </c>
    </row>
    <row r="297" spans="1:18" x14ac:dyDescent="0.35">
      <c r="A297" t="s">
        <v>299</v>
      </c>
      <c r="B297" s="2">
        <v>45322</v>
      </c>
      <c r="C297" s="3">
        <f t="shared" si="29"/>
        <v>516</v>
      </c>
      <c r="D297">
        <f t="shared" si="30"/>
        <v>1174</v>
      </c>
      <c r="E297">
        <f t="shared" si="31"/>
        <v>39</v>
      </c>
      <c r="F297">
        <f t="shared" si="32"/>
        <v>1</v>
      </c>
      <c r="G297">
        <f t="shared" si="35"/>
        <v>5</v>
      </c>
      <c r="H297">
        <f t="shared" si="33"/>
        <v>5</v>
      </c>
      <c r="I297" s="9" t="str">
        <f t="shared" si="34"/>
        <v>155</v>
      </c>
      <c r="Q297" s="1">
        <v>0.54195872995520611</v>
      </c>
      <c r="R297" s="1">
        <v>0.87694234281851857</v>
      </c>
    </row>
    <row r="298" spans="1:18" x14ac:dyDescent="0.35">
      <c r="A298" t="s">
        <v>300</v>
      </c>
      <c r="B298" s="2">
        <v>45512</v>
      </c>
      <c r="C298" s="3">
        <f t="shared" si="29"/>
        <v>326</v>
      </c>
      <c r="D298">
        <f t="shared" si="30"/>
        <v>898</v>
      </c>
      <c r="E298">
        <f t="shared" si="31"/>
        <v>30</v>
      </c>
      <c r="F298">
        <f t="shared" si="32"/>
        <v>2</v>
      </c>
      <c r="G298">
        <f t="shared" si="35"/>
        <v>4</v>
      </c>
      <c r="H298">
        <f t="shared" si="33"/>
        <v>4</v>
      </c>
      <c r="I298" s="9" t="str">
        <f t="shared" si="34"/>
        <v>244</v>
      </c>
      <c r="Q298" s="1">
        <v>0.66534673223881491</v>
      </c>
      <c r="R298" s="1">
        <v>0.55480745503884021</v>
      </c>
    </row>
    <row r="299" spans="1:18" x14ac:dyDescent="0.35">
      <c r="A299" t="s">
        <v>301</v>
      </c>
      <c r="B299" s="2">
        <v>45700</v>
      </c>
      <c r="C299" s="3">
        <f t="shared" si="29"/>
        <v>138</v>
      </c>
      <c r="D299">
        <f t="shared" si="30"/>
        <v>1180</v>
      </c>
      <c r="E299">
        <f t="shared" si="31"/>
        <v>39</v>
      </c>
      <c r="F299">
        <f t="shared" si="32"/>
        <v>4</v>
      </c>
      <c r="G299">
        <f t="shared" si="35"/>
        <v>5</v>
      </c>
      <c r="H299">
        <f t="shared" si="33"/>
        <v>5</v>
      </c>
      <c r="I299" s="9" t="str">
        <f t="shared" si="34"/>
        <v>455</v>
      </c>
      <c r="Q299" s="1">
        <v>0.99358337076891678</v>
      </c>
      <c r="R299" s="1">
        <v>0.69002346712842788</v>
      </c>
    </row>
    <row r="300" spans="1:18" x14ac:dyDescent="0.35">
      <c r="A300" t="s">
        <v>302</v>
      </c>
      <c r="B300" s="2">
        <v>45640</v>
      </c>
      <c r="C300" s="3">
        <f t="shared" si="29"/>
        <v>198</v>
      </c>
      <c r="D300">
        <f t="shared" si="30"/>
        <v>1004</v>
      </c>
      <c r="E300">
        <f t="shared" si="31"/>
        <v>33</v>
      </c>
      <c r="F300">
        <f t="shared" si="32"/>
        <v>4</v>
      </c>
      <c r="G300">
        <f t="shared" si="35"/>
        <v>4</v>
      </c>
      <c r="H300">
        <f t="shared" si="33"/>
        <v>4</v>
      </c>
      <c r="I300" s="9" t="str">
        <f t="shared" si="34"/>
        <v>444</v>
      </c>
      <c r="Q300" s="1">
        <v>0.74837581098799166</v>
      </c>
      <c r="R300" s="1">
        <v>0.62281154000244388</v>
      </c>
    </row>
    <row r="301" spans="1:18" x14ac:dyDescent="0.35">
      <c r="A301" t="s">
        <v>303</v>
      </c>
      <c r="B301" s="2">
        <v>45351</v>
      </c>
      <c r="C301" s="3">
        <f t="shared" si="29"/>
        <v>487</v>
      </c>
      <c r="D301">
        <f t="shared" si="30"/>
        <v>971</v>
      </c>
      <c r="E301">
        <f t="shared" si="31"/>
        <v>32</v>
      </c>
      <c r="F301">
        <f t="shared" si="32"/>
        <v>1</v>
      </c>
      <c r="G301">
        <f t="shared" si="35"/>
        <v>4</v>
      </c>
      <c r="H301">
        <f t="shared" si="33"/>
        <v>4</v>
      </c>
      <c r="I301" s="9" t="str">
        <f t="shared" si="34"/>
        <v>144</v>
      </c>
      <c r="Q301" s="1">
        <v>0.72893739352414899</v>
      </c>
      <c r="R301" s="1">
        <v>0.59877536860620362</v>
      </c>
    </row>
    <row r="302" spans="1:18" x14ac:dyDescent="0.35">
      <c r="A302" t="s">
        <v>304</v>
      </c>
      <c r="B302" s="2">
        <v>45819</v>
      </c>
      <c r="C302" s="3">
        <f t="shared" si="29"/>
        <v>19</v>
      </c>
      <c r="D302">
        <f t="shared" si="30"/>
        <v>1093</v>
      </c>
      <c r="E302">
        <f t="shared" si="31"/>
        <v>36</v>
      </c>
      <c r="F302">
        <f t="shared" si="32"/>
        <v>5</v>
      </c>
      <c r="G302">
        <f t="shared" si="35"/>
        <v>5</v>
      </c>
      <c r="H302">
        <f t="shared" si="33"/>
        <v>5</v>
      </c>
      <c r="I302" s="9" t="str">
        <f t="shared" si="34"/>
        <v>555</v>
      </c>
      <c r="Q302" s="1">
        <v>0.48958194526054777</v>
      </c>
      <c r="R302" s="1">
        <v>0.82038440012874525</v>
      </c>
    </row>
    <row r="303" spans="1:18" x14ac:dyDescent="0.35">
      <c r="A303" t="s">
        <v>305</v>
      </c>
      <c r="B303" s="2">
        <v>45322</v>
      </c>
      <c r="C303" s="3">
        <f t="shared" si="29"/>
        <v>516</v>
      </c>
      <c r="D303">
        <f t="shared" si="30"/>
        <v>404</v>
      </c>
      <c r="E303">
        <f t="shared" si="31"/>
        <v>13</v>
      </c>
      <c r="F303">
        <f t="shared" si="32"/>
        <v>1</v>
      </c>
      <c r="G303">
        <f t="shared" si="35"/>
        <v>1</v>
      </c>
      <c r="H303">
        <f t="shared" si="33"/>
        <v>1</v>
      </c>
      <c r="I303" s="9" t="str">
        <f t="shared" si="34"/>
        <v>111</v>
      </c>
      <c r="Q303" s="1">
        <v>0.6401108717851538</v>
      </c>
      <c r="R303" s="1">
        <v>8.2243253953651396E-2</v>
      </c>
    </row>
    <row r="304" spans="1:18" x14ac:dyDescent="0.35">
      <c r="A304" t="s">
        <v>306</v>
      </c>
      <c r="B304" s="2">
        <v>45448</v>
      </c>
      <c r="C304" s="3">
        <f t="shared" si="29"/>
        <v>390</v>
      </c>
      <c r="D304">
        <f t="shared" si="30"/>
        <v>898</v>
      </c>
      <c r="E304">
        <f t="shared" si="31"/>
        <v>30</v>
      </c>
      <c r="F304">
        <f t="shared" si="32"/>
        <v>2</v>
      </c>
      <c r="G304">
        <f t="shared" si="35"/>
        <v>4</v>
      </c>
      <c r="H304">
        <f t="shared" si="33"/>
        <v>4</v>
      </c>
      <c r="I304" s="9" t="str">
        <f t="shared" si="34"/>
        <v>244</v>
      </c>
      <c r="Q304" s="1">
        <v>0.58655567601705472</v>
      </c>
      <c r="R304" s="1">
        <v>0.58855138073705038</v>
      </c>
    </row>
    <row r="305" spans="1:18" x14ac:dyDescent="0.35">
      <c r="A305" t="s">
        <v>307</v>
      </c>
      <c r="B305" s="2">
        <v>45473</v>
      </c>
      <c r="C305" s="3">
        <f t="shared" si="29"/>
        <v>365</v>
      </c>
      <c r="D305">
        <f t="shared" si="30"/>
        <v>1215</v>
      </c>
      <c r="E305">
        <f t="shared" si="31"/>
        <v>40</v>
      </c>
      <c r="F305">
        <f t="shared" si="32"/>
        <v>2</v>
      </c>
      <c r="G305">
        <f t="shared" si="35"/>
        <v>5</v>
      </c>
      <c r="H305">
        <f t="shared" si="33"/>
        <v>5</v>
      </c>
      <c r="I305" s="9" t="str">
        <f t="shared" si="34"/>
        <v>255</v>
      </c>
      <c r="Q305" s="1">
        <v>0.35613680910238721</v>
      </c>
      <c r="R305" s="1">
        <v>0.99685074401917884</v>
      </c>
    </row>
    <row r="306" spans="1:18" x14ac:dyDescent="0.35">
      <c r="A306" t="s">
        <v>308</v>
      </c>
      <c r="B306" s="2">
        <v>45779</v>
      </c>
      <c r="C306" s="3">
        <f t="shared" si="29"/>
        <v>59</v>
      </c>
      <c r="D306">
        <f t="shared" si="30"/>
        <v>1077</v>
      </c>
      <c r="E306">
        <f t="shared" si="31"/>
        <v>36</v>
      </c>
      <c r="F306">
        <f t="shared" si="32"/>
        <v>5</v>
      </c>
      <c r="G306">
        <f t="shared" si="35"/>
        <v>5</v>
      </c>
      <c r="H306">
        <f t="shared" si="33"/>
        <v>5</v>
      </c>
      <c r="I306" s="9" t="str">
        <f t="shared" si="34"/>
        <v>555</v>
      </c>
      <c r="Q306" s="1">
        <v>0.22068014314810847</v>
      </c>
      <c r="R306" s="1">
        <v>0.9200741880805503</v>
      </c>
    </row>
    <row r="307" spans="1:18" x14ac:dyDescent="0.35">
      <c r="A307" t="s">
        <v>309</v>
      </c>
      <c r="B307" s="2">
        <v>45664</v>
      </c>
      <c r="C307" s="3">
        <f t="shared" si="29"/>
        <v>174</v>
      </c>
      <c r="D307">
        <f t="shared" si="30"/>
        <v>1048</v>
      </c>
      <c r="E307">
        <f t="shared" si="31"/>
        <v>35</v>
      </c>
      <c r="F307">
        <f t="shared" si="32"/>
        <v>4</v>
      </c>
      <c r="G307">
        <f t="shared" si="35"/>
        <v>4</v>
      </c>
      <c r="H307">
        <f t="shared" si="33"/>
        <v>5</v>
      </c>
      <c r="I307" s="9" t="str">
        <f t="shared" si="34"/>
        <v>445</v>
      </c>
      <c r="Q307" s="1">
        <v>0.97509318486722718</v>
      </c>
      <c r="R307" s="1">
        <v>0.56834152176376407</v>
      </c>
    </row>
    <row r="308" spans="1:18" x14ac:dyDescent="0.35">
      <c r="A308" t="s">
        <v>310</v>
      </c>
      <c r="B308" s="2">
        <v>45302</v>
      </c>
      <c r="C308" s="3">
        <f t="shared" si="29"/>
        <v>536</v>
      </c>
      <c r="D308">
        <f t="shared" si="30"/>
        <v>720</v>
      </c>
      <c r="E308">
        <f t="shared" si="31"/>
        <v>24</v>
      </c>
      <c r="F308">
        <f t="shared" si="32"/>
        <v>1</v>
      </c>
      <c r="G308">
        <f t="shared" si="35"/>
        <v>2</v>
      </c>
      <c r="H308">
        <f t="shared" si="33"/>
        <v>2</v>
      </c>
      <c r="I308" s="9" t="str">
        <f t="shared" si="34"/>
        <v>122</v>
      </c>
      <c r="Q308" s="1">
        <v>0.2587639114517758</v>
      </c>
      <c r="R308" s="1">
        <v>0.55466548101377988</v>
      </c>
    </row>
    <row r="309" spans="1:18" x14ac:dyDescent="0.35">
      <c r="A309" t="s">
        <v>311</v>
      </c>
      <c r="B309" s="2">
        <v>45486</v>
      </c>
      <c r="C309" s="3">
        <f t="shared" si="29"/>
        <v>352</v>
      </c>
      <c r="D309">
        <f t="shared" si="30"/>
        <v>770</v>
      </c>
      <c r="E309">
        <f t="shared" si="31"/>
        <v>25</v>
      </c>
      <c r="F309">
        <f t="shared" si="32"/>
        <v>2</v>
      </c>
      <c r="G309">
        <f t="shared" si="35"/>
        <v>2</v>
      </c>
      <c r="H309">
        <f t="shared" si="33"/>
        <v>2</v>
      </c>
      <c r="I309" s="9" t="str">
        <f t="shared" si="34"/>
        <v>222</v>
      </c>
      <c r="Q309" s="1">
        <v>0.43262387118998435</v>
      </c>
      <c r="R309" s="1">
        <v>0.52882711289997164</v>
      </c>
    </row>
    <row r="310" spans="1:18" x14ac:dyDescent="0.35">
      <c r="A310" t="s">
        <v>312</v>
      </c>
      <c r="B310" s="2">
        <v>45767</v>
      </c>
      <c r="C310" s="3">
        <f t="shared" si="29"/>
        <v>71</v>
      </c>
      <c r="D310">
        <f t="shared" si="30"/>
        <v>1091</v>
      </c>
      <c r="E310">
        <f t="shared" si="31"/>
        <v>36</v>
      </c>
      <c r="F310">
        <f t="shared" si="32"/>
        <v>5</v>
      </c>
      <c r="G310">
        <f t="shared" si="35"/>
        <v>5</v>
      </c>
      <c r="H310">
        <f t="shared" si="33"/>
        <v>5</v>
      </c>
      <c r="I310" s="9" t="str">
        <f t="shared" si="34"/>
        <v>555</v>
      </c>
      <c r="Q310" s="1">
        <v>0.40291645510208984</v>
      </c>
      <c r="R310" s="1">
        <v>0.85536258575386392</v>
      </c>
    </row>
    <row r="311" spans="1:18" x14ac:dyDescent="0.35">
      <c r="A311" t="s">
        <v>313</v>
      </c>
      <c r="B311" s="2">
        <v>45705</v>
      </c>
      <c r="C311" s="3">
        <f t="shared" si="29"/>
        <v>133</v>
      </c>
      <c r="D311">
        <f t="shared" si="30"/>
        <v>651</v>
      </c>
      <c r="E311">
        <f t="shared" si="31"/>
        <v>22</v>
      </c>
      <c r="F311">
        <f t="shared" si="32"/>
        <v>4</v>
      </c>
      <c r="G311">
        <f t="shared" si="35"/>
        <v>2</v>
      </c>
      <c r="H311">
        <f t="shared" si="33"/>
        <v>2</v>
      </c>
      <c r="I311" s="9" t="str">
        <f t="shared" si="34"/>
        <v>422</v>
      </c>
      <c r="Q311" s="1">
        <v>0.21301601134011872</v>
      </c>
      <c r="R311" s="1">
        <v>0.50687659032877985</v>
      </c>
    </row>
    <row r="312" spans="1:18" x14ac:dyDescent="0.35">
      <c r="A312" t="s">
        <v>314</v>
      </c>
      <c r="B312" s="2">
        <v>45511</v>
      </c>
      <c r="C312" s="3">
        <f t="shared" si="29"/>
        <v>327</v>
      </c>
      <c r="D312">
        <f t="shared" si="30"/>
        <v>421</v>
      </c>
      <c r="E312">
        <f t="shared" si="31"/>
        <v>14</v>
      </c>
      <c r="F312">
        <f t="shared" si="32"/>
        <v>2</v>
      </c>
      <c r="G312">
        <f t="shared" si="35"/>
        <v>1</v>
      </c>
      <c r="H312">
        <f t="shared" si="33"/>
        <v>1</v>
      </c>
      <c r="I312" s="9" t="str">
        <f t="shared" si="34"/>
        <v>211</v>
      </c>
      <c r="Q312" s="1">
        <v>9.3088630979130338E-2</v>
      </c>
      <c r="R312" s="1">
        <v>0.33295744046523279</v>
      </c>
    </row>
    <row r="313" spans="1:18" x14ac:dyDescent="0.35">
      <c r="A313" t="s">
        <v>315</v>
      </c>
      <c r="B313" s="2">
        <v>45316</v>
      </c>
      <c r="C313" s="3">
        <f t="shared" si="29"/>
        <v>522</v>
      </c>
      <c r="D313">
        <f t="shared" si="30"/>
        <v>863</v>
      </c>
      <c r="E313">
        <f t="shared" si="31"/>
        <v>29</v>
      </c>
      <c r="F313">
        <f t="shared" si="32"/>
        <v>1</v>
      </c>
      <c r="G313">
        <f t="shared" si="35"/>
        <v>4</v>
      </c>
      <c r="H313">
        <f t="shared" si="33"/>
        <v>4</v>
      </c>
      <c r="I313" s="9" t="str">
        <f t="shared" si="34"/>
        <v>144</v>
      </c>
      <c r="Q313" s="1">
        <v>0.43650957063359253</v>
      </c>
      <c r="R313" s="1">
        <v>0.61863644992983524</v>
      </c>
    </row>
    <row r="314" spans="1:18" x14ac:dyDescent="0.35">
      <c r="A314" t="s">
        <v>316</v>
      </c>
      <c r="B314" s="2">
        <v>45536</v>
      </c>
      <c r="C314" s="3">
        <f t="shared" si="29"/>
        <v>302</v>
      </c>
      <c r="D314">
        <f t="shared" si="30"/>
        <v>670</v>
      </c>
      <c r="E314">
        <f t="shared" si="31"/>
        <v>22</v>
      </c>
      <c r="F314">
        <f t="shared" si="32"/>
        <v>2</v>
      </c>
      <c r="G314">
        <f t="shared" si="35"/>
        <v>2</v>
      </c>
      <c r="H314">
        <f t="shared" si="33"/>
        <v>2</v>
      </c>
      <c r="I314" s="9" t="str">
        <f t="shared" si="34"/>
        <v>222</v>
      </c>
      <c r="Q314" s="1">
        <v>0.91448055963937003</v>
      </c>
      <c r="R314" s="1">
        <v>0.224590148737008</v>
      </c>
    </row>
    <row r="315" spans="1:18" x14ac:dyDescent="0.35">
      <c r="A315" t="s">
        <v>317</v>
      </c>
      <c r="B315" s="2">
        <v>45539</v>
      </c>
      <c r="C315" s="3">
        <f t="shared" si="29"/>
        <v>299</v>
      </c>
      <c r="D315">
        <f t="shared" si="30"/>
        <v>981</v>
      </c>
      <c r="E315">
        <f t="shared" si="31"/>
        <v>33</v>
      </c>
      <c r="F315">
        <f t="shared" si="32"/>
        <v>2</v>
      </c>
      <c r="G315">
        <f t="shared" si="35"/>
        <v>4</v>
      </c>
      <c r="H315">
        <f t="shared" si="33"/>
        <v>4</v>
      </c>
      <c r="I315" s="9" t="str">
        <f t="shared" si="34"/>
        <v>244</v>
      </c>
      <c r="Q315" s="1">
        <v>0.23815322366999669</v>
      </c>
      <c r="R315" s="1">
        <v>0.81821819434823906</v>
      </c>
    </row>
    <row r="316" spans="1:18" x14ac:dyDescent="0.35">
      <c r="A316" t="s">
        <v>318</v>
      </c>
      <c r="B316" s="2">
        <v>45391</v>
      </c>
      <c r="C316" s="3">
        <f t="shared" si="29"/>
        <v>447</v>
      </c>
      <c r="D316">
        <f t="shared" si="30"/>
        <v>505</v>
      </c>
      <c r="E316">
        <f t="shared" si="31"/>
        <v>17</v>
      </c>
      <c r="F316">
        <f t="shared" si="32"/>
        <v>1</v>
      </c>
      <c r="G316">
        <f t="shared" si="35"/>
        <v>2</v>
      </c>
      <c r="H316">
        <f t="shared" si="33"/>
        <v>2</v>
      </c>
      <c r="I316" s="9" t="str">
        <f t="shared" si="34"/>
        <v>122</v>
      </c>
      <c r="Q316" s="1">
        <v>0.54636838658555875</v>
      </c>
      <c r="R316" s="1">
        <v>0.22068449452656402</v>
      </c>
    </row>
    <row r="317" spans="1:18" x14ac:dyDescent="0.35">
      <c r="A317" t="s">
        <v>319</v>
      </c>
      <c r="B317" s="2">
        <v>45838</v>
      </c>
      <c r="C317" s="3">
        <f t="shared" si="29"/>
        <v>0</v>
      </c>
      <c r="D317">
        <f t="shared" si="30"/>
        <v>547</v>
      </c>
      <c r="E317">
        <f t="shared" si="31"/>
        <v>18</v>
      </c>
      <c r="F317">
        <f t="shared" si="32"/>
        <v>5</v>
      </c>
      <c r="G317">
        <f t="shared" si="35"/>
        <v>2</v>
      </c>
      <c r="H317">
        <f t="shared" si="33"/>
        <v>2</v>
      </c>
      <c r="I317" s="9" t="str">
        <f t="shared" si="34"/>
        <v>522</v>
      </c>
      <c r="Q317" s="1">
        <v>0.49976396789619382</v>
      </c>
      <c r="R317" s="1">
        <v>0.28215465952657204</v>
      </c>
    </row>
    <row r="318" spans="1:18" x14ac:dyDescent="0.35">
      <c r="A318" t="s">
        <v>320</v>
      </c>
      <c r="B318" s="2">
        <v>45641</v>
      </c>
      <c r="C318" s="3">
        <f t="shared" si="29"/>
        <v>197</v>
      </c>
      <c r="D318">
        <f t="shared" si="30"/>
        <v>731</v>
      </c>
      <c r="E318">
        <f t="shared" si="31"/>
        <v>24</v>
      </c>
      <c r="F318">
        <f t="shared" si="32"/>
        <v>4</v>
      </c>
      <c r="G318">
        <f t="shared" si="35"/>
        <v>2</v>
      </c>
      <c r="H318">
        <f t="shared" si="33"/>
        <v>2</v>
      </c>
      <c r="I318" s="9" t="str">
        <f t="shared" si="34"/>
        <v>422</v>
      </c>
      <c r="Q318" s="1">
        <v>0.65475900042212465</v>
      </c>
      <c r="R318" s="1">
        <v>0.39579137380959428</v>
      </c>
    </row>
    <row r="319" spans="1:18" x14ac:dyDescent="0.35">
      <c r="A319" t="s">
        <v>321</v>
      </c>
      <c r="B319" s="2">
        <v>45578</v>
      </c>
      <c r="C319" s="3">
        <f t="shared" si="29"/>
        <v>260</v>
      </c>
      <c r="D319">
        <f t="shared" si="30"/>
        <v>875</v>
      </c>
      <c r="E319">
        <f t="shared" si="31"/>
        <v>29</v>
      </c>
      <c r="F319">
        <f t="shared" si="32"/>
        <v>4</v>
      </c>
      <c r="G319">
        <f t="shared" si="35"/>
        <v>4</v>
      </c>
      <c r="H319">
        <f t="shared" si="33"/>
        <v>4</v>
      </c>
      <c r="I319" s="9" t="str">
        <f t="shared" si="34"/>
        <v>444</v>
      </c>
      <c r="Q319" s="1">
        <v>0.85167949922287089</v>
      </c>
      <c r="R319" s="1">
        <v>0.45165050429706011</v>
      </c>
    </row>
    <row r="320" spans="1:18" x14ac:dyDescent="0.35">
      <c r="A320" t="s">
        <v>322</v>
      </c>
      <c r="B320" s="2">
        <v>45315</v>
      </c>
      <c r="C320" s="3">
        <f t="shared" si="29"/>
        <v>523</v>
      </c>
      <c r="D320">
        <f t="shared" si="30"/>
        <v>414</v>
      </c>
      <c r="E320">
        <f t="shared" si="31"/>
        <v>14</v>
      </c>
      <c r="F320">
        <f t="shared" si="32"/>
        <v>1</v>
      </c>
      <c r="G320">
        <f t="shared" si="35"/>
        <v>1</v>
      </c>
      <c r="H320">
        <f t="shared" si="33"/>
        <v>1</v>
      </c>
      <c r="I320" s="9" t="str">
        <f t="shared" si="34"/>
        <v>111</v>
      </c>
      <c r="Q320" s="1">
        <v>0.4089788099883167</v>
      </c>
      <c r="R320" s="1">
        <v>0.19114355263478144</v>
      </c>
    </row>
    <row r="321" spans="1:18" x14ac:dyDescent="0.35">
      <c r="A321" t="s">
        <v>323</v>
      </c>
      <c r="B321" s="2">
        <v>45687</v>
      </c>
      <c r="C321" s="3">
        <f t="shared" si="29"/>
        <v>151</v>
      </c>
      <c r="D321">
        <f t="shared" si="30"/>
        <v>452</v>
      </c>
      <c r="E321">
        <f t="shared" si="31"/>
        <v>15</v>
      </c>
      <c r="F321">
        <f t="shared" si="32"/>
        <v>4</v>
      </c>
      <c r="G321">
        <f t="shared" si="35"/>
        <v>1</v>
      </c>
      <c r="H321">
        <f t="shared" si="33"/>
        <v>1</v>
      </c>
      <c r="I321" s="9" t="str">
        <f t="shared" si="34"/>
        <v>411</v>
      </c>
      <c r="Q321" s="1">
        <v>2.9742755438991186E-2</v>
      </c>
      <c r="R321" s="1">
        <v>0.39017574312170944</v>
      </c>
    </row>
    <row r="322" spans="1:18" x14ac:dyDescent="0.35">
      <c r="A322" t="s">
        <v>324</v>
      </c>
      <c r="B322" s="2">
        <v>45326</v>
      </c>
      <c r="C322" s="3">
        <f t="shared" si="29"/>
        <v>512</v>
      </c>
      <c r="D322">
        <f t="shared" si="30"/>
        <v>1067</v>
      </c>
      <c r="E322">
        <f t="shared" si="31"/>
        <v>35</v>
      </c>
      <c r="F322">
        <f t="shared" si="32"/>
        <v>1</v>
      </c>
      <c r="G322">
        <f t="shared" si="35"/>
        <v>4</v>
      </c>
      <c r="H322">
        <f t="shared" si="33"/>
        <v>5</v>
      </c>
      <c r="I322" s="9" t="str">
        <f t="shared" si="34"/>
        <v>145</v>
      </c>
      <c r="Q322" s="1">
        <v>0.87347284639246348</v>
      </c>
      <c r="R322" s="1">
        <v>0.63060706810568978</v>
      </c>
    </row>
    <row r="323" spans="1:18" x14ac:dyDescent="0.35">
      <c r="A323" t="s">
        <v>325</v>
      </c>
      <c r="B323" s="2">
        <v>45381</v>
      </c>
      <c r="C323" s="3">
        <f t="shared" ref="C323:C386" si="36">$S$6-B323</f>
        <v>457</v>
      </c>
      <c r="D323">
        <f t="shared" ref="D323:D386" si="37">ROUND((R323*0.7+Q323*0.3)*(1500-40)+40,0)</f>
        <v>739</v>
      </c>
      <c r="E323">
        <f t="shared" ref="E323:E386" si="38">ROUND((R323*0.7+Q323*0.3)*(50-1)+1,0)</f>
        <v>24</v>
      </c>
      <c r="F323">
        <f t="shared" ref="F323:F386" si="39">IF(C323&lt;=$M$4,5,IF(C323&lt;=$M$9,4,IF(C323&lt;=$M$5,3,IF(C323&lt;=$M$6,2,1))))</f>
        <v>1</v>
      </c>
      <c r="G323">
        <f t="shared" si="35"/>
        <v>2</v>
      </c>
      <c r="H323">
        <f t="shared" ref="H323:H386" si="40">IF(D323&lt;=$M$24,1,IF(D323&lt;=$M$25,2,IF(D323&lt;=$M$29,3,IF(D323&lt;=$M$26,4,5))))</f>
        <v>2</v>
      </c>
      <c r="I323" s="9" t="str">
        <f t="shared" ref="I323:I386" si="41">CONCATENATE(F323,G323,H323)</f>
        <v>122</v>
      </c>
      <c r="Q323" s="1">
        <v>0.19360648191297203</v>
      </c>
      <c r="R323" s="1">
        <v>0.6011145685268422</v>
      </c>
    </row>
    <row r="324" spans="1:18" x14ac:dyDescent="0.35">
      <c r="A324" t="s">
        <v>326</v>
      </c>
      <c r="B324" s="2">
        <v>45358</v>
      </c>
      <c r="C324" s="3">
        <f t="shared" si="36"/>
        <v>480</v>
      </c>
      <c r="D324">
        <f t="shared" si="37"/>
        <v>253</v>
      </c>
      <c r="E324">
        <f t="shared" si="38"/>
        <v>8</v>
      </c>
      <c r="F324">
        <f t="shared" si="39"/>
        <v>1</v>
      </c>
      <c r="G324">
        <f t="shared" ref="G324:G387" si="42">IF(E324&lt;=$M$14,1,IF(E324&lt;=$M$15,2,IF(E324&lt;=$M$19,3,IF(E324&lt;=$M$16,4,5))))</f>
        <v>1</v>
      </c>
      <c r="H324">
        <f t="shared" si="40"/>
        <v>1</v>
      </c>
      <c r="I324" s="9" t="str">
        <f t="shared" si="41"/>
        <v>111</v>
      </c>
      <c r="Q324" s="1">
        <v>0.36060647855300276</v>
      </c>
      <c r="R324" s="1">
        <v>5.3942798268770131E-2</v>
      </c>
    </row>
    <row r="325" spans="1:18" x14ac:dyDescent="0.35">
      <c r="A325" t="s">
        <v>327</v>
      </c>
      <c r="B325" s="2">
        <v>45301</v>
      </c>
      <c r="C325" s="3">
        <f t="shared" si="36"/>
        <v>537</v>
      </c>
      <c r="D325">
        <f t="shared" si="37"/>
        <v>342</v>
      </c>
      <c r="E325">
        <f t="shared" si="38"/>
        <v>11</v>
      </c>
      <c r="F325">
        <f t="shared" si="39"/>
        <v>1</v>
      </c>
      <c r="G325">
        <f t="shared" si="42"/>
        <v>1</v>
      </c>
      <c r="H325">
        <f t="shared" si="40"/>
        <v>1</v>
      </c>
      <c r="I325" s="9" t="str">
        <f t="shared" si="41"/>
        <v>111</v>
      </c>
      <c r="Q325" s="1">
        <v>0.64637709002481936</v>
      </c>
      <c r="R325" s="1">
        <v>1.8508497801326906E-2</v>
      </c>
    </row>
    <row r="326" spans="1:18" x14ac:dyDescent="0.35">
      <c r="A326" t="s">
        <v>328</v>
      </c>
      <c r="B326" s="2">
        <v>45535</v>
      </c>
      <c r="C326" s="3">
        <f t="shared" si="36"/>
        <v>303</v>
      </c>
      <c r="D326">
        <f t="shared" si="37"/>
        <v>323</v>
      </c>
      <c r="E326">
        <f t="shared" si="38"/>
        <v>11</v>
      </c>
      <c r="F326">
        <f t="shared" si="39"/>
        <v>2</v>
      </c>
      <c r="G326">
        <f t="shared" si="42"/>
        <v>1</v>
      </c>
      <c r="H326">
        <f t="shared" si="40"/>
        <v>1</v>
      </c>
      <c r="I326" s="9" t="str">
        <f t="shared" si="41"/>
        <v>211</v>
      </c>
      <c r="Q326" s="1">
        <v>0.43535174903038243</v>
      </c>
      <c r="R326" s="1">
        <v>9.0614588929323836E-2</v>
      </c>
    </row>
    <row r="327" spans="1:18" x14ac:dyDescent="0.35">
      <c r="A327" t="s">
        <v>329</v>
      </c>
      <c r="B327" s="2">
        <v>45554</v>
      </c>
      <c r="C327" s="3">
        <f t="shared" si="36"/>
        <v>284</v>
      </c>
      <c r="D327">
        <f t="shared" si="37"/>
        <v>305</v>
      </c>
      <c r="E327">
        <f t="shared" si="38"/>
        <v>10</v>
      </c>
      <c r="F327">
        <f t="shared" si="39"/>
        <v>2</v>
      </c>
      <c r="G327">
        <f t="shared" si="42"/>
        <v>1</v>
      </c>
      <c r="H327">
        <f t="shared" si="40"/>
        <v>1</v>
      </c>
      <c r="I327" s="9" t="str">
        <f t="shared" si="41"/>
        <v>211</v>
      </c>
      <c r="Q327" s="1">
        <v>4.4759520051841806E-2</v>
      </c>
      <c r="R327" s="1">
        <v>0.240173990437348</v>
      </c>
    </row>
    <row r="328" spans="1:18" x14ac:dyDescent="0.35">
      <c r="A328" t="s">
        <v>330</v>
      </c>
      <c r="B328" s="2">
        <v>45535</v>
      </c>
      <c r="C328" s="3">
        <f t="shared" si="36"/>
        <v>303</v>
      </c>
      <c r="D328">
        <f t="shared" si="37"/>
        <v>846</v>
      </c>
      <c r="E328">
        <f t="shared" si="38"/>
        <v>28</v>
      </c>
      <c r="F328">
        <f t="shared" si="39"/>
        <v>2</v>
      </c>
      <c r="G328">
        <f t="shared" si="42"/>
        <v>4</v>
      </c>
      <c r="H328">
        <f t="shared" si="40"/>
        <v>4</v>
      </c>
      <c r="I328" s="9" t="str">
        <f t="shared" si="41"/>
        <v>244</v>
      </c>
      <c r="Q328" s="1">
        <v>0.77810526906827748</v>
      </c>
      <c r="R328" s="1">
        <v>0.45470292991346994</v>
      </c>
    </row>
    <row r="329" spans="1:18" x14ac:dyDescent="0.35">
      <c r="A329" t="s">
        <v>331</v>
      </c>
      <c r="B329" s="2">
        <v>45310</v>
      </c>
      <c r="C329" s="3">
        <f t="shared" si="36"/>
        <v>528</v>
      </c>
      <c r="D329">
        <f t="shared" si="37"/>
        <v>523</v>
      </c>
      <c r="E329">
        <f t="shared" si="38"/>
        <v>17</v>
      </c>
      <c r="F329">
        <f t="shared" si="39"/>
        <v>1</v>
      </c>
      <c r="G329">
        <f t="shared" si="42"/>
        <v>2</v>
      </c>
      <c r="H329">
        <f t="shared" si="40"/>
        <v>2</v>
      </c>
      <c r="I329" s="9" t="str">
        <f t="shared" si="41"/>
        <v>122</v>
      </c>
      <c r="Q329" s="1">
        <v>0.12559848237031712</v>
      </c>
      <c r="R329" s="1">
        <v>0.41905519880748199</v>
      </c>
    </row>
    <row r="330" spans="1:18" x14ac:dyDescent="0.35">
      <c r="A330" t="s">
        <v>332</v>
      </c>
      <c r="B330" s="2">
        <v>45818</v>
      </c>
      <c r="C330" s="3">
        <f t="shared" si="36"/>
        <v>20</v>
      </c>
      <c r="D330">
        <f t="shared" si="37"/>
        <v>482</v>
      </c>
      <c r="E330">
        <f t="shared" si="38"/>
        <v>16</v>
      </c>
      <c r="F330">
        <f t="shared" si="39"/>
        <v>5</v>
      </c>
      <c r="G330">
        <f t="shared" si="42"/>
        <v>1</v>
      </c>
      <c r="H330">
        <f t="shared" si="40"/>
        <v>1</v>
      </c>
      <c r="I330" s="9" t="str">
        <f t="shared" si="41"/>
        <v>511</v>
      </c>
      <c r="Q330" s="1">
        <v>0.76953995738426473</v>
      </c>
      <c r="R330" s="1">
        <v>0.10285676657879272</v>
      </c>
    </row>
    <row r="331" spans="1:18" x14ac:dyDescent="0.35">
      <c r="A331" t="s">
        <v>333</v>
      </c>
      <c r="B331" s="2">
        <v>45790</v>
      </c>
      <c r="C331" s="3">
        <f t="shared" si="36"/>
        <v>48</v>
      </c>
      <c r="D331">
        <f t="shared" si="37"/>
        <v>974</v>
      </c>
      <c r="E331">
        <f t="shared" si="38"/>
        <v>32</v>
      </c>
      <c r="F331">
        <f t="shared" si="39"/>
        <v>5</v>
      </c>
      <c r="G331">
        <f t="shared" si="42"/>
        <v>4</v>
      </c>
      <c r="H331">
        <f t="shared" si="40"/>
        <v>4</v>
      </c>
      <c r="I331" s="9" t="str">
        <f t="shared" si="41"/>
        <v>544</v>
      </c>
      <c r="Q331" s="1">
        <v>0.37237858153460512</v>
      </c>
      <c r="R331" s="1">
        <v>0.75455859529762259</v>
      </c>
    </row>
    <row r="332" spans="1:18" x14ac:dyDescent="0.35">
      <c r="A332" t="s">
        <v>334</v>
      </c>
      <c r="B332" s="2">
        <v>45806</v>
      </c>
      <c r="C332" s="3">
        <f t="shared" si="36"/>
        <v>32</v>
      </c>
      <c r="D332">
        <f t="shared" si="37"/>
        <v>1002</v>
      </c>
      <c r="E332">
        <f t="shared" si="38"/>
        <v>33</v>
      </c>
      <c r="F332">
        <f t="shared" si="39"/>
        <v>5</v>
      </c>
      <c r="G332">
        <f t="shared" si="42"/>
        <v>4</v>
      </c>
      <c r="H332">
        <f t="shared" si="40"/>
        <v>4</v>
      </c>
      <c r="I332" s="9" t="str">
        <f t="shared" si="41"/>
        <v>544</v>
      </c>
      <c r="Q332" s="1">
        <v>0.59092380382515852</v>
      </c>
      <c r="R332" s="1">
        <v>0.68848691109108406</v>
      </c>
    </row>
    <row r="333" spans="1:18" x14ac:dyDescent="0.35">
      <c r="A333" t="s">
        <v>335</v>
      </c>
      <c r="B333" s="2">
        <v>45752</v>
      </c>
      <c r="C333" s="3">
        <f t="shared" si="36"/>
        <v>86</v>
      </c>
      <c r="D333">
        <f t="shared" si="37"/>
        <v>331</v>
      </c>
      <c r="E333">
        <f t="shared" si="38"/>
        <v>11</v>
      </c>
      <c r="F333">
        <f t="shared" si="39"/>
        <v>5</v>
      </c>
      <c r="G333">
        <f t="shared" si="42"/>
        <v>1</v>
      </c>
      <c r="H333">
        <f t="shared" si="40"/>
        <v>1</v>
      </c>
      <c r="I333" s="9" t="str">
        <f t="shared" si="41"/>
        <v>511</v>
      </c>
      <c r="Q333" s="1">
        <v>0.58453249225394877</v>
      </c>
      <c r="R333" s="1">
        <v>3.4495462312993053E-2</v>
      </c>
    </row>
    <row r="334" spans="1:18" x14ac:dyDescent="0.35">
      <c r="A334" t="s">
        <v>336</v>
      </c>
      <c r="B334" s="2">
        <v>45611</v>
      </c>
      <c r="C334" s="3">
        <f t="shared" si="36"/>
        <v>227</v>
      </c>
      <c r="D334">
        <f t="shared" si="37"/>
        <v>978</v>
      </c>
      <c r="E334">
        <f t="shared" si="38"/>
        <v>32</v>
      </c>
      <c r="F334">
        <f t="shared" si="39"/>
        <v>4</v>
      </c>
      <c r="G334">
        <f t="shared" si="42"/>
        <v>4</v>
      </c>
      <c r="H334">
        <f t="shared" si="40"/>
        <v>4</v>
      </c>
      <c r="I334" s="9" t="str">
        <f t="shared" si="41"/>
        <v>444</v>
      </c>
      <c r="Q334" s="1">
        <v>0.1164645026905774</v>
      </c>
      <c r="R334" s="1">
        <v>0.86825816750349449</v>
      </c>
    </row>
    <row r="335" spans="1:18" x14ac:dyDescent="0.35">
      <c r="A335" t="s">
        <v>337</v>
      </c>
      <c r="B335" s="2">
        <v>45727</v>
      </c>
      <c r="C335" s="3">
        <f t="shared" si="36"/>
        <v>111</v>
      </c>
      <c r="D335">
        <f t="shared" si="37"/>
        <v>1351</v>
      </c>
      <c r="E335">
        <f t="shared" si="38"/>
        <v>45</v>
      </c>
      <c r="F335">
        <f t="shared" si="39"/>
        <v>5</v>
      </c>
      <c r="G335">
        <f t="shared" si="42"/>
        <v>5</v>
      </c>
      <c r="H335">
        <f t="shared" si="40"/>
        <v>5</v>
      </c>
      <c r="I335" s="9" t="str">
        <f t="shared" si="41"/>
        <v>555</v>
      </c>
      <c r="Q335" s="1">
        <v>0.99634110676702214</v>
      </c>
      <c r="R335" s="1">
        <v>0.85594754075074453</v>
      </c>
    </row>
    <row r="336" spans="1:18" x14ac:dyDescent="0.35">
      <c r="A336" t="s">
        <v>338</v>
      </c>
      <c r="B336" s="2">
        <v>45401</v>
      </c>
      <c r="C336" s="3">
        <f t="shared" si="36"/>
        <v>437</v>
      </c>
      <c r="D336">
        <f t="shared" si="37"/>
        <v>652</v>
      </c>
      <c r="E336">
        <f t="shared" si="38"/>
        <v>22</v>
      </c>
      <c r="F336">
        <f t="shared" si="39"/>
        <v>1</v>
      </c>
      <c r="G336">
        <f t="shared" si="42"/>
        <v>2</v>
      </c>
      <c r="H336">
        <f t="shared" si="40"/>
        <v>2</v>
      </c>
      <c r="I336" s="9" t="str">
        <f t="shared" si="41"/>
        <v>122</v>
      </c>
      <c r="Q336" s="1">
        <v>0.20293517689736229</v>
      </c>
      <c r="R336" s="1">
        <v>0.51142819846932996</v>
      </c>
    </row>
    <row r="337" spans="1:18" x14ac:dyDescent="0.35">
      <c r="A337" t="s">
        <v>339</v>
      </c>
      <c r="B337" s="2">
        <v>45292</v>
      </c>
      <c r="C337" s="3">
        <f t="shared" si="36"/>
        <v>546</v>
      </c>
      <c r="D337">
        <f t="shared" si="37"/>
        <v>995</v>
      </c>
      <c r="E337">
        <f t="shared" si="38"/>
        <v>33</v>
      </c>
      <c r="F337">
        <f t="shared" si="39"/>
        <v>1</v>
      </c>
      <c r="G337">
        <f t="shared" si="42"/>
        <v>4</v>
      </c>
      <c r="H337">
        <f t="shared" si="40"/>
        <v>4</v>
      </c>
      <c r="I337" s="9" t="str">
        <f t="shared" si="41"/>
        <v>144</v>
      </c>
      <c r="Q337" s="1">
        <v>1.0712207988372358E-2</v>
      </c>
      <c r="R337" s="1">
        <v>0.92948402551281839</v>
      </c>
    </row>
    <row r="338" spans="1:18" x14ac:dyDescent="0.35">
      <c r="A338" t="s">
        <v>340</v>
      </c>
      <c r="B338" s="2">
        <v>45620</v>
      </c>
      <c r="C338" s="3">
        <f t="shared" si="36"/>
        <v>218</v>
      </c>
      <c r="D338">
        <f t="shared" si="37"/>
        <v>770</v>
      </c>
      <c r="E338">
        <f t="shared" si="38"/>
        <v>26</v>
      </c>
      <c r="F338">
        <f t="shared" si="39"/>
        <v>4</v>
      </c>
      <c r="G338">
        <f t="shared" si="42"/>
        <v>2</v>
      </c>
      <c r="H338">
        <f t="shared" si="40"/>
        <v>2</v>
      </c>
      <c r="I338" s="9" t="str">
        <f t="shared" si="41"/>
        <v>422</v>
      </c>
      <c r="Q338" s="1">
        <v>0.28472934476498124</v>
      </c>
      <c r="R338" s="1">
        <v>0.59240152230116894</v>
      </c>
    </row>
    <row r="339" spans="1:18" x14ac:dyDescent="0.35">
      <c r="A339" t="s">
        <v>341</v>
      </c>
      <c r="B339" s="2">
        <v>45693</v>
      </c>
      <c r="C339" s="3">
        <f t="shared" si="36"/>
        <v>145</v>
      </c>
      <c r="D339">
        <f t="shared" si="37"/>
        <v>829</v>
      </c>
      <c r="E339">
        <f t="shared" si="38"/>
        <v>27</v>
      </c>
      <c r="F339">
        <f t="shared" si="39"/>
        <v>4</v>
      </c>
      <c r="G339">
        <f t="shared" si="42"/>
        <v>4</v>
      </c>
      <c r="H339">
        <f t="shared" si="40"/>
        <v>4</v>
      </c>
      <c r="I339" s="9" t="str">
        <f t="shared" si="41"/>
        <v>444</v>
      </c>
      <c r="Q339" s="1">
        <v>0.65038141465634491</v>
      </c>
      <c r="R339" s="1">
        <v>0.49281676672550589</v>
      </c>
    </row>
    <row r="340" spans="1:18" x14ac:dyDescent="0.35">
      <c r="A340" t="s">
        <v>342</v>
      </c>
      <c r="B340" s="2">
        <v>45515</v>
      </c>
      <c r="C340" s="3">
        <f t="shared" si="36"/>
        <v>323</v>
      </c>
      <c r="D340">
        <f t="shared" si="37"/>
        <v>815</v>
      </c>
      <c r="E340">
        <f t="shared" si="38"/>
        <v>27</v>
      </c>
      <c r="F340">
        <f t="shared" si="39"/>
        <v>2</v>
      </c>
      <c r="G340">
        <f t="shared" si="42"/>
        <v>4</v>
      </c>
      <c r="H340">
        <f t="shared" si="40"/>
        <v>4</v>
      </c>
      <c r="I340" s="9" t="str">
        <f t="shared" si="41"/>
        <v>244</v>
      </c>
      <c r="Q340" s="1">
        <v>0.20004708679281902</v>
      </c>
      <c r="R340" s="1">
        <v>0.67292602965470361</v>
      </c>
    </row>
    <row r="341" spans="1:18" x14ac:dyDescent="0.35">
      <c r="A341" t="s">
        <v>343</v>
      </c>
      <c r="B341" s="2">
        <v>45485</v>
      </c>
      <c r="C341" s="3">
        <f t="shared" si="36"/>
        <v>353</v>
      </c>
      <c r="D341">
        <f t="shared" si="37"/>
        <v>911</v>
      </c>
      <c r="E341">
        <f t="shared" si="38"/>
        <v>30</v>
      </c>
      <c r="F341">
        <f t="shared" si="39"/>
        <v>2</v>
      </c>
      <c r="G341">
        <f t="shared" si="42"/>
        <v>4</v>
      </c>
      <c r="H341">
        <f t="shared" si="40"/>
        <v>4</v>
      </c>
      <c r="I341" s="9" t="str">
        <f t="shared" si="41"/>
        <v>244</v>
      </c>
      <c r="Q341" s="1">
        <v>0.15245702754961821</v>
      </c>
      <c r="R341" s="1">
        <v>0.78670090388723368</v>
      </c>
    </row>
    <row r="342" spans="1:18" x14ac:dyDescent="0.35">
      <c r="A342" t="s">
        <v>344</v>
      </c>
      <c r="B342" s="2">
        <v>45804</v>
      </c>
      <c r="C342" s="3">
        <f t="shared" si="36"/>
        <v>34</v>
      </c>
      <c r="D342">
        <f t="shared" si="37"/>
        <v>957</v>
      </c>
      <c r="E342">
        <f t="shared" si="38"/>
        <v>32</v>
      </c>
      <c r="F342">
        <f t="shared" si="39"/>
        <v>5</v>
      </c>
      <c r="G342">
        <f t="shared" si="42"/>
        <v>4</v>
      </c>
      <c r="H342">
        <f t="shared" si="40"/>
        <v>4</v>
      </c>
      <c r="I342" s="9" t="str">
        <f t="shared" si="41"/>
        <v>544</v>
      </c>
      <c r="Q342" s="1">
        <v>0.30333179250453235</v>
      </c>
      <c r="R342" s="1">
        <v>0.76721897341897294</v>
      </c>
    </row>
    <row r="343" spans="1:18" x14ac:dyDescent="0.35">
      <c r="A343" t="s">
        <v>345</v>
      </c>
      <c r="B343" s="2">
        <v>45837</v>
      </c>
      <c r="C343" s="3">
        <f t="shared" si="36"/>
        <v>1</v>
      </c>
      <c r="D343">
        <f t="shared" si="37"/>
        <v>721</v>
      </c>
      <c r="E343">
        <f t="shared" si="38"/>
        <v>24</v>
      </c>
      <c r="F343">
        <f t="shared" si="39"/>
        <v>5</v>
      </c>
      <c r="G343">
        <f t="shared" si="42"/>
        <v>2</v>
      </c>
      <c r="H343">
        <f t="shared" si="40"/>
        <v>2</v>
      </c>
      <c r="I343" s="9" t="str">
        <f t="shared" si="41"/>
        <v>522</v>
      </c>
      <c r="Q343" s="1">
        <v>0.29859577561818851</v>
      </c>
      <c r="R343" s="1">
        <v>0.53863207724010953</v>
      </c>
    </row>
    <row r="344" spans="1:18" x14ac:dyDescent="0.35">
      <c r="A344" t="s">
        <v>346</v>
      </c>
      <c r="B344" s="2">
        <v>45500</v>
      </c>
      <c r="C344" s="3">
        <f t="shared" si="36"/>
        <v>338</v>
      </c>
      <c r="D344">
        <f t="shared" si="37"/>
        <v>939</v>
      </c>
      <c r="E344">
        <f t="shared" si="38"/>
        <v>31</v>
      </c>
      <c r="F344">
        <f t="shared" si="39"/>
        <v>2</v>
      </c>
      <c r="G344">
        <f t="shared" si="42"/>
        <v>4</v>
      </c>
      <c r="H344">
        <f t="shared" si="40"/>
        <v>4</v>
      </c>
      <c r="I344" s="9" t="str">
        <f t="shared" si="41"/>
        <v>244</v>
      </c>
      <c r="Q344" s="1">
        <v>0.75725401299886685</v>
      </c>
      <c r="R344" s="1">
        <v>0.55480555364501716</v>
      </c>
    </row>
    <row r="345" spans="1:18" x14ac:dyDescent="0.35">
      <c r="A345" t="s">
        <v>347</v>
      </c>
      <c r="B345" s="2">
        <v>45683</v>
      </c>
      <c r="C345" s="3">
        <f t="shared" si="36"/>
        <v>155</v>
      </c>
      <c r="D345">
        <f t="shared" si="37"/>
        <v>815</v>
      </c>
      <c r="E345">
        <f t="shared" si="38"/>
        <v>27</v>
      </c>
      <c r="F345">
        <f t="shared" si="39"/>
        <v>4</v>
      </c>
      <c r="G345">
        <f t="shared" si="42"/>
        <v>4</v>
      </c>
      <c r="H345">
        <f t="shared" si="40"/>
        <v>4</v>
      </c>
      <c r="I345" s="9" t="str">
        <f t="shared" si="41"/>
        <v>444</v>
      </c>
      <c r="Q345" s="1">
        <v>0.56536802649739015</v>
      </c>
      <c r="R345" s="1">
        <v>0.5164832385101733</v>
      </c>
    </row>
    <row r="346" spans="1:18" x14ac:dyDescent="0.35">
      <c r="A346" t="s">
        <v>348</v>
      </c>
      <c r="B346" s="2">
        <v>45755</v>
      </c>
      <c r="C346" s="3">
        <f t="shared" si="36"/>
        <v>83</v>
      </c>
      <c r="D346">
        <f t="shared" si="37"/>
        <v>188</v>
      </c>
      <c r="E346">
        <f t="shared" si="38"/>
        <v>6</v>
      </c>
      <c r="F346">
        <f t="shared" si="39"/>
        <v>5</v>
      </c>
      <c r="G346">
        <f t="shared" si="42"/>
        <v>1</v>
      </c>
      <c r="H346">
        <f t="shared" si="40"/>
        <v>1</v>
      </c>
      <c r="I346" s="9" t="str">
        <f t="shared" si="41"/>
        <v>511</v>
      </c>
      <c r="Q346" s="1">
        <v>0.31472314708440652</v>
      </c>
      <c r="R346" s="1">
        <v>9.6538951432898479E-3</v>
      </c>
    </row>
    <row r="347" spans="1:18" x14ac:dyDescent="0.35">
      <c r="A347" t="s">
        <v>349</v>
      </c>
      <c r="B347" s="2">
        <v>45546</v>
      </c>
      <c r="C347" s="3">
        <f t="shared" si="36"/>
        <v>292</v>
      </c>
      <c r="D347">
        <f t="shared" si="37"/>
        <v>429</v>
      </c>
      <c r="E347">
        <f t="shared" si="38"/>
        <v>14</v>
      </c>
      <c r="F347">
        <f t="shared" si="39"/>
        <v>2</v>
      </c>
      <c r="G347">
        <f t="shared" si="42"/>
        <v>1</v>
      </c>
      <c r="H347">
        <f t="shared" si="40"/>
        <v>1</v>
      </c>
      <c r="I347" s="9" t="str">
        <f t="shared" si="41"/>
        <v>211</v>
      </c>
      <c r="Q347" s="1">
        <v>0.87955902893926186</v>
      </c>
      <c r="R347" s="1">
        <v>3.9798985053349778E-3</v>
      </c>
    </row>
    <row r="348" spans="1:18" x14ac:dyDescent="0.35">
      <c r="A348" t="s">
        <v>350</v>
      </c>
      <c r="B348" s="2">
        <v>45681</v>
      </c>
      <c r="C348" s="3">
        <f t="shared" si="36"/>
        <v>157</v>
      </c>
      <c r="D348">
        <f t="shared" si="37"/>
        <v>1198</v>
      </c>
      <c r="E348">
        <f t="shared" si="38"/>
        <v>40</v>
      </c>
      <c r="F348">
        <f t="shared" si="39"/>
        <v>4</v>
      </c>
      <c r="G348">
        <f t="shared" si="42"/>
        <v>5</v>
      </c>
      <c r="H348">
        <f t="shared" si="40"/>
        <v>5</v>
      </c>
      <c r="I348" s="9" t="str">
        <f t="shared" si="41"/>
        <v>455</v>
      </c>
      <c r="Q348" s="1">
        <v>0.75895031176045669</v>
      </c>
      <c r="R348" s="1">
        <v>0.80738568095306396</v>
      </c>
    </row>
    <row r="349" spans="1:18" x14ac:dyDescent="0.35">
      <c r="A349" t="s">
        <v>351</v>
      </c>
      <c r="B349" s="2">
        <v>45506</v>
      </c>
      <c r="C349" s="3">
        <f t="shared" si="36"/>
        <v>332</v>
      </c>
      <c r="D349">
        <f t="shared" si="37"/>
        <v>1070</v>
      </c>
      <c r="E349">
        <f t="shared" si="38"/>
        <v>36</v>
      </c>
      <c r="F349">
        <f t="shared" si="39"/>
        <v>2</v>
      </c>
      <c r="G349">
        <f t="shared" si="42"/>
        <v>5</v>
      </c>
      <c r="H349">
        <f t="shared" si="40"/>
        <v>5</v>
      </c>
      <c r="I349" s="9" t="str">
        <f t="shared" si="41"/>
        <v>255</v>
      </c>
      <c r="Q349" s="1">
        <v>0.26661651479748849</v>
      </c>
      <c r="R349" s="1">
        <v>0.89351028689998102</v>
      </c>
    </row>
    <row r="350" spans="1:18" x14ac:dyDescent="0.35">
      <c r="A350" t="s">
        <v>352</v>
      </c>
      <c r="B350" s="2">
        <v>45296</v>
      </c>
      <c r="C350" s="3">
        <f t="shared" si="36"/>
        <v>542</v>
      </c>
      <c r="D350">
        <f t="shared" si="37"/>
        <v>911</v>
      </c>
      <c r="E350">
        <f t="shared" si="38"/>
        <v>30</v>
      </c>
      <c r="F350">
        <f t="shared" si="39"/>
        <v>1</v>
      </c>
      <c r="G350">
        <f t="shared" si="42"/>
        <v>4</v>
      </c>
      <c r="H350">
        <f t="shared" si="40"/>
        <v>4</v>
      </c>
      <c r="I350" s="9" t="str">
        <f t="shared" si="41"/>
        <v>144</v>
      </c>
      <c r="Q350" s="1">
        <v>0.96965591109232219</v>
      </c>
      <c r="R350" s="1">
        <v>0.43705270680549302</v>
      </c>
    </row>
    <row r="351" spans="1:18" x14ac:dyDescent="0.35">
      <c r="A351" t="s">
        <v>353</v>
      </c>
      <c r="B351" s="2">
        <v>45732</v>
      </c>
      <c r="C351" s="3">
        <f t="shared" si="36"/>
        <v>106</v>
      </c>
      <c r="D351">
        <f t="shared" si="37"/>
        <v>1254</v>
      </c>
      <c r="E351">
        <f t="shared" si="38"/>
        <v>42</v>
      </c>
      <c r="F351">
        <f t="shared" si="39"/>
        <v>5</v>
      </c>
      <c r="G351">
        <f t="shared" si="42"/>
        <v>5</v>
      </c>
      <c r="H351">
        <f t="shared" si="40"/>
        <v>5</v>
      </c>
      <c r="I351" s="9" t="str">
        <f t="shared" si="41"/>
        <v>555</v>
      </c>
      <c r="Q351" s="1">
        <v>0.47838441882591443</v>
      </c>
      <c r="R351" s="1">
        <v>0.9824689435004077</v>
      </c>
    </row>
    <row r="352" spans="1:18" x14ac:dyDescent="0.35">
      <c r="A352" t="s">
        <v>354</v>
      </c>
      <c r="B352" s="2">
        <v>45483</v>
      </c>
      <c r="C352" s="3">
        <f t="shared" si="36"/>
        <v>355</v>
      </c>
      <c r="D352">
        <f t="shared" si="37"/>
        <v>319</v>
      </c>
      <c r="E352">
        <f t="shared" si="38"/>
        <v>10</v>
      </c>
      <c r="F352">
        <f t="shared" si="39"/>
        <v>2</v>
      </c>
      <c r="G352">
        <f t="shared" si="42"/>
        <v>1</v>
      </c>
      <c r="H352">
        <f t="shared" si="40"/>
        <v>1</v>
      </c>
      <c r="I352" s="9" t="str">
        <f t="shared" si="41"/>
        <v>211</v>
      </c>
      <c r="Q352" s="1">
        <v>0.24217619982728344</v>
      </c>
      <c r="R352" s="1">
        <v>0.1694200938312681</v>
      </c>
    </row>
    <row r="353" spans="1:18" x14ac:dyDescent="0.35">
      <c r="A353" t="s">
        <v>355</v>
      </c>
      <c r="B353" s="2">
        <v>45433</v>
      </c>
      <c r="C353" s="3">
        <f t="shared" si="36"/>
        <v>405</v>
      </c>
      <c r="D353">
        <f t="shared" si="37"/>
        <v>232</v>
      </c>
      <c r="E353">
        <f t="shared" si="38"/>
        <v>7</v>
      </c>
      <c r="F353">
        <f t="shared" si="39"/>
        <v>2</v>
      </c>
      <c r="G353">
        <f t="shared" si="42"/>
        <v>1</v>
      </c>
      <c r="H353">
        <f t="shared" si="40"/>
        <v>1</v>
      </c>
      <c r="I353" s="9" t="str">
        <f t="shared" si="41"/>
        <v>211</v>
      </c>
      <c r="Q353" s="1">
        <v>0.40864936424426734</v>
      </c>
      <c r="R353" s="1">
        <v>1.2827751515906205E-2</v>
      </c>
    </row>
    <row r="354" spans="1:18" x14ac:dyDescent="0.35">
      <c r="A354" t="s">
        <v>356</v>
      </c>
      <c r="B354" s="2">
        <v>45745</v>
      </c>
      <c r="C354" s="3">
        <f t="shared" si="36"/>
        <v>93</v>
      </c>
      <c r="D354">
        <f t="shared" si="37"/>
        <v>290</v>
      </c>
      <c r="E354">
        <f t="shared" si="38"/>
        <v>9</v>
      </c>
      <c r="F354">
        <f t="shared" si="39"/>
        <v>5</v>
      </c>
      <c r="G354">
        <f t="shared" si="42"/>
        <v>1</v>
      </c>
      <c r="H354">
        <f t="shared" si="40"/>
        <v>1</v>
      </c>
      <c r="I354" s="9" t="str">
        <f t="shared" si="41"/>
        <v>511</v>
      </c>
      <c r="Q354" s="1">
        <v>0.56012099912587887</v>
      </c>
      <c r="R354" s="1">
        <v>4.7530381563448687E-3</v>
      </c>
    </row>
    <row r="355" spans="1:18" x14ac:dyDescent="0.35">
      <c r="A355" t="s">
        <v>357</v>
      </c>
      <c r="B355" s="2">
        <v>45341</v>
      </c>
      <c r="C355" s="3">
        <f t="shared" si="36"/>
        <v>497</v>
      </c>
      <c r="D355">
        <f t="shared" si="37"/>
        <v>492</v>
      </c>
      <c r="E355">
        <f t="shared" si="38"/>
        <v>16</v>
      </c>
      <c r="F355">
        <f t="shared" si="39"/>
        <v>1</v>
      </c>
      <c r="G355">
        <f t="shared" si="42"/>
        <v>1</v>
      </c>
      <c r="H355">
        <f t="shared" si="40"/>
        <v>1</v>
      </c>
      <c r="I355" s="9" t="str">
        <f t="shared" si="41"/>
        <v>111</v>
      </c>
      <c r="Q355" s="1">
        <v>0.28600156994422687</v>
      </c>
      <c r="R355" s="1">
        <v>0.31998988837758191</v>
      </c>
    </row>
    <row r="356" spans="1:18" x14ac:dyDescent="0.35">
      <c r="A356" t="s">
        <v>358</v>
      </c>
      <c r="B356" s="2">
        <v>45820</v>
      </c>
      <c r="C356" s="3">
        <f t="shared" si="36"/>
        <v>18</v>
      </c>
      <c r="D356">
        <f t="shared" si="37"/>
        <v>1119</v>
      </c>
      <c r="E356">
        <f t="shared" si="38"/>
        <v>37</v>
      </c>
      <c r="F356">
        <f t="shared" si="39"/>
        <v>5</v>
      </c>
      <c r="G356">
        <f t="shared" si="42"/>
        <v>5</v>
      </c>
      <c r="H356">
        <f t="shared" si="40"/>
        <v>5</v>
      </c>
      <c r="I356" s="9" t="str">
        <f t="shared" si="41"/>
        <v>555</v>
      </c>
      <c r="Q356" s="1">
        <v>0.38046088007584067</v>
      </c>
      <c r="R356" s="1">
        <v>0.89258493578878884</v>
      </c>
    </row>
    <row r="357" spans="1:18" x14ac:dyDescent="0.35">
      <c r="A357" t="s">
        <v>359</v>
      </c>
      <c r="B357" s="2">
        <v>45831</v>
      </c>
      <c r="C357" s="3">
        <f t="shared" si="36"/>
        <v>7</v>
      </c>
      <c r="D357">
        <f t="shared" si="37"/>
        <v>874</v>
      </c>
      <c r="E357">
        <f t="shared" si="38"/>
        <v>29</v>
      </c>
      <c r="F357">
        <f t="shared" si="39"/>
        <v>5</v>
      </c>
      <c r="G357">
        <f t="shared" si="42"/>
        <v>4</v>
      </c>
      <c r="H357">
        <f t="shared" si="40"/>
        <v>4</v>
      </c>
      <c r="I357" s="9" t="str">
        <f t="shared" si="41"/>
        <v>544</v>
      </c>
      <c r="Q357" s="1">
        <v>0.46337853132464912</v>
      </c>
      <c r="R357" s="1">
        <v>0.61751830533449314</v>
      </c>
    </row>
    <row r="358" spans="1:18" x14ac:dyDescent="0.35">
      <c r="A358" t="s">
        <v>360</v>
      </c>
      <c r="B358" s="2">
        <v>45836</v>
      </c>
      <c r="C358" s="3">
        <f t="shared" si="36"/>
        <v>2</v>
      </c>
      <c r="D358">
        <f t="shared" si="37"/>
        <v>585</v>
      </c>
      <c r="E358">
        <f t="shared" si="38"/>
        <v>19</v>
      </c>
      <c r="F358">
        <f t="shared" si="39"/>
        <v>5</v>
      </c>
      <c r="G358">
        <f t="shared" si="42"/>
        <v>2</v>
      </c>
      <c r="H358">
        <f t="shared" si="40"/>
        <v>2</v>
      </c>
      <c r="I358" s="9" t="str">
        <f t="shared" si="41"/>
        <v>522</v>
      </c>
      <c r="Q358" s="1">
        <v>0.90863359241612485</v>
      </c>
      <c r="R358" s="1">
        <v>0.14419371950880211</v>
      </c>
    </row>
    <row r="359" spans="1:18" x14ac:dyDescent="0.35">
      <c r="A359" t="s">
        <v>361</v>
      </c>
      <c r="B359" s="2">
        <v>45583</v>
      </c>
      <c r="C359" s="3">
        <f t="shared" si="36"/>
        <v>255</v>
      </c>
      <c r="D359">
        <f t="shared" si="37"/>
        <v>1008</v>
      </c>
      <c r="E359">
        <f t="shared" si="38"/>
        <v>33</v>
      </c>
      <c r="F359">
        <f t="shared" si="39"/>
        <v>4</v>
      </c>
      <c r="G359">
        <f t="shared" si="42"/>
        <v>4</v>
      </c>
      <c r="H359">
        <f t="shared" si="40"/>
        <v>4</v>
      </c>
      <c r="I359" s="9" t="str">
        <f t="shared" si="41"/>
        <v>444</v>
      </c>
      <c r="Q359" s="1">
        <v>0.62460235386838348</v>
      </c>
      <c r="R359" s="1">
        <v>0.67952991945677266</v>
      </c>
    </row>
    <row r="360" spans="1:18" x14ac:dyDescent="0.35">
      <c r="A360" t="s">
        <v>362</v>
      </c>
      <c r="B360" s="2">
        <v>45304</v>
      </c>
      <c r="C360" s="3">
        <f t="shared" si="36"/>
        <v>534</v>
      </c>
      <c r="D360">
        <f t="shared" si="37"/>
        <v>534</v>
      </c>
      <c r="E360">
        <f t="shared" si="38"/>
        <v>18</v>
      </c>
      <c r="F360">
        <f t="shared" si="39"/>
        <v>1</v>
      </c>
      <c r="G360">
        <f t="shared" si="42"/>
        <v>2</v>
      </c>
      <c r="H360">
        <f t="shared" si="40"/>
        <v>2</v>
      </c>
      <c r="I360" s="9" t="str">
        <f t="shared" si="41"/>
        <v>122</v>
      </c>
      <c r="Q360" s="1">
        <v>0.61754408272301975</v>
      </c>
      <c r="R360" s="1">
        <v>0.21843382026562519</v>
      </c>
    </row>
    <row r="361" spans="1:18" x14ac:dyDescent="0.35">
      <c r="A361" t="s">
        <v>363</v>
      </c>
      <c r="B361" s="2">
        <v>45515</v>
      </c>
      <c r="C361" s="3">
        <f t="shared" si="36"/>
        <v>323</v>
      </c>
      <c r="D361">
        <f t="shared" si="37"/>
        <v>269</v>
      </c>
      <c r="E361">
        <f t="shared" si="38"/>
        <v>9</v>
      </c>
      <c r="F361">
        <f t="shared" si="39"/>
        <v>2</v>
      </c>
      <c r="G361">
        <f t="shared" si="42"/>
        <v>1</v>
      </c>
      <c r="H361">
        <f t="shared" si="40"/>
        <v>1</v>
      </c>
      <c r="I361" s="9" t="str">
        <f t="shared" si="41"/>
        <v>211</v>
      </c>
      <c r="Q361" s="1">
        <v>0.1102725235791514</v>
      </c>
      <c r="R361" s="1">
        <v>0.17674802142849433</v>
      </c>
    </row>
    <row r="362" spans="1:18" x14ac:dyDescent="0.35">
      <c r="A362" t="s">
        <v>364</v>
      </c>
      <c r="B362" s="2">
        <v>45769</v>
      </c>
      <c r="C362" s="3">
        <f t="shared" si="36"/>
        <v>69</v>
      </c>
      <c r="D362">
        <f t="shared" si="37"/>
        <v>828</v>
      </c>
      <c r="E362">
        <f t="shared" si="38"/>
        <v>27</v>
      </c>
      <c r="F362">
        <f t="shared" si="39"/>
        <v>5</v>
      </c>
      <c r="G362">
        <f t="shared" si="42"/>
        <v>4</v>
      </c>
      <c r="H362">
        <f t="shared" si="40"/>
        <v>4</v>
      </c>
      <c r="I362" s="9" t="str">
        <f t="shared" si="41"/>
        <v>544</v>
      </c>
      <c r="Q362" s="1">
        <v>0.96986160440197733</v>
      </c>
      <c r="R362" s="1">
        <v>0.35571146808565302</v>
      </c>
    </row>
    <row r="363" spans="1:18" x14ac:dyDescent="0.35">
      <c r="A363" t="s">
        <v>365</v>
      </c>
      <c r="B363" s="2">
        <v>45470</v>
      </c>
      <c r="C363" s="3">
        <f t="shared" si="36"/>
        <v>368</v>
      </c>
      <c r="D363">
        <f t="shared" si="37"/>
        <v>375</v>
      </c>
      <c r="E363">
        <f t="shared" si="38"/>
        <v>12</v>
      </c>
      <c r="F363">
        <f t="shared" si="39"/>
        <v>2</v>
      </c>
      <c r="G363">
        <f t="shared" si="42"/>
        <v>1</v>
      </c>
      <c r="H363">
        <f t="shared" si="40"/>
        <v>1</v>
      </c>
      <c r="I363" s="9" t="str">
        <f t="shared" si="41"/>
        <v>211</v>
      </c>
      <c r="Q363" s="1">
        <v>2.4162071186167089E-2</v>
      </c>
      <c r="R363" s="1">
        <v>0.3174638701674527</v>
      </c>
    </row>
    <row r="364" spans="1:18" x14ac:dyDescent="0.35">
      <c r="A364" t="s">
        <v>366</v>
      </c>
      <c r="B364" s="2">
        <v>45493</v>
      </c>
      <c r="C364" s="3">
        <f t="shared" si="36"/>
        <v>345</v>
      </c>
      <c r="D364">
        <f t="shared" si="37"/>
        <v>354</v>
      </c>
      <c r="E364">
        <f t="shared" si="38"/>
        <v>12</v>
      </c>
      <c r="F364">
        <f t="shared" si="39"/>
        <v>2</v>
      </c>
      <c r="G364">
        <f t="shared" si="42"/>
        <v>1</v>
      </c>
      <c r="H364">
        <f t="shared" si="40"/>
        <v>1</v>
      </c>
      <c r="I364" s="9" t="str">
        <f t="shared" si="41"/>
        <v>211</v>
      </c>
      <c r="Q364" s="1">
        <v>0.18776010038954138</v>
      </c>
      <c r="R364" s="1">
        <v>0.226626188164327</v>
      </c>
    </row>
    <row r="365" spans="1:18" x14ac:dyDescent="0.35">
      <c r="A365" t="s">
        <v>367</v>
      </c>
      <c r="B365" s="2">
        <v>45384</v>
      </c>
      <c r="C365" s="3">
        <f t="shared" si="36"/>
        <v>454</v>
      </c>
      <c r="D365">
        <f t="shared" si="37"/>
        <v>1246</v>
      </c>
      <c r="E365">
        <f t="shared" si="38"/>
        <v>41</v>
      </c>
      <c r="F365">
        <f t="shared" si="39"/>
        <v>1</v>
      </c>
      <c r="G365">
        <f t="shared" si="42"/>
        <v>5</v>
      </c>
      <c r="H365">
        <f t="shared" si="40"/>
        <v>5</v>
      </c>
      <c r="I365" s="9" t="str">
        <f t="shared" si="41"/>
        <v>155</v>
      </c>
      <c r="Q365" s="1">
        <v>0.91742113662492231</v>
      </c>
      <c r="R365" s="1">
        <v>0.78721257686019686</v>
      </c>
    </row>
    <row r="366" spans="1:18" x14ac:dyDescent="0.35">
      <c r="A366" t="s">
        <v>368</v>
      </c>
      <c r="B366" s="2">
        <v>45499</v>
      </c>
      <c r="C366" s="3">
        <f t="shared" si="36"/>
        <v>339</v>
      </c>
      <c r="D366">
        <f t="shared" si="37"/>
        <v>494</v>
      </c>
      <c r="E366">
        <f t="shared" si="38"/>
        <v>16</v>
      </c>
      <c r="F366">
        <f t="shared" si="39"/>
        <v>2</v>
      </c>
      <c r="G366">
        <f t="shared" si="42"/>
        <v>1</v>
      </c>
      <c r="H366">
        <f t="shared" si="40"/>
        <v>1</v>
      </c>
      <c r="I366" s="9" t="str">
        <f t="shared" si="41"/>
        <v>211</v>
      </c>
      <c r="Q366" s="1">
        <v>7.6115533151090986E-2</v>
      </c>
      <c r="R366" s="1">
        <v>0.41122788675711841</v>
      </c>
    </row>
    <row r="367" spans="1:18" x14ac:dyDescent="0.35">
      <c r="A367" t="s">
        <v>369</v>
      </c>
      <c r="B367" s="2">
        <v>45610</v>
      </c>
      <c r="C367" s="3">
        <f t="shared" si="36"/>
        <v>228</v>
      </c>
      <c r="D367">
        <f t="shared" si="37"/>
        <v>988</v>
      </c>
      <c r="E367">
        <f t="shared" si="38"/>
        <v>33</v>
      </c>
      <c r="F367">
        <f t="shared" si="39"/>
        <v>4</v>
      </c>
      <c r="G367">
        <f t="shared" si="42"/>
        <v>4</v>
      </c>
      <c r="H367">
        <f t="shared" si="40"/>
        <v>4</v>
      </c>
      <c r="I367" s="9" t="str">
        <f t="shared" si="41"/>
        <v>444</v>
      </c>
      <c r="Q367" s="1">
        <v>0.20239580319668093</v>
      </c>
      <c r="R367" s="1">
        <v>0.84099872288563593</v>
      </c>
    </row>
    <row r="368" spans="1:18" x14ac:dyDescent="0.35">
      <c r="A368" t="s">
        <v>370</v>
      </c>
      <c r="B368" s="2">
        <v>45662</v>
      </c>
      <c r="C368" s="3">
        <f t="shared" si="36"/>
        <v>176</v>
      </c>
      <c r="D368">
        <f t="shared" si="37"/>
        <v>244</v>
      </c>
      <c r="E368">
        <f t="shared" si="38"/>
        <v>8</v>
      </c>
      <c r="F368">
        <f t="shared" si="39"/>
        <v>4</v>
      </c>
      <c r="G368">
        <f t="shared" si="42"/>
        <v>1</v>
      </c>
      <c r="H368">
        <f t="shared" si="40"/>
        <v>1</v>
      </c>
      <c r="I368" s="9" t="str">
        <f t="shared" si="41"/>
        <v>411</v>
      </c>
      <c r="Q368" s="1">
        <v>0.37272312170272404</v>
      </c>
      <c r="R368" s="1">
        <v>3.967051521230891E-2</v>
      </c>
    </row>
    <row r="369" spans="1:18" x14ac:dyDescent="0.35">
      <c r="A369" t="s">
        <v>371</v>
      </c>
      <c r="B369" s="2">
        <v>45715</v>
      </c>
      <c r="C369" s="3">
        <f t="shared" si="36"/>
        <v>123</v>
      </c>
      <c r="D369">
        <f t="shared" si="37"/>
        <v>1150</v>
      </c>
      <c r="E369">
        <f t="shared" si="38"/>
        <v>38</v>
      </c>
      <c r="F369">
        <f t="shared" si="39"/>
        <v>4</v>
      </c>
      <c r="G369">
        <f t="shared" si="42"/>
        <v>5</v>
      </c>
      <c r="H369">
        <f t="shared" si="40"/>
        <v>5</v>
      </c>
      <c r="I369" s="9" t="str">
        <f t="shared" si="41"/>
        <v>455</v>
      </c>
      <c r="Q369" s="1">
        <v>0.21310808710082296</v>
      </c>
      <c r="R369" s="1">
        <v>0.99451137034294423</v>
      </c>
    </row>
    <row r="370" spans="1:18" x14ac:dyDescent="0.35">
      <c r="A370" t="s">
        <v>372</v>
      </c>
      <c r="B370" s="2">
        <v>45603</v>
      </c>
      <c r="C370" s="3">
        <f t="shared" si="36"/>
        <v>235</v>
      </c>
      <c r="D370">
        <f t="shared" si="37"/>
        <v>308</v>
      </c>
      <c r="E370">
        <f t="shared" si="38"/>
        <v>10</v>
      </c>
      <c r="F370">
        <f t="shared" si="39"/>
        <v>4</v>
      </c>
      <c r="G370">
        <f t="shared" si="42"/>
        <v>1</v>
      </c>
      <c r="H370">
        <f t="shared" si="40"/>
        <v>1</v>
      </c>
      <c r="I370" s="9" t="str">
        <f t="shared" si="41"/>
        <v>411</v>
      </c>
      <c r="Q370" s="1">
        <v>0.44010601844042019</v>
      </c>
      <c r="R370" s="1">
        <v>7.3794995957009113E-2</v>
      </c>
    </row>
    <row r="371" spans="1:18" x14ac:dyDescent="0.35">
      <c r="A371" t="s">
        <v>373</v>
      </c>
      <c r="B371" s="2">
        <v>45404</v>
      </c>
      <c r="C371" s="3">
        <f t="shared" si="36"/>
        <v>434</v>
      </c>
      <c r="D371">
        <f t="shared" si="37"/>
        <v>1101</v>
      </c>
      <c r="E371">
        <f t="shared" si="38"/>
        <v>37</v>
      </c>
      <c r="F371">
        <f t="shared" si="39"/>
        <v>1</v>
      </c>
      <c r="G371">
        <f t="shared" si="42"/>
        <v>5</v>
      </c>
      <c r="H371">
        <f t="shared" si="40"/>
        <v>5</v>
      </c>
      <c r="I371" s="9" t="str">
        <f t="shared" si="41"/>
        <v>155</v>
      </c>
      <c r="Q371" s="1">
        <v>0.79588494176462721</v>
      </c>
      <c r="R371" s="1">
        <v>0.69727458279690102</v>
      </c>
    </row>
    <row r="372" spans="1:18" x14ac:dyDescent="0.35">
      <c r="A372" t="s">
        <v>374</v>
      </c>
      <c r="B372" s="2">
        <v>45302</v>
      </c>
      <c r="C372" s="3">
        <f t="shared" si="36"/>
        <v>536</v>
      </c>
      <c r="D372">
        <f t="shared" si="37"/>
        <v>576</v>
      </c>
      <c r="E372">
        <f t="shared" si="38"/>
        <v>19</v>
      </c>
      <c r="F372">
        <f t="shared" si="39"/>
        <v>1</v>
      </c>
      <c r="G372">
        <f t="shared" si="42"/>
        <v>2</v>
      </c>
      <c r="H372">
        <f t="shared" si="40"/>
        <v>2</v>
      </c>
      <c r="I372" s="9" t="str">
        <f t="shared" si="41"/>
        <v>122</v>
      </c>
      <c r="Q372" s="1">
        <v>0.70491272953221318</v>
      </c>
      <c r="R372" s="1">
        <v>0.2225227624576076</v>
      </c>
    </row>
    <row r="373" spans="1:18" x14ac:dyDescent="0.35">
      <c r="A373" t="s">
        <v>375</v>
      </c>
      <c r="B373" s="2">
        <v>45693</v>
      </c>
      <c r="C373" s="3">
        <f t="shared" si="36"/>
        <v>145</v>
      </c>
      <c r="D373">
        <f t="shared" si="37"/>
        <v>572</v>
      </c>
      <c r="E373">
        <f t="shared" si="38"/>
        <v>19</v>
      </c>
      <c r="F373">
        <f t="shared" si="39"/>
        <v>4</v>
      </c>
      <c r="G373">
        <f t="shared" si="42"/>
        <v>2</v>
      </c>
      <c r="H373">
        <f t="shared" si="40"/>
        <v>2</v>
      </c>
      <c r="I373" s="9" t="str">
        <f t="shared" si="41"/>
        <v>422</v>
      </c>
      <c r="Q373" s="1">
        <v>0.69294677586340825</v>
      </c>
      <c r="R373" s="1">
        <v>0.22344054010891179</v>
      </c>
    </row>
    <row r="374" spans="1:18" x14ac:dyDescent="0.35">
      <c r="A374" t="s">
        <v>376</v>
      </c>
      <c r="B374" s="2">
        <v>45649</v>
      </c>
      <c r="C374" s="3">
        <f t="shared" si="36"/>
        <v>189</v>
      </c>
      <c r="D374">
        <f t="shared" si="37"/>
        <v>632</v>
      </c>
      <c r="E374">
        <f t="shared" si="38"/>
        <v>21</v>
      </c>
      <c r="F374">
        <f t="shared" si="39"/>
        <v>4</v>
      </c>
      <c r="G374">
        <f t="shared" si="42"/>
        <v>2</v>
      </c>
      <c r="H374">
        <f t="shared" si="40"/>
        <v>2</v>
      </c>
      <c r="I374" s="9" t="str">
        <f t="shared" si="41"/>
        <v>422</v>
      </c>
      <c r="Q374" s="1">
        <v>0.73777151519427941</v>
      </c>
      <c r="R374" s="1">
        <v>0.26288459389023766</v>
      </c>
    </row>
    <row r="375" spans="1:18" x14ac:dyDescent="0.35">
      <c r="A375" t="s">
        <v>377</v>
      </c>
      <c r="B375" s="2">
        <v>45633</v>
      </c>
      <c r="C375" s="3">
        <f t="shared" si="36"/>
        <v>205</v>
      </c>
      <c r="D375">
        <f t="shared" si="37"/>
        <v>703</v>
      </c>
      <c r="E375">
        <f t="shared" si="38"/>
        <v>23</v>
      </c>
      <c r="F375">
        <f t="shared" si="39"/>
        <v>4</v>
      </c>
      <c r="G375">
        <f t="shared" si="42"/>
        <v>2</v>
      </c>
      <c r="H375">
        <f t="shared" si="40"/>
        <v>2</v>
      </c>
      <c r="I375" s="9" t="str">
        <f t="shared" si="41"/>
        <v>422</v>
      </c>
      <c r="Q375" s="1">
        <v>0.94595327505451055</v>
      </c>
      <c r="R375" s="1">
        <v>0.24322869396717184</v>
      </c>
    </row>
    <row r="376" spans="1:18" x14ac:dyDescent="0.35">
      <c r="A376" t="s">
        <v>378</v>
      </c>
      <c r="B376" s="2">
        <v>45470</v>
      </c>
      <c r="C376" s="3">
        <f t="shared" si="36"/>
        <v>368</v>
      </c>
      <c r="D376">
        <f t="shared" si="37"/>
        <v>1261</v>
      </c>
      <c r="E376">
        <f t="shared" si="38"/>
        <v>42</v>
      </c>
      <c r="F376">
        <f t="shared" si="39"/>
        <v>2</v>
      </c>
      <c r="G376">
        <f t="shared" si="42"/>
        <v>5</v>
      </c>
      <c r="H376">
        <f t="shared" si="40"/>
        <v>5</v>
      </c>
      <c r="I376" s="9" t="str">
        <f t="shared" si="41"/>
        <v>255</v>
      </c>
      <c r="Q376" s="1">
        <v>0.46017700198913369</v>
      </c>
      <c r="R376" s="1">
        <v>0.99776842572402646</v>
      </c>
    </row>
    <row r="377" spans="1:18" x14ac:dyDescent="0.35">
      <c r="A377" t="s">
        <v>379</v>
      </c>
      <c r="B377" s="2">
        <v>45334</v>
      </c>
      <c r="C377" s="3">
        <f t="shared" si="36"/>
        <v>504</v>
      </c>
      <c r="D377">
        <f t="shared" si="37"/>
        <v>790</v>
      </c>
      <c r="E377">
        <f t="shared" si="38"/>
        <v>26</v>
      </c>
      <c r="F377">
        <f t="shared" si="39"/>
        <v>1</v>
      </c>
      <c r="G377">
        <f t="shared" si="42"/>
        <v>2</v>
      </c>
      <c r="H377">
        <f t="shared" si="40"/>
        <v>4</v>
      </c>
      <c r="I377" s="9" t="str">
        <f t="shared" si="41"/>
        <v>124</v>
      </c>
      <c r="Q377" s="1">
        <v>0.12794974382954749</v>
      </c>
      <c r="R377" s="1">
        <v>0.67877858902761123</v>
      </c>
    </row>
    <row r="378" spans="1:18" x14ac:dyDescent="0.35">
      <c r="A378" t="s">
        <v>380</v>
      </c>
      <c r="B378" s="2">
        <v>45505</v>
      </c>
      <c r="C378" s="3">
        <f t="shared" si="36"/>
        <v>333</v>
      </c>
      <c r="D378">
        <f t="shared" si="37"/>
        <v>1139</v>
      </c>
      <c r="E378">
        <f t="shared" si="38"/>
        <v>38</v>
      </c>
      <c r="F378">
        <f t="shared" si="39"/>
        <v>2</v>
      </c>
      <c r="G378">
        <f t="shared" si="42"/>
        <v>5</v>
      </c>
      <c r="H378">
        <f t="shared" si="40"/>
        <v>5</v>
      </c>
      <c r="I378" s="9" t="str">
        <f t="shared" si="41"/>
        <v>255</v>
      </c>
      <c r="Q378" s="1">
        <v>0.78163242039520098</v>
      </c>
      <c r="R378" s="1">
        <v>0.74028711222851074</v>
      </c>
    </row>
    <row r="379" spans="1:18" x14ac:dyDescent="0.35">
      <c r="A379" t="s">
        <v>381</v>
      </c>
      <c r="B379" s="2">
        <v>45302</v>
      </c>
      <c r="C379" s="3">
        <f t="shared" si="36"/>
        <v>536</v>
      </c>
      <c r="D379">
        <f t="shared" si="37"/>
        <v>1419</v>
      </c>
      <c r="E379">
        <f t="shared" si="38"/>
        <v>47</v>
      </c>
      <c r="F379">
        <f t="shared" si="39"/>
        <v>1</v>
      </c>
      <c r="G379">
        <f t="shared" si="42"/>
        <v>5</v>
      </c>
      <c r="H379">
        <f t="shared" si="40"/>
        <v>5</v>
      </c>
      <c r="I379" s="9" t="str">
        <f t="shared" si="41"/>
        <v>155</v>
      </c>
      <c r="Q379" s="1">
        <v>0.95706798249335978</v>
      </c>
      <c r="R379" s="1">
        <v>0.93909776474758333</v>
      </c>
    </row>
    <row r="380" spans="1:18" x14ac:dyDescent="0.35">
      <c r="A380" t="s">
        <v>382</v>
      </c>
      <c r="B380" s="2">
        <v>45786</v>
      </c>
      <c r="C380" s="3">
        <f t="shared" si="36"/>
        <v>52</v>
      </c>
      <c r="D380">
        <f t="shared" si="37"/>
        <v>440</v>
      </c>
      <c r="E380">
        <f t="shared" si="38"/>
        <v>14</v>
      </c>
      <c r="F380">
        <f t="shared" si="39"/>
        <v>5</v>
      </c>
      <c r="G380">
        <f t="shared" si="42"/>
        <v>1</v>
      </c>
      <c r="H380">
        <f t="shared" si="40"/>
        <v>1</v>
      </c>
      <c r="I380" s="9" t="str">
        <f t="shared" si="41"/>
        <v>511</v>
      </c>
      <c r="Q380" s="1">
        <v>0.59469044010604344</v>
      </c>
      <c r="R380" s="1">
        <v>0.13658512028384151</v>
      </c>
    </row>
    <row r="381" spans="1:18" x14ac:dyDescent="0.35">
      <c r="A381" t="s">
        <v>383</v>
      </c>
      <c r="B381" s="2">
        <v>45757</v>
      </c>
      <c r="C381" s="3">
        <f t="shared" si="36"/>
        <v>81</v>
      </c>
      <c r="D381">
        <f t="shared" si="37"/>
        <v>972</v>
      </c>
      <c r="E381">
        <f t="shared" si="38"/>
        <v>32</v>
      </c>
      <c r="F381">
        <f t="shared" si="39"/>
        <v>5</v>
      </c>
      <c r="G381">
        <f t="shared" si="42"/>
        <v>4</v>
      </c>
      <c r="H381">
        <f t="shared" si="40"/>
        <v>4</v>
      </c>
      <c r="I381" s="9" t="str">
        <f t="shared" si="41"/>
        <v>544</v>
      </c>
      <c r="Q381" s="1">
        <v>0.98127463462645781</v>
      </c>
      <c r="R381" s="1">
        <v>0.49147060343499249</v>
      </c>
    </row>
    <row r="382" spans="1:18" x14ac:dyDescent="0.35">
      <c r="A382" t="s">
        <v>384</v>
      </c>
      <c r="B382" s="2">
        <v>45651</v>
      </c>
      <c r="C382" s="3">
        <f t="shared" si="36"/>
        <v>187</v>
      </c>
      <c r="D382">
        <f t="shared" si="37"/>
        <v>770</v>
      </c>
      <c r="E382">
        <f t="shared" si="38"/>
        <v>25</v>
      </c>
      <c r="F382">
        <f t="shared" si="39"/>
        <v>4</v>
      </c>
      <c r="G382">
        <f t="shared" si="42"/>
        <v>2</v>
      </c>
      <c r="H382">
        <f t="shared" si="40"/>
        <v>2</v>
      </c>
      <c r="I382" s="9" t="str">
        <f t="shared" si="41"/>
        <v>422</v>
      </c>
      <c r="Q382" s="1">
        <v>0.74342315113835511</v>
      </c>
      <c r="R382" s="1">
        <v>0.39530385969170456</v>
      </c>
    </row>
    <row r="383" spans="1:18" x14ac:dyDescent="0.35">
      <c r="A383" t="s">
        <v>385</v>
      </c>
      <c r="B383" s="2">
        <v>45790</v>
      </c>
      <c r="C383" s="3">
        <f t="shared" si="36"/>
        <v>48</v>
      </c>
      <c r="D383">
        <f t="shared" si="37"/>
        <v>527</v>
      </c>
      <c r="E383">
        <f t="shared" si="38"/>
        <v>17</v>
      </c>
      <c r="F383">
        <f t="shared" si="39"/>
        <v>5</v>
      </c>
      <c r="G383">
        <f t="shared" si="42"/>
        <v>2</v>
      </c>
      <c r="H383">
        <f t="shared" si="40"/>
        <v>2</v>
      </c>
      <c r="I383" s="9" t="str">
        <f t="shared" si="41"/>
        <v>522</v>
      </c>
      <c r="Q383" s="1">
        <v>0.95557775719683957</v>
      </c>
      <c r="R383" s="1">
        <v>6.7200831148552687E-2</v>
      </c>
    </row>
    <row r="384" spans="1:18" x14ac:dyDescent="0.35">
      <c r="A384" t="s">
        <v>386</v>
      </c>
      <c r="B384" s="2">
        <v>45653</v>
      </c>
      <c r="C384" s="3">
        <f t="shared" si="36"/>
        <v>185</v>
      </c>
      <c r="D384">
        <f t="shared" si="37"/>
        <v>756</v>
      </c>
      <c r="E384">
        <f t="shared" si="38"/>
        <v>25</v>
      </c>
      <c r="F384">
        <f t="shared" si="39"/>
        <v>4</v>
      </c>
      <c r="G384">
        <f t="shared" si="42"/>
        <v>2</v>
      </c>
      <c r="H384">
        <f t="shared" si="40"/>
        <v>2</v>
      </c>
      <c r="I384" s="9" t="str">
        <f t="shared" si="41"/>
        <v>422</v>
      </c>
      <c r="Q384" s="1">
        <v>0.38768848715049387</v>
      </c>
      <c r="R384" s="1">
        <v>0.53400405017244301</v>
      </c>
    </row>
    <row r="385" spans="1:18" x14ac:dyDescent="0.35">
      <c r="A385" t="s">
        <v>387</v>
      </c>
      <c r="B385" s="2">
        <v>45570</v>
      </c>
      <c r="C385" s="3">
        <f t="shared" si="36"/>
        <v>268</v>
      </c>
      <c r="D385">
        <f t="shared" si="37"/>
        <v>91</v>
      </c>
      <c r="E385">
        <f t="shared" si="38"/>
        <v>3</v>
      </c>
      <c r="F385">
        <f t="shared" si="39"/>
        <v>4</v>
      </c>
      <c r="G385">
        <f t="shared" si="42"/>
        <v>1</v>
      </c>
      <c r="H385">
        <f t="shared" si="40"/>
        <v>1</v>
      </c>
      <c r="I385" s="9" t="str">
        <f t="shared" si="41"/>
        <v>411</v>
      </c>
      <c r="Q385" s="1">
        <v>2.6111466513986548E-2</v>
      </c>
      <c r="R385" s="1">
        <v>3.9132389898072106E-2</v>
      </c>
    </row>
    <row r="386" spans="1:18" x14ac:dyDescent="0.35">
      <c r="A386" t="s">
        <v>388</v>
      </c>
      <c r="B386" s="2">
        <v>45474</v>
      </c>
      <c r="C386" s="3">
        <f t="shared" si="36"/>
        <v>364</v>
      </c>
      <c r="D386">
        <f t="shared" si="37"/>
        <v>773</v>
      </c>
      <c r="E386">
        <f t="shared" si="38"/>
        <v>26</v>
      </c>
      <c r="F386">
        <f t="shared" si="39"/>
        <v>2</v>
      </c>
      <c r="G386">
        <f t="shared" si="42"/>
        <v>2</v>
      </c>
      <c r="H386">
        <f t="shared" si="40"/>
        <v>2</v>
      </c>
      <c r="I386" s="9" t="str">
        <f t="shared" si="41"/>
        <v>222</v>
      </c>
      <c r="Q386" s="1">
        <v>0.56395958547800085</v>
      </c>
      <c r="R386" s="1">
        <v>0.47559469224059281</v>
      </c>
    </row>
    <row r="387" spans="1:18" x14ac:dyDescent="0.35">
      <c r="A387" t="s">
        <v>389</v>
      </c>
      <c r="B387" s="2">
        <v>45533</v>
      </c>
      <c r="C387" s="3">
        <f t="shared" ref="C387:C450" si="43">$S$6-B387</f>
        <v>305</v>
      </c>
      <c r="D387">
        <f t="shared" ref="D387:D450" si="44">ROUND((R387*0.7+Q387*0.3)*(1500-40)+40,0)</f>
        <v>615</v>
      </c>
      <c r="E387">
        <f t="shared" ref="E387:E450" si="45">ROUND((R387*0.7+Q387*0.3)*(50-1)+1,0)</f>
        <v>20</v>
      </c>
      <c r="F387">
        <f t="shared" ref="F387:F450" si="46">IF(C387&lt;=$M$4,5,IF(C387&lt;=$M$9,4,IF(C387&lt;=$M$5,3,IF(C387&lt;=$M$6,2,1))))</f>
        <v>2</v>
      </c>
      <c r="G387">
        <f t="shared" si="42"/>
        <v>2</v>
      </c>
      <c r="H387">
        <f t="shared" ref="H387:H450" si="47">IF(D387&lt;=$M$24,1,IF(D387&lt;=$M$25,2,IF(D387&lt;=$M$29,3,IF(D387&lt;=$M$26,4,5))))</f>
        <v>2</v>
      </c>
      <c r="I387" s="9" t="str">
        <f t="shared" ref="I387:I450" si="48">CONCATENATE(F387,G387,H387)</f>
        <v>222</v>
      </c>
      <c r="Q387" s="1">
        <v>0.67624287031014307</v>
      </c>
      <c r="R387" s="1">
        <v>0.27237159145833101</v>
      </c>
    </row>
    <row r="388" spans="1:18" x14ac:dyDescent="0.35">
      <c r="A388" t="s">
        <v>390</v>
      </c>
      <c r="B388" s="2">
        <v>45340</v>
      </c>
      <c r="C388" s="3">
        <f t="shared" si="43"/>
        <v>498</v>
      </c>
      <c r="D388">
        <f t="shared" si="44"/>
        <v>1085</v>
      </c>
      <c r="E388">
        <f t="shared" si="45"/>
        <v>36</v>
      </c>
      <c r="F388">
        <f t="shared" si="46"/>
        <v>1</v>
      </c>
      <c r="G388">
        <f t="shared" ref="G388:G451" si="49">IF(E388&lt;=$M$14,1,IF(E388&lt;=$M$15,2,IF(E388&lt;=$M$19,3,IF(E388&lt;=$M$16,4,5))))</f>
        <v>5</v>
      </c>
      <c r="H388">
        <f t="shared" si="47"/>
        <v>5</v>
      </c>
      <c r="I388" s="9" t="str">
        <f t="shared" si="48"/>
        <v>155</v>
      </c>
      <c r="Q388" s="1">
        <v>6.4925702177747513E-2</v>
      </c>
      <c r="R388" s="1">
        <v>0.99467043315639669</v>
      </c>
    </row>
    <row r="389" spans="1:18" x14ac:dyDescent="0.35">
      <c r="A389" t="s">
        <v>391</v>
      </c>
      <c r="B389" s="2">
        <v>45816</v>
      </c>
      <c r="C389" s="3">
        <f t="shared" si="43"/>
        <v>22</v>
      </c>
      <c r="D389">
        <f t="shared" si="44"/>
        <v>704</v>
      </c>
      <c r="E389">
        <f t="shared" si="45"/>
        <v>23</v>
      </c>
      <c r="F389">
        <f t="shared" si="46"/>
        <v>5</v>
      </c>
      <c r="G389">
        <f t="shared" si="49"/>
        <v>2</v>
      </c>
      <c r="H389">
        <f t="shared" si="47"/>
        <v>2</v>
      </c>
      <c r="I389" s="9" t="str">
        <f t="shared" si="48"/>
        <v>522</v>
      </c>
      <c r="Q389" s="1">
        <v>0.67941201162044906</v>
      </c>
      <c r="R389" s="1">
        <v>0.35900168467740856</v>
      </c>
    </row>
    <row r="390" spans="1:18" x14ac:dyDescent="0.35">
      <c r="A390" t="s">
        <v>392</v>
      </c>
      <c r="B390" s="2">
        <v>45650</v>
      </c>
      <c r="C390" s="3">
        <f t="shared" si="43"/>
        <v>188</v>
      </c>
      <c r="D390">
        <f t="shared" si="44"/>
        <v>570</v>
      </c>
      <c r="E390">
        <f t="shared" si="45"/>
        <v>19</v>
      </c>
      <c r="F390">
        <f t="shared" si="46"/>
        <v>4</v>
      </c>
      <c r="G390">
        <f t="shared" si="49"/>
        <v>2</v>
      </c>
      <c r="H390">
        <f t="shared" si="47"/>
        <v>2</v>
      </c>
      <c r="I390" s="9" t="str">
        <f t="shared" si="48"/>
        <v>422</v>
      </c>
      <c r="Q390" s="1">
        <v>0.84387449988261332</v>
      </c>
      <c r="R390" s="1">
        <v>0.15670347160731835</v>
      </c>
    </row>
    <row r="391" spans="1:18" x14ac:dyDescent="0.35">
      <c r="A391" t="s">
        <v>393</v>
      </c>
      <c r="B391" s="2">
        <v>45671</v>
      </c>
      <c r="C391" s="3">
        <f t="shared" si="43"/>
        <v>167</v>
      </c>
      <c r="D391">
        <f t="shared" si="44"/>
        <v>450</v>
      </c>
      <c r="E391">
        <f t="shared" si="45"/>
        <v>15</v>
      </c>
      <c r="F391">
        <f t="shared" si="46"/>
        <v>4</v>
      </c>
      <c r="G391">
        <f t="shared" si="49"/>
        <v>1</v>
      </c>
      <c r="H391">
        <f t="shared" si="47"/>
        <v>1</v>
      </c>
      <c r="I391" s="9" t="str">
        <f t="shared" si="48"/>
        <v>411</v>
      </c>
      <c r="Q391" s="1">
        <v>0.12785619819176353</v>
      </c>
      <c r="R391" s="1">
        <v>0.34642612227834535</v>
      </c>
    </row>
    <row r="392" spans="1:18" x14ac:dyDescent="0.35">
      <c r="A392" t="s">
        <v>394</v>
      </c>
      <c r="B392" s="2">
        <v>45584</v>
      </c>
      <c r="C392" s="3">
        <f t="shared" si="43"/>
        <v>254</v>
      </c>
      <c r="D392">
        <f t="shared" si="44"/>
        <v>700</v>
      </c>
      <c r="E392">
        <f t="shared" si="45"/>
        <v>23</v>
      </c>
      <c r="F392">
        <f t="shared" si="46"/>
        <v>4</v>
      </c>
      <c r="G392">
        <f t="shared" si="49"/>
        <v>2</v>
      </c>
      <c r="H392">
        <f t="shared" si="47"/>
        <v>2</v>
      </c>
      <c r="I392" s="9" t="str">
        <f t="shared" si="48"/>
        <v>422</v>
      </c>
      <c r="Q392" s="1">
        <v>0.57447150663147328</v>
      </c>
      <c r="R392" s="1">
        <v>0.3992505704783702</v>
      </c>
    </row>
    <row r="393" spans="1:18" x14ac:dyDescent="0.35">
      <c r="A393" t="s">
        <v>395</v>
      </c>
      <c r="B393" s="2">
        <v>45470</v>
      </c>
      <c r="C393" s="3">
        <f t="shared" si="43"/>
        <v>368</v>
      </c>
      <c r="D393">
        <f t="shared" si="44"/>
        <v>608</v>
      </c>
      <c r="E393">
        <f t="shared" si="45"/>
        <v>20</v>
      </c>
      <c r="F393">
        <f t="shared" si="46"/>
        <v>2</v>
      </c>
      <c r="G393">
        <f t="shared" si="49"/>
        <v>2</v>
      </c>
      <c r="H393">
        <f t="shared" si="47"/>
        <v>2</v>
      </c>
      <c r="I393" s="9" t="str">
        <f t="shared" si="48"/>
        <v>222</v>
      </c>
      <c r="Q393" s="1">
        <v>0.79233147963377826</v>
      </c>
      <c r="R393" s="1">
        <v>0.2158234003213817</v>
      </c>
    </row>
    <row r="394" spans="1:18" x14ac:dyDescent="0.35">
      <c r="A394" t="s">
        <v>396</v>
      </c>
      <c r="B394" s="2">
        <v>45474</v>
      </c>
      <c r="C394" s="3">
        <f t="shared" si="43"/>
        <v>364</v>
      </c>
      <c r="D394">
        <f t="shared" si="44"/>
        <v>733</v>
      </c>
      <c r="E394">
        <f t="shared" si="45"/>
        <v>24</v>
      </c>
      <c r="F394">
        <f t="shared" si="46"/>
        <v>2</v>
      </c>
      <c r="G394">
        <f t="shared" si="49"/>
        <v>2</v>
      </c>
      <c r="H394">
        <f t="shared" si="47"/>
        <v>2</v>
      </c>
      <c r="I394" s="9" t="str">
        <f t="shared" si="48"/>
        <v>222</v>
      </c>
      <c r="Q394" s="1">
        <v>0.87093405947747038</v>
      </c>
      <c r="R394" s="1">
        <v>0.30439225966417249</v>
      </c>
    </row>
    <row r="395" spans="1:18" x14ac:dyDescent="0.35">
      <c r="A395" t="s">
        <v>397</v>
      </c>
      <c r="B395" s="2">
        <v>45521</v>
      </c>
      <c r="C395" s="3">
        <f t="shared" si="43"/>
        <v>317</v>
      </c>
      <c r="D395">
        <f t="shared" si="44"/>
        <v>1160</v>
      </c>
      <c r="E395">
        <f t="shared" si="45"/>
        <v>39</v>
      </c>
      <c r="F395">
        <f t="shared" si="46"/>
        <v>2</v>
      </c>
      <c r="G395">
        <f t="shared" si="49"/>
        <v>5</v>
      </c>
      <c r="H395">
        <f t="shared" si="47"/>
        <v>5</v>
      </c>
      <c r="I395" s="9" t="str">
        <f t="shared" si="48"/>
        <v>255</v>
      </c>
      <c r="Q395" s="1">
        <v>0.86477829786734162</v>
      </c>
      <c r="R395" s="1">
        <v>0.72495034677236447</v>
      </c>
    </row>
    <row r="396" spans="1:18" x14ac:dyDescent="0.35">
      <c r="A396" t="s">
        <v>398</v>
      </c>
      <c r="B396" s="2">
        <v>45466</v>
      </c>
      <c r="C396" s="3">
        <f t="shared" si="43"/>
        <v>372</v>
      </c>
      <c r="D396">
        <f t="shared" si="44"/>
        <v>385</v>
      </c>
      <c r="E396">
        <f t="shared" si="45"/>
        <v>13</v>
      </c>
      <c r="F396">
        <f t="shared" si="46"/>
        <v>2</v>
      </c>
      <c r="G396">
        <f t="shared" si="49"/>
        <v>1</v>
      </c>
      <c r="H396">
        <f t="shared" si="47"/>
        <v>1</v>
      </c>
      <c r="I396" s="9" t="str">
        <f t="shared" si="48"/>
        <v>211</v>
      </c>
      <c r="Q396" s="1">
        <v>0.16732370113284489</v>
      </c>
      <c r="R396" s="1">
        <v>0.26617848262157007</v>
      </c>
    </row>
    <row r="397" spans="1:18" x14ac:dyDescent="0.35">
      <c r="A397" t="s">
        <v>399</v>
      </c>
      <c r="B397" s="2">
        <v>45688</v>
      </c>
      <c r="C397" s="3">
        <f t="shared" si="43"/>
        <v>150</v>
      </c>
      <c r="D397">
        <f t="shared" si="44"/>
        <v>1020</v>
      </c>
      <c r="E397">
        <f t="shared" si="45"/>
        <v>34</v>
      </c>
      <c r="F397">
        <f t="shared" si="46"/>
        <v>4</v>
      </c>
      <c r="G397">
        <f t="shared" si="49"/>
        <v>4</v>
      </c>
      <c r="H397">
        <f t="shared" si="47"/>
        <v>4</v>
      </c>
      <c r="I397" s="9" t="str">
        <f t="shared" si="48"/>
        <v>444</v>
      </c>
      <c r="Q397" s="1">
        <v>0.51771420181061445</v>
      </c>
      <c r="R397" s="1">
        <v>0.73694561798859115</v>
      </c>
    </row>
    <row r="398" spans="1:18" x14ac:dyDescent="0.35">
      <c r="A398" t="s">
        <v>400</v>
      </c>
      <c r="B398" s="2">
        <v>45702</v>
      </c>
      <c r="C398" s="3">
        <f t="shared" si="43"/>
        <v>136</v>
      </c>
      <c r="D398">
        <f t="shared" si="44"/>
        <v>461</v>
      </c>
      <c r="E398">
        <f t="shared" si="45"/>
        <v>15</v>
      </c>
      <c r="F398">
        <f t="shared" si="46"/>
        <v>4</v>
      </c>
      <c r="G398">
        <f t="shared" si="49"/>
        <v>1</v>
      </c>
      <c r="H398">
        <f t="shared" si="47"/>
        <v>1</v>
      </c>
      <c r="I398" s="9" t="str">
        <f t="shared" si="48"/>
        <v>411</v>
      </c>
      <c r="Q398" s="1">
        <v>0.21686074826364932</v>
      </c>
      <c r="R398" s="1">
        <v>0.31897104257772313</v>
      </c>
    </row>
    <row r="399" spans="1:18" x14ac:dyDescent="0.35">
      <c r="A399" t="s">
        <v>401</v>
      </c>
      <c r="B399" s="2">
        <v>45813</v>
      </c>
      <c r="C399" s="3">
        <f t="shared" si="43"/>
        <v>25</v>
      </c>
      <c r="D399">
        <f t="shared" si="44"/>
        <v>524</v>
      </c>
      <c r="E399">
        <f t="shared" si="45"/>
        <v>17</v>
      </c>
      <c r="F399">
        <f t="shared" si="46"/>
        <v>5</v>
      </c>
      <c r="G399">
        <f t="shared" si="49"/>
        <v>2</v>
      </c>
      <c r="H399">
        <f t="shared" si="47"/>
        <v>2</v>
      </c>
      <c r="I399" s="9" t="str">
        <f t="shared" si="48"/>
        <v>522</v>
      </c>
      <c r="Q399" s="1">
        <v>0.96946905362858871</v>
      </c>
      <c r="R399" s="1">
        <v>5.7719318751772053E-2</v>
      </c>
    </row>
    <row r="400" spans="1:18" x14ac:dyDescent="0.35">
      <c r="A400" t="s">
        <v>402</v>
      </c>
      <c r="B400" s="2">
        <v>45785</v>
      </c>
      <c r="C400" s="3">
        <f t="shared" si="43"/>
        <v>53</v>
      </c>
      <c r="D400">
        <f t="shared" si="44"/>
        <v>1140</v>
      </c>
      <c r="E400">
        <f t="shared" si="45"/>
        <v>38</v>
      </c>
      <c r="F400">
        <f t="shared" si="46"/>
        <v>5</v>
      </c>
      <c r="G400">
        <f t="shared" si="49"/>
        <v>5</v>
      </c>
      <c r="H400">
        <f t="shared" si="47"/>
        <v>5</v>
      </c>
      <c r="I400" s="9" t="str">
        <f t="shared" si="48"/>
        <v>555</v>
      </c>
      <c r="Q400" s="1">
        <v>0.66048376807723075</v>
      </c>
      <c r="R400" s="1">
        <v>0.79373750622665118</v>
      </c>
    </row>
    <row r="401" spans="1:18" x14ac:dyDescent="0.35">
      <c r="A401" t="s">
        <v>403</v>
      </c>
      <c r="B401" s="2">
        <v>45451</v>
      </c>
      <c r="C401" s="3">
        <f t="shared" si="43"/>
        <v>387</v>
      </c>
      <c r="D401">
        <f t="shared" si="44"/>
        <v>1065</v>
      </c>
      <c r="E401">
        <f t="shared" si="45"/>
        <v>35</v>
      </c>
      <c r="F401">
        <f t="shared" si="46"/>
        <v>2</v>
      </c>
      <c r="G401">
        <f t="shared" si="49"/>
        <v>4</v>
      </c>
      <c r="H401">
        <f t="shared" si="47"/>
        <v>5</v>
      </c>
      <c r="I401" s="9" t="str">
        <f t="shared" si="48"/>
        <v>245</v>
      </c>
      <c r="Q401" s="1">
        <v>0.20168126383597562</v>
      </c>
      <c r="R401" s="1">
        <v>0.91667930911106721</v>
      </c>
    </row>
    <row r="402" spans="1:18" x14ac:dyDescent="0.35">
      <c r="A402" t="s">
        <v>404</v>
      </c>
      <c r="B402" s="2">
        <v>45713</v>
      </c>
      <c r="C402" s="3">
        <f t="shared" si="43"/>
        <v>125</v>
      </c>
      <c r="D402">
        <f t="shared" si="44"/>
        <v>949</v>
      </c>
      <c r="E402">
        <f t="shared" si="45"/>
        <v>31</v>
      </c>
      <c r="F402">
        <f t="shared" si="46"/>
        <v>4</v>
      </c>
      <c r="G402">
        <f t="shared" si="49"/>
        <v>4</v>
      </c>
      <c r="H402">
        <f t="shared" si="47"/>
        <v>4</v>
      </c>
      <c r="I402" s="9" t="str">
        <f t="shared" si="48"/>
        <v>444</v>
      </c>
      <c r="Q402" s="1">
        <v>0.83274936220182705</v>
      </c>
      <c r="R402" s="1">
        <v>0.53216815566661968</v>
      </c>
    </row>
    <row r="403" spans="1:18" x14ac:dyDescent="0.35">
      <c r="A403" t="s">
        <v>405</v>
      </c>
      <c r="B403" s="2">
        <v>45730</v>
      </c>
      <c r="C403" s="3">
        <f t="shared" si="43"/>
        <v>108</v>
      </c>
      <c r="D403">
        <f t="shared" si="44"/>
        <v>106</v>
      </c>
      <c r="E403">
        <f t="shared" si="45"/>
        <v>3</v>
      </c>
      <c r="F403">
        <f t="shared" si="46"/>
        <v>5</v>
      </c>
      <c r="G403">
        <f t="shared" si="49"/>
        <v>1</v>
      </c>
      <c r="H403">
        <f t="shared" si="47"/>
        <v>1</v>
      </c>
      <c r="I403" s="9" t="str">
        <f t="shared" si="48"/>
        <v>511</v>
      </c>
      <c r="Q403" s="1">
        <v>6.2303191323032747E-2</v>
      </c>
      <c r="R403" s="1">
        <v>3.772870429048969E-2</v>
      </c>
    </row>
    <row r="404" spans="1:18" x14ac:dyDescent="0.35">
      <c r="A404" t="s">
        <v>406</v>
      </c>
      <c r="B404" s="2">
        <v>45445</v>
      </c>
      <c r="C404" s="3">
        <f t="shared" si="43"/>
        <v>393</v>
      </c>
      <c r="D404">
        <f t="shared" si="44"/>
        <v>959</v>
      </c>
      <c r="E404">
        <f t="shared" si="45"/>
        <v>32</v>
      </c>
      <c r="F404">
        <f t="shared" si="46"/>
        <v>2</v>
      </c>
      <c r="G404">
        <f t="shared" si="49"/>
        <v>4</v>
      </c>
      <c r="H404">
        <f t="shared" si="47"/>
        <v>4</v>
      </c>
      <c r="I404" s="9" t="str">
        <f t="shared" si="48"/>
        <v>244</v>
      </c>
      <c r="Q404" s="1">
        <v>0.12947618025402985</v>
      </c>
      <c r="R404" s="1">
        <v>0.84356868513008487</v>
      </c>
    </row>
    <row r="405" spans="1:18" x14ac:dyDescent="0.35">
      <c r="A405" t="s">
        <v>407</v>
      </c>
      <c r="B405" s="2">
        <v>45782</v>
      </c>
      <c r="C405" s="3">
        <f t="shared" si="43"/>
        <v>56</v>
      </c>
      <c r="D405">
        <f t="shared" si="44"/>
        <v>245</v>
      </c>
      <c r="E405">
        <f t="shared" si="45"/>
        <v>8</v>
      </c>
      <c r="F405">
        <f t="shared" si="46"/>
        <v>5</v>
      </c>
      <c r="G405">
        <f t="shared" si="49"/>
        <v>1</v>
      </c>
      <c r="H405">
        <f t="shared" si="47"/>
        <v>1</v>
      </c>
      <c r="I405" s="9" t="str">
        <f t="shared" si="48"/>
        <v>511</v>
      </c>
      <c r="Q405" s="1">
        <v>7.4821407758830616E-2</v>
      </c>
      <c r="R405" s="1">
        <v>0.16881605679865264</v>
      </c>
    </row>
    <row r="406" spans="1:18" x14ac:dyDescent="0.35">
      <c r="A406" t="s">
        <v>408</v>
      </c>
      <c r="B406" s="2">
        <v>45520</v>
      </c>
      <c r="C406" s="3">
        <f t="shared" si="43"/>
        <v>318</v>
      </c>
      <c r="D406">
        <f t="shared" si="44"/>
        <v>1208</v>
      </c>
      <c r="E406">
        <f t="shared" si="45"/>
        <v>40</v>
      </c>
      <c r="F406">
        <f t="shared" si="46"/>
        <v>2</v>
      </c>
      <c r="G406">
        <f t="shared" si="49"/>
        <v>5</v>
      </c>
      <c r="H406">
        <f t="shared" si="47"/>
        <v>5</v>
      </c>
      <c r="I406" s="9" t="str">
        <f t="shared" si="48"/>
        <v>255</v>
      </c>
      <c r="Q406" s="1">
        <v>0.87803761498777322</v>
      </c>
      <c r="R406" s="1">
        <v>0.76685736654521963</v>
      </c>
    </row>
    <row r="407" spans="1:18" x14ac:dyDescent="0.35">
      <c r="A407" t="s">
        <v>409</v>
      </c>
      <c r="B407" s="2">
        <v>45771</v>
      </c>
      <c r="C407" s="3">
        <f t="shared" si="43"/>
        <v>67</v>
      </c>
      <c r="D407">
        <f t="shared" si="44"/>
        <v>114</v>
      </c>
      <c r="E407">
        <f t="shared" si="45"/>
        <v>3</v>
      </c>
      <c r="F407">
        <f t="shared" si="46"/>
        <v>5</v>
      </c>
      <c r="G407">
        <f t="shared" si="49"/>
        <v>1</v>
      </c>
      <c r="H407">
        <f t="shared" si="47"/>
        <v>1</v>
      </c>
      <c r="I407" s="9" t="str">
        <f t="shared" si="48"/>
        <v>511</v>
      </c>
      <c r="Q407" s="1">
        <v>8.6699509203301273E-2</v>
      </c>
      <c r="R407" s="1">
        <v>3.5555904258599114E-2</v>
      </c>
    </row>
    <row r="408" spans="1:18" x14ac:dyDescent="0.35">
      <c r="A408" t="s">
        <v>410</v>
      </c>
      <c r="B408" s="2">
        <v>45467</v>
      </c>
      <c r="C408" s="3">
        <f t="shared" si="43"/>
        <v>371</v>
      </c>
      <c r="D408">
        <f t="shared" si="44"/>
        <v>319</v>
      </c>
      <c r="E408">
        <f t="shared" si="45"/>
        <v>10</v>
      </c>
      <c r="F408">
        <f t="shared" si="46"/>
        <v>2</v>
      </c>
      <c r="G408">
        <f t="shared" si="49"/>
        <v>1</v>
      </c>
      <c r="H408">
        <f t="shared" si="47"/>
        <v>1</v>
      </c>
      <c r="I408" s="9" t="str">
        <f t="shared" si="48"/>
        <v>211</v>
      </c>
      <c r="Q408" s="1">
        <v>0.55091487655719196</v>
      </c>
      <c r="R408" s="1">
        <v>3.6652210029683663E-2</v>
      </c>
    </row>
    <row r="409" spans="1:18" x14ac:dyDescent="0.35">
      <c r="A409" t="s">
        <v>411</v>
      </c>
      <c r="B409" s="2">
        <v>45605</v>
      </c>
      <c r="C409" s="3">
        <f t="shared" si="43"/>
        <v>233</v>
      </c>
      <c r="D409">
        <f t="shared" si="44"/>
        <v>1182</v>
      </c>
      <c r="E409">
        <f t="shared" si="45"/>
        <v>39</v>
      </c>
      <c r="F409">
        <f t="shared" si="46"/>
        <v>4</v>
      </c>
      <c r="G409">
        <f t="shared" si="49"/>
        <v>5</v>
      </c>
      <c r="H409">
        <f t="shared" si="47"/>
        <v>5</v>
      </c>
      <c r="I409" s="9" t="str">
        <f t="shared" si="48"/>
        <v>455</v>
      </c>
      <c r="Q409" s="1">
        <v>0.86984367441950416</v>
      </c>
      <c r="R409" s="1">
        <v>0.74423678553289818</v>
      </c>
    </row>
    <row r="410" spans="1:18" x14ac:dyDescent="0.35">
      <c r="A410" t="s">
        <v>412</v>
      </c>
      <c r="B410" s="2">
        <v>45340</v>
      </c>
      <c r="C410" s="3">
        <f t="shared" si="43"/>
        <v>498</v>
      </c>
      <c r="D410">
        <f t="shared" si="44"/>
        <v>443</v>
      </c>
      <c r="E410">
        <f t="shared" si="45"/>
        <v>15</v>
      </c>
      <c r="F410">
        <f t="shared" si="46"/>
        <v>1</v>
      </c>
      <c r="G410">
        <f t="shared" si="49"/>
        <v>1</v>
      </c>
      <c r="H410">
        <f t="shared" si="47"/>
        <v>1</v>
      </c>
      <c r="I410" s="9" t="str">
        <f t="shared" si="48"/>
        <v>111</v>
      </c>
      <c r="Q410" s="1">
        <v>0.85446233894384993</v>
      </c>
      <c r="R410" s="1">
        <v>2.8393925805031195E-2</v>
      </c>
    </row>
    <row r="411" spans="1:18" x14ac:dyDescent="0.35">
      <c r="A411" t="s">
        <v>413</v>
      </c>
      <c r="B411" s="2">
        <v>45578</v>
      </c>
      <c r="C411" s="3">
        <f t="shared" si="43"/>
        <v>260</v>
      </c>
      <c r="D411">
        <f t="shared" si="44"/>
        <v>1252</v>
      </c>
      <c r="E411">
        <f t="shared" si="45"/>
        <v>42</v>
      </c>
      <c r="F411">
        <f t="shared" si="46"/>
        <v>4</v>
      </c>
      <c r="G411">
        <f t="shared" si="49"/>
        <v>5</v>
      </c>
      <c r="H411">
        <f t="shared" si="47"/>
        <v>5</v>
      </c>
      <c r="I411" s="9" t="str">
        <f t="shared" si="48"/>
        <v>455</v>
      </c>
      <c r="Q411" s="1">
        <v>0.9844448917955898</v>
      </c>
      <c r="R411" s="1">
        <v>0.76376457383895846</v>
      </c>
    </row>
    <row r="412" spans="1:18" x14ac:dyDescent="0.35">
      <c r="A412" t="s">
        <v>414</v>
      </c>
      <c r="B412" s="2">
        <v>45532</v>
      </c>
      <c r="C412" s="3">
        <f t="shared" si="43"/>
        <v>306</v>
      </c>
      <c r="D412">
        <f t="shared" si="44"/>
        <v>923</v>
      </c>
      <c r="E412">
        <f t="shared" si="45"/>
        <v>31</v>
      </c>
      <c r="F412">
        <f t="shared" si="46"/>
        <v>2</v>
      </c>
      <c r="G412">
        <f t="shared" si="49"/>
        <v>4</v>
      </c>
      <c r="H412">
        <f t="shared" si="47"/>
        <v>4</v>
      </c>
      <c r="I412" s="9" t="str">
        <f t="shared" si="48"/>
        <v>244</v>
      </c>
      <c r="Q412" s="1">
        <v>2.2305666871499819E-2</v>
      </c>
      <c r="R412" s="1">
        <v>0.85469524506819416</v>
      </c>
    </row>
    <row r="413" spans="1:18" x14ac:dyDescent="0.35">
      <c r="A413" t="s">
        <v>415</v>
      </c>
      <c r="B413" s="2">
        <v>45818</v>
      </c>
      <c r="C413" s="3">
        <f t="shared" si="43"/>
        <v>20</v>
      </c>
      <c r="D413">
        <f t="shared" si="44"/>
        <v>213</v>
      </c>
      <c r="E413">
        <f t="shared" si="45"/>
        <v>7</v>
      </c>
      <c r="F413">
        <f t="shared" si="46"/>
        <v>5</v>
      </c>
      <c r="G413">
        <f t="shared" si="49"/>
        <v>1</v>
      </c>
      <c r="H413">
        <f t="shared" si="47"/>
        <v>1</v>
      </c>
      <c r="I413" s="9" t="str">
        <f t="shared" si="48"/>
        <v>511</v>
      </c>
      <c r="Q413" s="1">
        <v>0.34350443140596487</v>
      </c>
      <c r="R413" s="1">
        <v>2.176350553020634E-2</v>
      </c>
    </row>
    <row r="414" spans="1:18" x14ac:dyDescent="0.35">
      <c r="A414" t="s">
        <v>416</v>
      </c>
      <c r="B414" s="2">
        <v>45545</v>
      </c>
      <c r="C414" s="3">
        <f t="shared" si="43"/>
        <v>293</v>
      </c>
      <c r="D414">
        <f t="shared" si="44"/>
        <v>645</v>
      </c>
      <c r="E414">
        <f t="shared" si="45"/>
        <v>21</v>
      </c>
      <c r="F414">
        <f t="shared" si="46"/>
        <v>2</v>
      </c>
      <c r="G414">
        <f t="shared" si="49"/>
        <v>2</v>
      </c>
      <c r="H414">
        <f t="shared" si="47"/>
        <v>2</v>
      </c>
      <c r="I414" s="9" t="str">
        <f t="shared" si="48"/>
        <v>222</v>
      </c>
      <c r="Q414" s="1">
        <v>0.4787422586697565</v>
      </c>
      <c r="R414" s="1">
        <v>0.38707366399264798</v>
      </c>
    </row>
    <row r="415" spans="1:18" x14ac:dyDescent="0.35">
      <c r="A415" t="s">
        <v>417</v>
      </c>
      <c r="B415" s="2">
        <v>45727</v>
      </c>
      <c r="C415" s="3">
        <f t="shared" si="43"/>
        <v>111</v>
      </c>
      <c r="D415">
        <f t="shared" si="44"/>
        <v>444</v>
      </c>
      <c r="E415">
        <f t="shared" si="45"/>
        <v>15</v>
      </c>
      <c r="F415">
        <f t="shared" si="46"/>
        <v>5</v>
      </c>
      <c r="G415">
        <f t="shared" si="49"/>
        <v>1</v>
      </c>
      <c r="H415">
        <f t="shared" si="47"/>
        <v>1</v>
      </c>
      <c r="I415" s="9" t="str">
        <f t="shared" si="48"/>
        <v>511</v>
      </c>
      <c r="Q415" s="1">
        <v>0.46721176465405101</v>
      </c>
      <c r="R415" s="1">
        <v>0.1950960796005512</v>
      </c>
    </row>
    <row r="416" spans="1:18" x14ac:dyDescent="0.35">
      <c r="A416" t="s">
        <v>418</v>
      </c>
      <c r="B416" s="2">
        <v>45302</v>
      </c>
      <c r="C416" s="3">
        <f t="shared" si="43"/>
        <v>536</v>
      </c>
      <c r="D416">
        <f t="shared" si="44"/>
        <v>1088</v>
      </c>
      <c r="E416">
        <f t="shared" si="45"/>
        <v>36</v>
      </c>
      <c r="F416">
        <f t="shared" si="46"/>
        <v>1</v>
      </c>
      <c r="G416">
        <f t="shared" si="49"/>
        <v>5</v>
      </c>
      <c r="H416">
        <f t="shared" si="47"/>
        <v>5</v>
      </c>
      <c r="I416" s="9" t="str">
        <f t="shared" si="48"/>
        <v>155</v>
      </c>
      <c r="Q416" s="1">
        <v>0.63340435079313706</v>
      </c>
      <c r="R416" s="1">
        <v>0.75370384433241866</v>
      </c>
    </row>
    <row r="417" spans="1:18" x14ac:dyDescent="0.35">
      <c r="A417" t="s">
        <v>419</v>
      </c>
      <c r="B417" s="2">
        <v>45549</v>
      </c>
      <c r="C417" s="3">
        <f t="shared" si="43"/>
        <v>289</v>
      </c>
      <c r="D417">
        <f t="shared" si="44"/>
        <v>883</v>
      </c>
      <c r="E417">
        <f t="shared" si="45"/>
        <v>29</v>
      </c>
      <c r="F417">
        <f t="shared" si="46"/>
        <v>2</v>
      </c>
      <c r="G417">
        <f t="shared" si="49"/>
        <v>4</v>
      </c>
      <c r="H417">
        <f t="shared" si="47"/>
        <v>4</v>
      </c>
      <c r="I417" s="9" t="str">
        <f t="shared" si="48"/>
        <v>244</v>
      </c>
      <c r="Q417" s="1">
        <v>0.74446940400454098</v>
      </c>
      <c r="R417" s="1">
        <v>0.50568433472357377</v>
      </c>
    </row>
    <row r="418" spans="1:18" x14ac:dyDescent="0.35">
      <c r="A418" t="s">
        <v>420</v>
      </c>
      <c r="B418" s="2">
        <v>45489</v>
      </c>
      <c r="C418" s="3">
        <f t="shared" si="43"/>
        <v>349</v>
      </c>
      <c r="D418">
        <f t="shared" si="44"/>
        <v>1209</v>
      </c>
      <c r="E418">
        <f t="shared" si="45"/>
        <v>40</v>
      </c>
      <c r="F418">
        <f t="shared" si="46"/>
        <v>2</v>
      </c>
      <c r="G418">
        <f t="shared" si="49"/>
        <v>5</v>
      </c>
      <c r="H418">
        <f t="shared" si="47"/>
        <v>5</v>
      </c>
      <c r="I418" s="9" t="str">
        <f t="shared" si="48"/>
        <v>255</v>
      </c>
      <c r="Q418" s="1">
        <v>0.62230554695152163</v>
      </c>
      <c r="R418" s="1">
        <v>0.87690124774111133</v>
      </c>
    </row>
    <row r="419" spans="1:18" x14ac:dyDescent="0.35">
      <c r="A419" t="s">
        <v>421</v>
      </c>
      <c r="B419" s="2">
        <v>45625</v>
      </c>
      <c r="C419" s="3">
        <f t="shared" si="43"/>
        <v>213</v>
      </c>
      <c r="D419">
        <f t="shared" si="44"/>
        <v>1135</v>
      </c>
      <c r="E419">
        <f t="shared" si="45"/>
        <v>38</v>
      </c>
      <c r="F419">
        <f t="shared" si="46"/>
        <v>4</v>
      </c>
      <c r="G419">
        <f t="shared" si="49"/>
        <v>5</v>
      </c>
      <c r="H419">
        <f t="shared" si="47"/>
        <v>5</v>
      </c>
      <c r="I419" s="9" t="str">
        <f t="shared" si="48"/>
        <v>455</v>
      </c>
      <c r="Q419" s="1">
        <v>0.46598949771006337</v>
      </c>
      <c r="R419" s="1">
        <v>0.87125927033026507</v>
      </c>
    </row>
    <row r="420" spans="1:18" x14ac:dyDescent="0.35">
      <c r="A420" t="s">
        <v>422</v>
      </c>
      <c r="B420" s="2">
        <v>45300</v>
      </c>
      <c r="C420" s="3">
        <f t="shared" si="43"/>
        <v>538</v>
      </c>
      <c r="D420">
        <f t="shared" si="44"/>
        <v>746</v>
      </c>
      <c r="E420">
        <f t="shared" si="45"/>
        <v>25</v>
      </c>
      <c r="F420">
        <f t="shared" si="46"/>
        <v>1</v>
      </c>
      <c r="G420">
        <f t="shared" si="49"/>
        <v>2</v>
      </c>
      <c r="H420">
        <f t="shared" si="47"/>
        <v>2</v>
      </c>
      <c r="I420" s="9" t="str">
        <f t="shared" si="48"/>
        <v>122</v>
      </c>
      <c r="Q420" s="1">
        <v>0.36087390442414258</v>
      </c>
      <c r="R420" s="1">
        <v>0.53646691281282699</v>
      </c>
    </row>
    <row r="421" spans="1:18" x14ac:dyDescent="0.35">
      <c r="A421" t="s">
        <v>423</v>
      </c>
      <c r="B421" s="2">
        <v>45351</v>
      </c>
      <c r="C421" s="3">
        <f t="shared" si="43"/>
        <v>487</v>
      </c>
      <c r="D421">
        <f t="shared" si="44"/>
        <v>588</v>
      </c>
      <c r="E421">
        <f t="shared" si="45"/>
        <v>19</v>
      </c>
      <c r="F421">
        <f t="shared" si="46"/>
        <v>1</v>
      </c>
      <c r="G421">
        <f t="shared" si="49"/>
        <v>2</v>
      </c>
      <c r="H421">
        <f t="shared" si="47"/>
        <v>2</v>
      </c>
      <c r="I421" s="9" t="str">
        <f t="shared" si="48"/>
        <v>122</v>
      </c>
      <c r="Q421" s="1">
        <v>0.68700739283104717</v>
      </c>
      <c r="R421" s="1">
        <v>0.24149281362851238</v>
      </c>
    </row>
    <row r="422" spans="1:18" x14ac:dyDescent="0.35">
      <c r="A422" t="s">
        <v>424</v>
      </c>
      <c r="B422" s="2">
        <v>45642</v>
      </c>
      <c r="C422" s="3">
        <f t="shared" si="43"/>
        <v>196</v>
      </c>
      <c r="D422">
        <f t="shared" si="44"/>
        <v>788</v>
      </c>
      <c r="E422">
        <f t="shared" si="45"/>
        <v>26</v>
      </c>
      <c r="F422">
        <f t="shared" si="46"/>
        <v>4</v>
      </c>
      <c r="G422">
        <f t="shared" si="49"/>
        <v>2</v>
      </c>
      <c r="H422">
        <f t="shared" si="47"/>
        <v>4</v>
      </c>
      <c r="I422" s="9" t="str">
        <f t="shared" si="48"/>
        <v>424</v>
      </c>
      <c r="Q422" s="1">
        <v>0.82471944247712048</v>
      </c>
      <c r="R422" s="1">
        <v>0.37871874782280501</v>
      </c>
    </row>
    <row r="423" spans="1:18" x14ac:dyDescent="0.35">
      <c r="A423" t="s">
        <v>425</v>
      </c>
      <c r="B423" s="2">
        <v>45808</v>
      </c>
      <c r="C423" s="3">
        <f t="shared" si="43"/>
        <v>30</v>
      </c>
      <c r="D423">
        <f t="shared" si="44"/>
        <v>626</v>
      </c>
      <c r="E423">
        <f t="shared" si="45"/>
        <v>21</v>
      </c>
      <c r="F423">
        <f t="shared" si="46"/>
        <v>5</v>
      </c>
      <c r="G423">
        <f t="shared" si="49"/>
        <v>2</v>
      </c>
      <c r="H423">
        <f t="shared" si="47"/>
        <v>2</v>
      </c>
      <c r="I423" s="9" t="str">
        <f t="shared" si="48"/>
        <v>522</v>
      </c>
      <c r="Q423" s="1">
        <v>0.7029027111241386</v>
      </c>
      <c r="R423" s="1">
        <v>0.27204557464245127</v>
      </c>
    </row>
    <row r="424" spans="1:18" x14ac:dyDescent="0.35">
      <c r="A424" t="s">
        <v>426</v>
      </c>
      <c r="B424" s="2">
        <v>45425</v>
      </c>
      <c r="C424" s="3">
        <f t="shared" si="43"/>
        <v>413</v>
      </c>
      <c r="D424">
        <f t="shared" si="44"/>
        <v>1070</v>
      </c>
      <c r="E424">
        <f t="shared" si="45"/>
        <v>36</v>
      </c>
      <c r="F424">
        <f t="shared" si="46"/>
        <v>1</v>
      </c>
      <c r="G424">
        <f t="shared" si="49"/>
        <v>5</v>
      </c>
      <c r="H424">
        <f t="shared" si="47"/>
        <v>5</v>
      </c>
      <c r="I424" s="9" t="str">
        <f t="shared" si="48"/>
        <v>155</v>
      </c>
      <c r="Q424" s="1">
        <v>0.34822366988576348</v>
      </c>
      <c r="R424" s="1">
        <v>0.858730037302603</v>
      </c>
    </row>
    <row r="425" spans="1:18" x14ac:dyDescent="0.35">
      <c r="A425" t="s">
        <v>427</v>
      </c>
      <c r="B425" s="2">
        <v>45705</v>
      </c>
      <c r="C425" s="3">
        <f t="shared" si="43"/>
        <v>133</v>
      </c>
      <c r="D425">
        <f t="shared" si="44"/>
        <v>417</v>
      </c>
      <c r="E425">
        <f t="shared" si="45"/>
        <v>14</v>
      </c>
      <c r="F425">
        <f t="shared" si="46"/>
        <v>4</v>
      </c>
      <c r="G425">
        <f t="shared" si="49"/>
        <v>1</v>
      </c>
      <c r="H425">
        <f t="shared" si="47"/>
        <v>1</v>
      </c>
      <c r="I425" s="9" t="str">
        <f t="shared" si="48"/>
        <v>411</v>
      </c>
      <c r="Q425" s="1">
        <v>0.83725138187044301</v>
      </c>
      <c r="R425" s="1">
        <v>1.0372727192790032E-2</v>
      </c>
    </row>
    <row r="426" spans="1:18" x14ac:dyDescent="0.35">
      <c r="A426" t="s">
        <v>428</v>
      </c>
      <c r="B426" s="2">
        <v>45566</v>
      </c>
      <c r="C426" s="3">
        <f t="shared" si="43"/>
        <v>272</v>
      </c>
      <c r="D426">
        <f t="shared" si="44"/>
        <v>260</v>
      </c>
      <c r="E426">
        <f t="shared" si="45"/>
        <v>8</v>
      </c>
      <c r="F426">
        <f t="shared" si="46"/>
        <v>3</v>
      </c>
      <c r="G426">
        <f t="shared" si="49"/>
        <v>1</v>
      </c>
      <c r="H426">
        <f t="shared" si="47"/>
        <v>1</v>
      </c>
      <c r="I426" s="9" t="str">
        <f t="shared" si="48"/>
        <v>311</v>
      </c>
      <c r="Q426" s="1">
        <v>2.5257558227120724E-2</v>
      </c>
      <c r="R426" s="1">
        <v>0.20411479653742781</v>
      </c>
    </row>
    <row r="427" spans="1:18" x14ac:dyDescent="0.35">
      <c r="A427" t="s">
        <v>429</v>
      </c>
      <c r="B427" s="2">
        <v>45760</v>
      </c>
      <c r="C427" s="3">
        <f t="shared" si="43"/>
        <v>78</v>
      </c>
      <c r="D427">
        <f t="shared" si="44"/>
        <v>484</v>
      </c>
      <c r="E427">
        <f t="shared" si="45"/>
        <v>16</v>
      </c>
      <c r="F427">
        <f t="shared" si="46"/>
        <v>5</v>
      </c>
      <c r="G427">
        <f t="shared" si="49"/>
        <v>1</v>
      </c>
      <c r="H427">
        <f t="shared" si="47"/>
        <v>1</v>
      </c>
      <c r="I427" s="9" t="str">
        <f t="shared" si="48"/>
        <v>511</v>
      </c>
      <c r="Q427" s="1">
        <v>0.43053088198902267</v>
      </c>
      <c r="R427" s="1">
        <v>0.25023042032467835</v>
      </c>
    </row>
    <row r="428" spans="1:18" x14ac:dyDescent="0.35">
      <c r="A428" t="s">
        <v>430</v>
      </c>
      <c r="B428" s="2">
        <v>45820</v>
      </c>
      <c r="C428" s="3">
        <f t="shared" si="43"/>
        <v>18</v>
      </c>
      <c r="D428">
        <f t="shared" si="44"/>
        <v>1095</v>
      </c>
      <c r="E428">
        <f t="shared" si="45"/>
        <v>36</v>
      </c>
      <c r="F428">
        <f t="shared" si="46"/>
        <v>5</v>
      </c>
      <c r="G428">
        <f t="shared" si="49"/>
        <v>5</v>
      </c>
      <c r="H428">
        <f t="shared" si="47"/>
        <v>5</v>
      </c>
      <c r="I428" s="9" t="str">
        <f t="shared" si="48"/>
        <v>555</v>
      </c>
      <c r="Q428" s="1">
        <v>0.2523052625233051</v>
      </c>
      <c r="R428" s="1">
        <v>0.92397968330786839</v>
      </c>
    </row>
    <row r="429" spans="1:18" x14ac:dyDescent="0.35">
      <c r="A429" t="s">
        <v>431</v>
      </c>
      <c r="B429" s="2">
        <v>45362</v>
      </c>
      <c r="C429" s="3">
        <f t="shared" si="43"/>
        <v>476</v>
      </c>
      <c r="D429">
        <f t="shared" si="44"/>
        <v>953</v>
      </c>
      <c r="E429">
        <f t="shared" si="45"/>
        <v>32</v>
      </c>
      <c r="F429">
        <f t="shared" si="46"/>
        <v>1</v>
      </c>
      <c r="G429">
        <f t="shared" si="49"/>
        <v>4</v>
      </c>
      <c r="H429">
        <f t="shared" si="47"/>
        <v>4</v>
      </c>
      <c r="I429" s="9" t="str">
        <f t="shared" si="48"/>
        <v>144</v>
      </c>
      <c r="Q429" s="1">
        <v>0.81799918834325658</v>
      </c>
      <c r="R429" s="1">
        <v>0.54279732310050866</v>
      </c>
    </row>
    <row r="430" spans="1:18" x14ac:dyDescent="0.35">
      <c r="A430" t="s">
        <v>432</v>
      </c>
      <c r="B430" s="2">
        <v>45788</v>
      </c>
      <c r="C430" s="3">
        <f t="shared" si="43"/>
        <v>50</v>
      </c>
      <c r="D430">
        <f t="shared" si="44"/>
        <v>1258</v>
      </c>
      <c r="E430">
        <f t="shared" si="45"/>
        <v>42</v>
      </c>
      <c r="F430">
        <f t="shared" si="46"/>
        <v>5</v>
      </c>
      <c r="G430">
        <f t="shared" si="49"/>
        <v>5</v>
      </c>
      <c r="H430">
        <f t="shared" si="47"/>
        <v>5</v>
      </c>
      <c r="I430" s="9" t="str">
        <f t="shared" si="48"/>
        <v>555</v>
      </c>
      <c r="Q430" s="1">
        <v>0.71215092180172401</v>
      </c>
      <c r="R430" s="1">
        <v>0.88688595481586707</v>
      </c>
    </row>
    <row r="431" spans="1:18" x14ac:dyDescent="0.35">
      <c r="A431" t="s">
        <v>433</v>
      </c>
      <c r="B431" s="2">
        <v>45413</v>
      </c>
      <c r="C431" s="3">
        <f t="shared" si="43"/>
        <v>425</v>
      </c>
      <c r="D431">
        <f t="shared" si="44"/>
        <v>523</v>
      </c>
      <c r="E431">
        <f t="shared" si="45"/>
        <v>17</v>
      </c>
      <c r="F431">
        <f t="shared" si="46"/>
        <v>1</v>
      </c>
      <c r="G431">
        <f t="shared" si="49"/>
        <v>2</v>
      </c>
      <c r="H431">
        <f t="shared" si="47"/>
        <v>2</v>
      </c>
      <c r="I431" s="9" t="str">
        <f t="shared" si="48"/>
        <v>122</v>
      </c>
      <c r="Q431" s="1">
        <v>0.98143547869993564</v>
      </c>
      <c r="R431" s="1">
        <v>5.2086066436008882E-2</v>
      </c>
    </row>
    <row r="432" spans="1:18" x14ac:dyDescent="0.35">
      <c r="A432" t="s">
        <v>434</v>
      </c>
      <c r="B432" s="2">
        <v>45509</v>
      </c>
      <c r="C432" s="3">
        <f t="shared" si="43"/>
        <v>329</v>
      </c>
      <c r="D432">
        <f t="shared" si="44"/>
        <v>1125</v>
      </c>
      <c r="E432">
        <f t="shared" si="45"/>
        <v>37</v>
      </c>
      <c r="F432">
        <f t="shared" si="46"/>
        <v>2</v>
      </c>
      <c r="G432">
        <f t="shared" si="49"/>
        <v>5</v>
      </c>
      <c r="H432">
        <f t="shared" si="47"/>
        <v>5</v>
      </c>
      <c r="I432" s="9" t="str">
        <f t="shared" si="48"/>
        <v>255</v>
      </c>
      <c r="Q432" s="1">
        <v>0.62938493700293985</v>
      </c>
      <c r="R432" s="1">
        <v>0.79233347402273313</v>
      </c>
    </row>
    <row r="433" spans="1:18" x14ac:dyDescent="0.35">
      <c r="A433" t="s">
        <v>435</v>
      </c>
      <c r="B433" s="2">
        <v>45600</v>
      </c>
      <c r="C433" s="3">
        <f t="shared" si="43"/>
        <v>238</v>
      </c>
      <c r="D433">
        <f t="shared" si="44"/>
        <v>1125</v>
      </c>
      <c r="E433">
        <f t="shared" si="45"/>
        <v>37</v>
      </c>
      <c r="F433">
        <f t="shared" si="46"/>
        <v>4</v>
      </c>
      <c r="G433">
        <f t="shared" si="49"/>
        <v>5</v>
      </c>
      <c r="H433">
        <f t="shared" si="47"/>
        <v>5</v>
      </c>
      <c r="I433" s="9" t="str">
        <f t="shared" si="48"/>
        <v>455</v>
      </c>
      <c r="Q433" s="1">
        <v>0.29138243015716714</v>
      </c>
      <c r="R433" s="1">
        <v>0.93644594844042051</v>
      </c>
    </row>
    <row r="434" spans="1:18" x14ac:dyDescent="0.35">
      <c r="A434" t="s">
        <v>436</v>
      </c>
      <c r="B434" s="2">
        <v>45582</v>
      </c>
      <c r="C434" s="3">
        <f t="shared" si="43"/>
        <v>256</v>
      </c>
      <c r="D434">
        <f t="shared" si="44"/>
        <v>1061</v>
      </c>
      <c r="E434">
        <f t="shared" si="45"/>
        <v>35</v>
      </c>
      <c r="F434">
        <f t="shared" si="46"/>
        <v>4</v>
      </c>
      <c r="G434">
        <f t="shared" si="49"/>
        <v>4</v>
      </c>
      <c r="H434">
        <f t="shared" si="47"/>
        <v>5</v>
      </c>
      <c r="I434" s="9" t="str">
        <f t="shared" si="48"/>
        <v>445</v>
      </c>
      <c r="Q434" s="1">
        <v>0.73737708680200353</v>
      </c>
      <c r="R434" s="1">
        <v>0.68295929346875495</v>
      </c>
    </row>
    <row r="435" spans="1:18" x14ac:dyDescent="0.35">
      <c r="A435" t="s">
        <v>437</v>
      </c>
      <c r="B435" s="2">
        <v>45714</v>
      </c>
      <c r="C435" s="3">
        <f t="shared" si="43"/>
        <v>124</v>
      </c>
      <c r="D435">
        <f t="shared" si="44"/>
        <v>1304</v>
      </c>
      <c r="E435">
        <f t="shared" si="45"/>
        <v>43</v>
      </c>
      <c r="F435">
        <f t="shared" si="46"/>
        <v>4</v>
      </c>
      <c r="G435">
        <f t="shared" si="49"/>
        <v>5</v>
      </c>
      <c r="H435">
        <f t="shared" si="47"/>
        <v>5</v>
      </c>
      <c r="I435" s="9" t="str">
        <f t="shared" si="48"/>
        <v>455</v>
      </c>
      <c r="Q435" s="1">
        <v>0.68648580721330166</v>
      </c>
      <c r="R435" s="1">
        <v>0.94287576062994083</v>
      </c>
    </row>
    <row r="436" spans="1:18" x14ac:dyDescent="0.35">
      <c r="A436" t="s">
        <v>438</v>
      </c>
      <c r="B436" s="2">
        <v>45798</v>
      </c>
      <c r="C436" s="3">
        <f t="shared" si="43"/>
        <v>40</v>
      </c>
      <c r="D436">
        <f t="shared" si="44"/>
        <v>1032</v>
      </c>
      <c r="E436">
        <f t="shared" si="45"/>
        <v>34</v>
      </c>
      <c r="F436">
        <f t="shared" si="46"/>
        <v>5</v>
      </c>
      <c r="G436">
        <f t="shared" si="49"/>
        <v>4</v>
      </c>
      <c r="H436">
        <f t="shared" si="47"/>
        <v>4</v>
      </c>
      <c r="I436" s="9" t="str">
        <f t="shared" si="48"/>
        <v>544</v>
      </c>
      <c r="Q436" s="1">
        <v>0.5770603545046985</v>
      </c>
      <c r="R436" s="1">
        <v>0.7236494943450632</v>
      </c>
    </row>
    <row r="437" spans="1:18" x14ac:dyDescent="0.35">
      <c r="A437" t="s">
        <v>439</v>
      </c>
      <c r="B437" s="2">
        <v>45587</v>
      </c>
      <c r="C437" s="3">
        <f t="shared" si="43"/>
        <v>251</v>
      </c>
      <c r="D437">
        <f t="shared" si="44"/>
        <v>135</v>
      </c>
      <c r="E437">
        <f t="shared" si="45"/>
        <v>4</v>
      </c>
      <c r="F437">
        <f t="shared" si="46"/>
        <v>4</v>
      </c>
      <c r="G437">
        <f t="shared" si="49"/>
        <v>1</v>
      </c>
      <c r="H437">
        <f t="shared" si="47"/>
        <v>1</v>
      </c>
      <c r="I437" s="9" t="str">
        <f t="shared" si="48"/>
        <v>411</v>
      </c>
      <c r="Q437" s="1">
        <v>0.19553865702094453</v>
      </c>
      <c r="R437" s="1">
        <v>9.4344931199401572E-3</v>
      </c>
    </row>
    <row r="438" spans="1:18" x14ac:dyDescent="0.35">
      <c r="A438" t="s">
        <v>440</v>
      </c>
      <c r="B438" s="2">
        <v>45833</v>
      </c>
      <c r="C438" s="3">
        <f t="shared" si="43"/>
        <v>5</v>
      </c>
      <c r="D438">
        <f t="shared" si="44"/>
        <v>750</v>
      </c>
      <c r="E438">
        <f t="shared" si="45"/>
        <v>25</v>
      </c>
      <c r="F438">
        <f t="shared" si="46"/>
        <v>5</v>
      </c>
      <c r="G438">
        <f t="shared" si="49"/>
        <v>2</v>
      </c>
      <c r="H438">
        <f t="shared" si="47"/>
        <v>2</v>
      </c>
      <c r="I438" s="9" t="str">
        <f t="shared" si="48"/>
        <v>522</v>
      </c>
      <c r="Q438" s="1">
        <v>0.3517160115898228</v>
      </c>
      <c r="R438" s="1">
        <v>0.54437609898392858</v>
      </c>
    </row>
    <row r="439" spans="1:18" x14ac:dyDescent="0.35">
      <c r="A439" t="s">
        <v>441</v>
      </c>
      <c r="B439" s="2">
        <v>45632</v>
      </c>
      <c r="C439" s="3">
        <f t="shared" si="43"/>
        <v>206</v>
      </c>
      <c r="D439">
        <f t="shared" si="44"/>
        <v>959</v>
      </c>
      <c r="E439">
        <f t="shared" si="45"/>
        <v>32</v>
      </c>
      <c r="F439">
        <f t="shared" si="46"/>
        <v>4</v>
      </c>
      <c r="G439">
        <f t="shared" si="49"/>
        <v>4</v>
      </c>
      <c r="H439">
        <f t="shared" si="47"/>
        <v>4</v>
      </c>
      <c r="I439" s="9" t="str">
        <f t="shared" si="48"/>
        <v>444</v>
      </c>
      <c r="Q439" s="1">
        <v>0.81315948973960106</v>
      </c>
      <c r="R439" s="1">
        <v>0.55050378567087643</v>
      </c>
    </row>
    <row r="440" spans="1:18" x14ac:dyDescent="0.35">
      <c r="A440" t="s">
        <v>442</v>
      </c>
      <c r="B440" s="2">
        <v>45688</v>
      </c>
      <c r="C440" s="3">
        <f t="shared" si="43"/>
        <v>150</v>
      </c>
      <c r="D440">
        <f t="shared" si="44"/>
        <v>837</v>
      </c>
      <c r="E440">
        <f t="shared" si="45"/>
        <v>28</v>
      </c>
      <c r="F440">
        <f t="shared" si="46"/>
        <v>4</v>
      </c>
      <c r="G440">
        <f t="shared" si="49"/>
        <v>4</v>
      </c>
      <c r="H440">
        <f t="shared" si="47"/>
        <v>4</v>
      </c>
      <c r="I440" s="9" t="str">
        <f t="shared" si="48"/>
        <v>444</v>
      </c>
      <c r="Q440" s="1">
        <v>0.93334599826969455</v>
      </c>
      <c r="R440" s="1">
        <v>0.37978015854589875</v>
      </c>
    </row>
    <row r="441" spans="1:18" x14ac:dyDescent="0.35">
      <c r="A441" t="s">
        <v>443</v>
      </c>
      <c r="B441" s="2">
        <v>45776</v>
      </c>
      <c r="C441" s="3">
        <f t="shared" si="43"/>
        <v>62</v>
      </c>
      <c r="D441">
        <f t="shared" si="44"/>
        <v>872</v>
      </c>
      <c r="E441">
        <f t="shared" si="45"/>
        <v>29</v>
      </c>
      <c r="F441">
        <f t="shared" si="46"/>
        <v>5</v>
      </c>
      <c r="G441">
        <f t="shared" si="49"/>
        <v>4</v>
      </c>
      <c r="H441">
        <f t="shared" si="47"/>
        <v>4</v>
      </c>
      <c r="I441" s="9" t="str">
        <f t="shared" si="48"/>
        <v>544</v>
      </c>
      <c r="Q441" s="1">
        <v>0.9278777119303212</v>
      </c>
      <c r="R441" s="1">
        <v>0.41604671572182528</v>
      </c>
    </row>
    <row r="442" spans="1:18" x14ac:dyDescent="0.35">
      <c r="A442" t="s">
        <v>444</v>
      </c>
      <c r="B442" s="2">
        <v>45537</v>
      </c>
      <c r="C442" s="3">
        <f t="shared" si="43"/>
        <v>301</v>
      </c>
      <c r="D442">
        <f t="shared" si="44"/>
        <v>579</v>
      </c>
      <c r="E442">
        <f t="shared" si="45"/>
        <v>19</v>
      </c>
      <c r="F442">
        <f t="shared" si="46"/>
        <v>2</v>
      </c>
      <c r="G442">
        <f t="shared" si="49"/>
        <v>2</v>
      </c>
      <c r="H442">
        <f t="shared" si="47"/>
        <v>2</v>
      </c>
      <c r="I442" s="9" t="str">
        <f t="shared" si="48"/>
        <v>222</v>
      </c>
      <c r="Q442" s="1">
        <v>5.6739925431915528E-2</v>
      </c>
      <c r="R442" s="1">
        <v>0.50280034640864757</v>
      </c>
    </row>
    <row r="443" spans="1:18" x14ac:dyDescent="0.35">
      <c r="A443" t="s">
        <v>445</v>
      </c>
      <c r="B443" s="2">
        <v>45419</v>
      </c>
      <c r="C443" s="3">
        <f t="shared" si="43"/>
        <v>419</v>
      </c>
      <c r="D443">
        <f t="shared" si="44"/>
        <v>1081</v>
      </c>
      <c r="E443">
        <f t="shared" si="45"/>
        <v>36</v>
      </c>
      <c r="F443">
        <f t="shared" si="46"/>
        <v>1</v>
      </c>
      <c r="G443">
        <f t="shared" si="49"/>
        <v>5</v>
      </c>
      <c r="H443">
        <f t="shared" si="47"/>
        <v>5</v>
      </c>
      <c r="I443" s="9" t="str">
        <f t="shared" si="48"/>
        <v>155</v>
      </c>
      <c r="Q443" s="1">
        <v>0.37191887423921921</v>
      </c>
      <c r="R443" s="1">
        <v>0.85881701480617634</v>
      </c>
    </row>
    <row r="444" spans="1:18" x14ac:dyDescent="0.35">
      <c r="A444" t="s">
        <v>446</v>
      </c>
      <c r="B444" s="2">
        <v>45784</v>
      </c>
      <c r="C444" s="3">
        <f t="shared" si="43"/>
        <v>54</v>
      </c>
      <c r="D444">
        <f t="shared" si="44"/>
        <v>385</v>
      </c>
      <c r="E444">
        <f t="shared" si="45"/>
        <v>13</v>
      </c>
      <c r="F444">
        <f t="shared" si="46"/>
        <v>5</v>
      </c>
      <c r="G444">
        <f t="shared" si="49"/>
        <v>1</v>
      </c>
      <c r="H444">
        <f t="shared" si="47"/>
        <v>1</v>
      </c>
      <c r="I444" s="9" t="str">
        <f t="shared" si="48"/>
        <v>511</v>
      </c>
      <c r="Q444" s="1">
        <v>0.62975945363552877</v>
      </c>
      <c r="R444" s="1">
        <v>6.7696229433367616E-2</v>
      </c>
    </row>
    <row r="445" spans="1:18" x14ac:dyDescent="0.35">
      <c r="A445" t="s">
        <v>447</v>
      </c>
      <c r="B445" s="2">
        <v>45570</v>
      </c>
      <c r="C445" s="3">
        <f t="shared" si="43"/>
        <v>268</v>
      </c>
      <c r="D445">
        <f t="shared" si="44"/>
        <v>738</v>
      </c>
      <c r="E445">
        <f t="shared" si="45"/>
        <v>24</v>
      </c>
      <c r="F445">
        <f t="shared" si="46"/>
        <v>4</v>
      </c>
      <c r="G445">
        <f t="shared" si="49"/>
        <v>2</v>
      </c>
      <c r="H445">
        <f t="shared" si="47"/>
        <v>2</v>
      </c>
      <c r="I445" s="9" t="str">
        <f t="shared" si="48"/>
        <v>422</v>
      </c>
      <c r="Q445" s="1">
        <v>1.2493075577262536E-2</v>
      </c>
      <c r="R445" s="1">
        <v>0.67735020265932988</v>
      </c>
    </row>
    <row r="446" spans="1:18" x14ac:dyDescent="0.35">
      <c r="A446" t="s">
        <v>448</v>
      </c>
      <c r="B446" s="2">
        <v>45728</v>
      </c>
      <c r="C446" s="3">
        <f t="shared" si="43"/>
        <v>110</v>
      </c>
      <c r="D446">
        <f t="shared" si="44"/>
        <v>185</v>
      </c>
      <c r="E446">
        <f t="shared" si="45"/>
        <v>6</v>
      </c>
      <c r="F446">
        <f t="shared" si="46"/>
        <v>5</v>
      </c>
      <c r="G446">
        <f t="shared" si="49"/>
        <v>1</v>
      </c>
      <c r="H446">
        <f t="shared" si="47"/>
        <v>1</v>
      </c>
      <c r="I446" s="9" t="str">
        <f t="shared" si="48"/>
        <v>511</v>
      </c>
      <c r="Q446" s="1">
        <v>0.31747513500573421</v>
      </c>
      <c r="R446" s="1">
        <v>5.7122660032439265E-3</v>
      </c>
    </row>
    <row r="447" spans="1:18" x14ac:dyDescent="0.35">
      <c r="A447" t="s">
        <v>449</v>
      </c>
      <c r="B447" s="2">
        <v>45776</v>
      </c>
      <c r="C447" s="3">
        <f t="shared" si="43"/>
        <v>62</v>
      </c>
      <c r="D447">
        <f t="shared" si="44"/>
        <v>1215</v>
      </c>
      <c r="E447">
        <f t="shared" si="45"/>
        <v>40</v>
      </c>
      <c r="F447">
        <f t="shared" si="46"/>
        <v>5</v>
      </c>
      <c r="G447">
        <f t="shared" si="49"/>
        <v>5</v>
      </c>
      <c r="H447">
        <f t="shared" si="47"/>
        <v>5</v>
      </c>
      <c r="I447" s="9" t="str">
        <f t="shared" si="48"/>
        <v>555</v>
      </c>
      <c r="Q447" s="1">
        <v>0.48866786236116022</v>
      </c>
      <c r="R447" s="1">
        <v>0.94023784302375568</v>
      </c>
    </row>
    <row r="448" spans="1:18" x14ac:dyDescent="0.35">
      <c r="A448" t="s">
        <v>450</v>
      </c>
      <c r="B448" s="2">
        <v>45701</v>
      </c>
      <c r="C448" s="3">
        <f t="shared" si="43"/>
        <v>137</v>
      </c>
      <c r="D448">
        <f t="shared" si="44"/>
        <v>468</v>
      </c>
      <c r="E448">
        <f t="shared" si="45"/>
        <v>15</v>
      </c>
      <c r="F448">
        <f t="shared" si="46"/>
        <v>4</v>
      </c>
      <c r="G448">
        <f t="shared" si="49"/>
        <v>1</v>
      </c>
      <c r="H448">
        <f t="shared" si="47"/>
        <v>1</v>
      </c>
      <c r="I448" s="9" t="str">
        <f t="shared" si="48"/>
        <v>411</v>
      </c>
      <c r="Q448" s="1">
        <v>0.30856407510708794</v>
      </c>
      <c r="R448" s="1">
        <v>0.2868564990729251</v>
      </c>
    </row>
    <row r="449" spans="1:18" x14ac:dyDescent="0.35">
      <c r="A449" t="s">
        <v>451</v>
      </c>
      <c r="B449" s="2">
        <v>45489</v>
      </c>
      <c r="C449" s="3">
        <f t="shared" si="43"/>
        <v>349</v>
      </c>
      <c r="D449">
        <f t="shared" si="44"/>
        <v>844</v>
      </c>
      <c r="E449">
        <f t="shared" si="45"/>
        <v>28</v>
      </c>
      <c r="F449">
        <f t="shared" si="46"/>
        <v>2</v>
      </c>
      <c r="G449">
        <f t="shared" si="49"/>
        <v>4</v>
      </c>
      <c r="H449">
        <f t="shared" si="47"/>
        <v>4</v>
      </c>
      <c r="I449" s="9" t="str">
        <f t="shared" si="48"/>
        <v>244</v>
      </c>
      <c r="Q449" s="1">
        <v>0.23477585285923153</v>
      </c>
      <c r="R449" s="1">
        <v>0.6859265710352026</v>
      </c>
    </row>
    <row r="450" spans="1:18" x14ac:dyDescent="0.35">
      <c r="A450" t="s">
        <v>452</v>
      </c>
      <c r="B450" s="2">
        <v>45335</v>
      </c>
      <c r="C450" s="3">
        <f t="shared" si="43"/>
        <v>503</v>
      </c>
      <c r="D450">
        <f t="shared" si="44"/>
        <v>1039</v>
      </c>
      <c r="E450">
        <f t="shared" si="45"/>
        <v>35</v>
      </c>
      <c r="F450">
        <f t="shared" si="46"/>
        <v>1</v>
      </c>
      <c r="G450">
        <f t="shared" si="49"/>
        <v>4</v>
      </c>
      <c r="H450">
        <f t="shared" si="47"/>
        <v>4</v>
      </c>
      <c r="I450" s="9" t="str">
        <f t="shared" si="48"/>
        <v>144</v>
      </c>
      <c r="Q450" s="1">
        <v>7.9315832823091958E-2</v>
      </c>
      <c r="R450" s="1">
        <v>0.94399059772964811</v>
      </c>
    </row>
    <row r="451" spans="1:18" x14ac:dyDescent="0.35">
      <c r="A451" t="s">
        <v>453</v>
      </c>
      <c r="B451" s="2">
        <v>45464</v>
      </c>
      <c r="C451" s="3">
        <f t="shared" ref="C451:C514" si="50">$S$6-B451</f>
        <v>374</v>
      </c>
      <c r="D451">
        <f t="shared" ref="D451:D514" si="51">ROUND((R451*0.7+Q451*0.3)*(1500-40)+40,0)</f>
        <v>754</v>
      </c>
      <c r="E451">
        <f t="shared" ref="E451:E514" si="52">ROUND((R451*0.7+Q451*0.3)*(50-1)+1,0)</f>
        <v>25</v>
      </c>
      <c r="F451">
        <f t="shared" ref="F451:F514" si="53">IF(C451&lt;=$M$4,5,IF(C451&lt;=$M$9,4,IF(C451&lt;=$M$5,3,IF(C451&lt;=$M$6,2,1))))</f>
        <v>2</v>
      </c>
      <c r="G451">
        <f t="shared" si="49"/>
        <v>2</v>
      </c>
      <c r="H451">
        <f t="shared" ref="H451:H514" si="54">IF(D451&lt;=$M$24,1,IF(D451&lt;=$M$25,2,IF(D451&lt;=$M$29,3,IF(D451&lt;=$M$26,4,5))))</f>
        <v>2</v>
      </c>
      <c r="I451" s="9" t="str">
        <f t="shared" ref="I451:I514" si="55">CONCATENATE(F451,G451,H451)</f>
        <v>222</v>
      </c>
      <c r="Q451" s="1">
        <v>0.70607193189208939</v>
      </c>
      <c r="R451" s="1">
        <v>0.39636484870629629</v>
      </c>
    </row>
    <row r="452" spans="1:18" x14ac:dyDescent="0.35">
      <c r="A452" t="s">
        <v>454</v>
      </c>
      <c r="B452" s="2">
        <v>45419</v>
      </c>
      <c r="C452" s="3">
        <f t="shared" si="50"/>
        <v>419</v>
      </c>
      <c r="D452">
        <f t="shared" si="51"/>
        <v>419</v>
      </c>
      <c r="E452">
        <f t="shared" si="52"/>
        <v>14</v>
      </c>
      <c r="F452">
        <f t="shared" si="53"/>
        <v>1</v>
      </c>
      <c r="G452">
        <f t="shared" ref="G452:G515" si="56">IF(E452&lt;=$M$14,1,IF(E452&lt;=$M$15,2,IF(E452&lt;=$M$19,3,IF(E452&lt;=$M$16,4,5))))</f>
        <v>1</v>
      </c>
      <c r="H452">
        <f t="shared" si="54"/>
        <v>1</v>
      </c>
      <c r="I452" s="9" t="str">
        <f t="shared" si="55"/>
        <v>111</v>
      </c>
      <c r="Q452" s="1">
        <v>0.40636599717780075</v>
      </c>
      <c r="R452" s="1">
        <v>0.19650253052394284</v>
      </c>
    </row>
    <row r="453" spans="1:18" x14ac:dyDescent="0.35">
      <c r="A453" t="s">
        <v>455</v>
      </c>
      <c r="B453" s="2">
        <v>45333</v>
      </c>
      <c r="C453" s="3">
        <f t="shared" si="50"/>
        <v>505</v>
      </c>
      <c r="D453">
        <f t="shared" si="51"/>
        <v>1404</v>
      </c>
      <c r="E453">
        <f t="shared" si="52"/>
        <v>47</v>
      </c>
      <c r="F453">
        <f t="shared" si="53"/>
        <v>1</v>
      </c>
      <c r="G453">
        <f t="shared" si="56"/>
        <v>5</v>
      </c>
      <c r="H453">
        <f t="shared" si="54"/>
        <v>5</v>
      </c>
      <c r="I453" s="9" t="str">
        <f t="shared" si="55"/>
        <v>155</v>
      </c>
      <c r="Q453" s="1">
        <v>0.97438803503028182</v>
      </c>
      <c r="R453" s="1">
        <v>0.9166324104652932</v>
      </c>
    </row>
    <row r="454" spans="1:18" x14ac:dyDescent="0.35">
      <c r="A454" t="s">
        <v>456</v>
      </c>
      <c r="B454" s="2">
        <v>45577</v>
      </c>
      <c r="C454" s="3">
        <f t="shared" si="50"/>
        <v>261</v>
      </c>
      <c r="D454">
        <f t="shared" si="51"/>
        <v>478</v>
      </c>
      <c r="E454">
        <f t="shared" si="52"/>
        <v>16</v>
      </c>
      <c r="F454">
        <f t="shared" si="53"/>
        <v>4</v>
      </c>
      <c r="G454">
        <f t="shared" si="56"/>
        <v>1</v>
      </c>
      <c r="H454">
        <f t="shared" si="54"/>
        <v>1</v>
      </c>
      <c r="I454" s="9" t="str">
        <f t="shared" si="55"/>
        <v>411</v>
      </c>
      <c r="Q454" s="1">
        <v>0.96574978099479381</v>
      </c>
      <c r="R454" s="1">
        <v>1.5061802354772502E-2</v>
      </c>
    </row>
    <row r="455" spans="1:18" x14ac:dyDescent="0.35">
      <c r="A455" t="s">
        <v>457</v>
      </c>
      <c r="B455" s="2">
        <v>45795</v>
      </c>
      <c r="C455" s="3">
        <f t="shared" si="50"/>
        <v>43</v>
      </c>
      <c r="D455">
        <f t="shared" si="51"/>
        <v>1327</v>
      </c>
      <c r="E455">
        <f t="shared" si="52"/>
        <v>44</v>
      </c>
      <c r="F455">
        <f t="shared" si="53"/>
        <v>5</v>
      </c>
      <c r="G455">
        <f t="shared" si="56"/>
        <v>5</v>
      </c>
      <c r="H455">
        <f t="shared" si="54"/>
        <v>5</v>
      </c>
      <c r="I455" s="9" t="str">
        <f t="shared" si="55"/>
        <v>555</v>
      </c>
      <c r="Q455" s="1">
        <v>0.95280248010274438</v>
      </c>
      <c r="R455" s="1">
        <v>0.85082910104306153</v>
      </c>
    </row>
    <row r="456" spans="1:18" x14ac:dyDescent="0.35">
      <c r="A456" t="s">
        <v>458</v>
      </c>
      <c r="B456" s="2">
        <v>45658</v>
      </c>
      <c r="C456" s="3">
        <f t="shared" si="50"/>
        <v>180</v>
      </c>
      <c r="D456">
        <f t="shared" si="51"/>
        <v>1020</v>
      </c>
      <c r="E456">
        <f t="shared" si="52"/>
        <v>34</v>
      </c>
      <c r="F456">
        <f t="shared" si="53"/>
        <v>4</v>
      </c>
      <c r="G456">
        <f t="shared" si="56"/>
        <v>4</v>
      </c>
      <c r="H456">
        <f t="shared" si="54"/>
        <v>4</v>
      </c>
      <c r="I456" s="9" t="str">
        <f t="shared" si="55"/>
        <v>444</v>
      </c>
      <c r="Q456" s="1">
        <v>0.26146569196766689</v>
      </c>
      <c r="R456" s="1">
        <v>0.84711323780552805</v>
      </c>
    </row>
    <row r="457" spans="1:18" x14ac:dyDescent="0.35">
      <c r="A457" t="s">
        <v>459</v>
      </c>
      <c r="B457" s="2">
        <v>45467</v>
      </c>
      <c r="C457" s="3">
        <f t="shared" si="50"/>
        <v>371</v>
      </c>
      <c r="D457">
        <f t="shared" si="51"/>
        <v>738</v>
      </c>
      <c r="E457">
        <f t="shared" si="52"/>
        <v>24</v>
      </c>
      <c r="F457">
        <f t="shared" si="53"/>
        <v>2</v>
      </c>
      <c r="G457">
        <f t="shared" si="56"/>
        <v>2</v>
      </c>
      <c r="H457">
        <f t="shared" si="54"/>
        <v>2</v>
      </c>
      <c r="I457" s="9" t="str">
        <f t="shared" si="55"/>
        <v>222</v>
      </c>
      <c r="Q457" s="1">
        <v>0.49252639313366675</v>
      </c>
      <c r="R457" s="1">
        <v>0.47141591724089726</v>
      </c>
    </row>
    <row r="458" spans="1:18" x14ac:dyDescent="0.35">
      <c r="A458" t="s">
        <v>460</v>
      </c>
      <c r="B458" s="2">
        <v>45362</v>
      </c>
      <c r="C458" s="3">
        <f t="shared" si="50"/>
        <v>476</v>
      </c>
      <c r="D458">
        <f t="shared" si="51"/>
        <v>236</v>
      </c>
      <c r="E458">
        <f t="shared" si="52"/>
        <v>8</v>
      </c>
      <c r="F458">
        <f t="shared" si="53"/>
        <v>1</v>
      </c>
      <c r="G458">
        <f t="shared" si="56"/>
        <v>1</v>
      </c>
      <c r="H458">
        <f t="shared" si="54"/>
        <v>1</v>
      </c>
      <c r="I458" s="9" t="str">
        <f t="shared" si="55"/>
        <v>111</v>
      </c>
      <c r="Q458" s="1">
        <v>0.18634725567838006</v>
      </c>
      <c r="R458" s="1">
        <v>0.11195980508958703</v>
      </c>
    </row>
    <row r="459" spans="1:18" x14ac:dyDescent="0.35">
      <c r="A459" t="s">
        <v>461</v>
      </c>
      <c r="B459" s="2">
        <v>45437</v>
      </c>
      <c r="C459" s="3">
        <f t="shared" si="50"/>
        <v>401</v>
      </c>
      <c r="D459">
        <f t="shared" si="51"/>
        <v>877</v>
      </c>
      <c r="E459">
        <f t="shared" si="52"/>
        <v>29</v>
      </c>
      <c r="F459">
        <f t="shared" si="53"/>
        <v>2</v>
      </c>
      <c r="G459">
        <f t="shared" si="56"/>
        <v>4</v>
      </c>
      <c r="H459">
        <f t="shared" si="54"/>
        <v>4</v>
      </c>
      <c r="I459" s="9" t="str">
        <f t="shared" si="55"/>
        <v>244</v>
      </c>
      <c r="Q459" s="1">
        <v>0.69310368051705207</v>
      </c>
      <c r="R459" s="1">
        <v>0.52155139814639018</v>
      </c>
    </row>
    <row r="460" spans="1:18" x14ac:dyDescent="0.35">
      <c r="A460" t="s">
        <v>462</v>
      </c>
      <c r="B460" s="2">
        <v>45340</v>
      </c>
      <c r="C460" s="3">
        <f t="shared" si="50"/>
        <v>498</v>
      </c>
      <c r="D460">
        <f t="shared" si="51"/>
        <v>476</v>
      </c>
      <c r="E460">
        <f t="shared" si="52"/>
        <v>16</v>
      </c>
      <c r="F460">
        <f t="shared" si="53"/>
        <v>1</v>
      </c>
      <c r="G460">
        <f t="shared" si="56"/>
        <v>1</v>
      </c>
      <c r="H460">
        <f t="shared" si="54"/>
        <v>1</v>
      </c>
      <c r="I460" s="9" t="str">
        <f t="shared" si="55"/>
        <v>111</v>
      </c>
      <c r="Q460" s="1">
        <v>0.29080099894124178</v>
      </c>
      <c r="R460" s="1">
        <v>0.30189608176346916</v>
      </c>
    </row>
    <row r="461" spans="1:18" x14ac:dyDescent="0.35">
      <c r="A461" t="s">
        <v>463</v>
      </c>
      <c r="B461" s="2">
        <v>45549</v>
      </c>
      <c r="C461" s="3">
        <f t="shared" si="50"/>
        <v>289</v>
      </c>
      <c r="D461">
        <f t="shared" si="51"/>
        <v>733</v>
      </c>
      <c r="E461">
        <f t="shared" si="52"/>
        <v>24</v>
      </c>
      <c r="F461">
        <f t="shared" si="53"/>
        <v>2</v>
      </c>
      <c r="G461">
        <f t="shared" si="56"/>
        <v>2</v>
      </c>
      <c r="H461">
        <f t="shared" si="54"/>
        <v>2</v>
      </c>
      <c r="I461" s="9" t="str">
        <f t="shared" si="55"/>
        <v>222</v>
      </c>
      <c r="Q461" s="1">
        <v>0.75501497665323103</v>
      </c>
      <c r="R461" s="1">
        <v>0.35431172137736855</v>
      </c>
    </row>
    <row r="462" spans="1:18" x14ac:dyDescent="0.35">
      <c r="A462" t="s">
        <v>464</v>
      </c>
      <c r="B462" s="2">
        <v>45726</v>
      </c>
      <c r="C462" s="3">
        <f t="shared" si="50"/>
        <v>112</v>
      </c>
      <c r="D462">
        <f t="shared" si="51"/>
        <v>1043</v>
      </c>
      <c r="E462">
        <f t="shared" si="52"/>
        <v>35</v>
      </c>
      <c r="F462">
        <f t="shared" si="53"/>
        <v>5</v>
      </c>
      <c r="G462">
        <f t="shared" si="56"/>
        <v>4</v>
      </c>
      <c r="H462">
        <f t="shared" si="54"/>
        <v>4</v>
      </c>
      <c r="I462" s="9" t="str">
        <f t="shared" si="55"/>
        <v>544</v>
      </c>
      <c r="Q462" s="1">
        <v>5.8663405537639379E-2</v>
      </c>
      <c r="R462" s="1">
        <v>0.95610873608137925</v>
      </c>
    </row>
    <row r="463" spans="1:18" x14ac:dyDescent="0.35">
      <c r="A463" t="s">
        <v>465</v>
      </c>
      <c r="B463" s="2">
        <v>45688</v>
      </c>
      <c r="C463" s="3">
        <f t="shared" si="50"/>
        <v>150</v>
      </c>
      <c r="D463">
        <f t="shared" si="51"/>
        <v>395</v>
      </c>
      <c r="E463">
        <f t="shared" si="52"/>
        <v>13</v>
      </c>
      <c r="F463">
        <f t="shared" si="53"/>
        <v>4</v>
      </c>
      <c r="G463">
        <f t="shared" si="56"/>
        <v>1</v>
      </c>
      <c r="H463">
        <f t="shared" si="54"/>
        <v>1</v>
      </c>
      <c r="I463" s="9" t="str">
        <f t="shared" si="55"/>
        <v>411</v>
      </c>
      <c r="Q463" s="1">
        <v>0.33664423931520426</v>
      </c>
      <c r="R463" s="1">
        <v>0.20298529006691668</v>
      </c>
    </row>
    <row r="464" spans="1:18" x14ac:dyDescent="0.35">
      <c r="A464" t="s">
        <v>466</v>
      </c>
      <c r="B464" s="2">
        <v>45805</v>
      </c>
      <c r="C464" s="3">
        <f t="shared" si="50"/>
        <v>33</v>
      </c>
      <c r="D464">
        <f t="shared" si="51"/>
        <v>1089</v>
      </c>
      <c r="E464">
        <f t="shared" si="52"/>
        <v>36</v>
      </c>
      <c r="F464">
        <f t="shared" si="53"/>
        <v>5</v>
      </c>
      <c r="G464">
        <f t="shared" si="56"/>
        <v>5</v>
      </c>
      <c r="H464">
        <f t="shared" si="54"/>
        <v>5</v>
      </c>
      <c r="I464" s="9" t="str">
        <f t="shared" si="55"/>
        <v>555</v>
      </c>
      <c r="Q464" s="1">
        <v>0.44018377458046409</v>
      </c>
      <c r="R464" s="1">
        <v>0.83750198742131443</v>
      </c>
    </row>
    <row r="465" spans="1:18" x14ac:dyDescent="0.35">
      <c r="A465" t="s">
        <v>467</v>
      </c>
      <c r="B465" s="2">
        <v>45417</v>
      </c>
      <c r="C465" s="3">
        <f t="shared" si="50"/>
        <v>421</v>
      </c>
      <c r="D465">
        <f t="shared" si="51"/>
        <v>313</v>
      </c>
      <c r="E465">
        <f t="shared" si="52"/>
        <v>10</v>
      </c>
      <c r="F465">
        <f t="shared" si="53"/>
        <v>1</v>
      </c>
      <c r="G465">
        <f t="shared" si="56"/>
        <v>1</v>
      </c>
      <c r="H465">
        <f t="shared" si="54"/>
        <v>1</v>
      </c>
      <c r="I465" s="9" t="str">
        <f t="shared" si="55"/>
        <v>111</v>
      </c>
      <c r="Q465" s="1">
        <v>0.18651655291853686</v>
      </c>
      <c r="R465" s="1">
        <v>0.18754931299910271</v>
      </c>
    </row>
    <row r="466" spans="1:18" x14ac:dyDescent="0.35">
      <c r="A466" t="s">
        <v>468</v>
      </c>
      <c r="B466" s="2">
        <v>45816</v>
      </c>
      <c r="C466" s="3">
        <f t="shared" si="50"/>
        <v>22</v>
      </c>
      <c r="D466">
        <f t="shared" si="51"/>
        <v>1261</v>
      </c>
      <c r="E466">
        <f t="shared" si="52"/>
        <v>42</v>
      </c>
      <c r="F466">
        <f t="shared" si="53"/>
        <v>5</v>
      </c>
      <c r="G466">
        <f t="shared" si="56"/>
        <v>5</v>
      </c>
      <c r="H466">
        <f t="shared" si="54"/>
        <v>5</v>
      </c>
      <c r="I466" s="9" t="str">
        <f t="shared" si="55"/>
        <v>555</v>
      </c>
      <c r="Q466" s="1">
        <v>0.99494995694567101</v>
      </c>
      <c r="R466" s="1">
        <v>0.76796737596286213</v>
      </c>
    </row>
    <row r="467" spans="1:18" x14ac:dyDescent="0.35">
      <c r="A467" t="s">
        <v>469</v>
      </c>
      <c r="B467" s="2">
        <v>45372</v>
      </c>
      <c r="C467" s="3">
        <f t="shared" si="50"/>
        <v>466</v>
      </c>
      <c r="D467">
        <f t="shared" si="51"/>
        <v>1188</v>
      </c>
      <c r="E467">
        <f t="shared" si="52"/>
        <v>40</v>
      </c>
      <c r="F467">
        <f t="shared" si="53"/>
        <v>1</v>
      </c>
      <c r="G467">
        <f t="shared" si="56"/>
        <v>5</v>
      </c>
      <c r="H467">
        <f t="shared" si="54"/>
        <v>5</v>
      </c>
      <c r="I467" s="9" t="str">
        <f t="shared" si="55"/>
        <v>155</v>
      </c>
      <c r="Q467" s="1">
        <v>0.50902690328958833</v>
      </c>
      <c r="R467" s="1">
        <v>0.90511858009966129</v>
      </c>
    </row>
    <row r="468" spans="1:18" x14ac:dyDescent="0.35">
      <c r="A468" t="s">
        <v>470</v>
      </c>
      <c r="B468" s="2">
        <v>45528</v>
      </c>
      <c r="C468" s="3">
        <f t="shared" si="50"/>
        <v>310</v>
      </c>
      <c r="D468">
        <f t="shared" si="51"/>
        <v>758</v>
      </c>
      <c r="E468">
        <f t="shared" si="52"/>
        <v>25</v>
      </c>
      <c r="F468">
        <f t="shared" si="53"/>
        <v>2</v>
      </c>
      <c r="G468">
        <f t="shared" si="56"/>
        <v>2</v>
      </c>
      <c r="H468">
        <f t="shared" si="54"/>
        <v>2</v>
      </c>
      <c r="I468" s="9" t="str">
        <f t="shared" si="55"/>
        <v>222</v>
      </c>
      <c r="Q468" s="1">
        <v>0.76271132490472626</v>
      </c>
      <c r="R468" s="1">
        <v>0.37539430174125932</v>
      </c>
    </row>
    <row r="469" spans="1:18" x14ac:dyDescent="0.35">
      <c r="A469" t="s">
        <v>471</v>
      </c>
      <c r="B469" s="2">
        <v>45370</v>
      </c>
      <c r="C469" s="3">
        <f t="shared" si="50"/>
        <v>468</v>
      </c>
      <c r="D469">
        <f t="shared" si="51"/>
        <v>872</v>
      </c>
      <c r="E469">
        <f t="shared" si="52"/>
        <v>29</v>
      </c>
      <c r="F469">
        <f t="shared" si="53"/>
        <v>1</v>
      </c>
      <c r="G469">
        <f t="shared" si="56"/>
        <v>4</v>
      </c>
      <c r="H469">
        <f t="shared" si="54"/>
        <v>4</v>
      </c>
      <c r="I469" s="9" t="str">
        <f t="shared" si="55"/>
        <v>144</v>
      </c>
      <c r="Q469" s="1">
        <v>2.92975380488113E-2</v>
      </c>
      <c r="R469" s="1">
        <v>0.80126720968222021</v>
      </c>
    </row>
    <row r="470" spans="1:18" x14ac:dyDescent="0.35">
      <c r="A470" t="s">
        <v>472</v>
      </c>
      <c r="B470" s="2">
        <v>45523</v>
      </c>
      <c r="C470" s="3">
        <f t="shared" si="50"/>
        <v>315</v>
      </c>
      <c r="D470">
        <f t="shared" si="51"/>
        <v>446</v>
      </c>
      <c r="E470">
        <f t="shared" si="52"/>
        <v>15</v>
      </c>
      <c r="F470">
        <f t="shared" si="53"/>
        <v>2</v>
      </c>
      <c r="G470">
        <f t="shared" si="56"/>
        <v>1</v>
      </c>
      <c r="H470">
        <f t="shared" si="54"/>
        <v>1</v>
      </c>
      <c r="I470" s="9" t="str">
        <f t="shared" si="55"/>
        <v>211</v>
      </c>
      <c r="Q470" s="1">
        <v>0.90862243290392819</v>
      </c>
      <c r="R470" s="1">
        <v>8.289510165728986E-3</v>
      </c>
    </row>
    <row r="471" spans="1:18" x14ac:dyDescent="0.35">
      <c r="A471" t="s">
        <v>473</v>
      </c>
      <c r="B471" s="2">
        <v>45454</v>
      </c>
      <c r="C471" s="3">
        <f t="shared" si="50"/>
        <v>384</v>
      </c>
      <c r="D471">
        <f t="shared" si="51"/>
        <v>961</v>
      </c>
      <c r="E471">
        <f t="shared" si="52"/>
        <v>32</v>
      </c>
      <c r="F471">
        <f t="shared" si="53"/>
        <v>2</v>
      </c>
      <c r="G471">
        <f t="shared" si="56"/>
        <v>4</v>
      </c>
      <c r="H471">
        <f t="shared" si="54"/>
        <v>4</v>
      </c>
      <c r="I471" s="9" t="str">
        <f t="shared" si="55"/>
        <v>244</v>
      </c>
      <c r="Q471" s="1">
        <v>0.94592999516292309</v>
      </c>
      <c r="R471" s="1">
        <v>0.49575205123463395</v>
      </c>
    </row>
    <row r="472" spans="1:18" x14ac:dyDescent="0.35">
      <c r="A472" t="s">
        <v>474</v>
      </c>
      <c r="B472" s="2">
        <v>45337</v>
      </c>
      <c r="C472" s="3">
        <f t="shared" si="50"/>
        <v>501</v>
      </c>
      <c r="D472">
        <f t="shared" si="51"/>
        <v>995</v>
      </c>
      <c r="E472">
        <f t="shared" si="52"/>
        <v>33</v>
      </c>
      <c r="F472">
        <f t="shared" si="53"/>
        <v>1</v>
      </c>
      <c r="G472">
        <f t="shared" si="56"/>
        <v>4</v>
      </c>
      <c r="H472">
        <f t="shared" si="54"/>
        <v>4</v>
      </c>
      <c r="I472" s="9" t="str">
        <f t="shared" si="55"/>
        <v>144</v>
      </c>
      <c r="Q472" s="1">
        <v>0.66280305983702048</v>
      </c>
      <c r="R472" s="1">
        <v>0.65015080473819487</v>
      </c>
    </row>
    <row r="473" spans="1:18" x14ac:dyDescent="0.35">
      <c r="A473" t="s">
        <v>475</v>
      </c>
      <c r="B473" s="2">
        <v>45627</v>
      </c>
      <c r="C473" s="3">
        <f t="shared" si="50"/>
        <v>211</v>
      </c>
      <c r="D473">
        <f t="shared" si="51"/>
        <v>290</v>
      </c>
      <c r="E473">
        <f t="shared" si="52"/>
        <v>9</v>
      </c>
      <c r="F473">
        <f t="shared" si="53"/>
        <v>4</v>
      </c>
      <c r="G473">
        <f t="shared" si="56"/>
        <v>1</v>
      </c>
      <c r="H473">
        <f t="shared" si="54"/>
        <v>1</v>
      </c>
      <c r="I473" s="9" t="str">
        <f t="shared" si="55"/>
        <v>411</v>
      </c>
      <c r="Q473" s="1">
        <v>0.32493439711157723</v>
      </c>
      <c r="R473" s="1">
        <v>0.10582507990624535</v>
      </c>
    </row>
    <row r="474" spans="1:18" x14ac:dyDescent="0.35">
      <c r="A474" t="s">
        <v>476</v>
      </c>
      <c r="B474" s="2">
        <v>45720</v>
      </c>
      <c r="C474" s="3">
        <f t="shared" si="50"/>
        <v>118</v>
      </c>
      <c r="D474">
        <f t="shared" si="51"/>
        <v>887</v>
      </c>
      <c r="E474">
        <f t="shared" si="52"/>
        <v>29</v>
      </c>
      <c r="F474">
        <f t="shared" si="53"/>
        <v>5</v>
      </c>
      <c r="G474">
        <f t="shared" si="56"/>
        <v>4</v>
      </c>
      <c r="H474">
        <f t="shared" si="54"/>
        <v>4</v>
      </c>
      <c r="I474" s="9" t="str">
        <f t="shared" si="55"/>
        <v>544</v>
      </c>
      <c r="Q474" s="1">
        <v>0.89208868315662671</v>
      </c>
      <c r="R474" s="1">
        <v>0.44627135325157496</v>
      </c>
    </row>
    <row r="475" spans="1:18" x14ac:dyDescent="0.35">
      <c r="A475" t="s">
        <v>477</v>
      </c>
      <c r="B475" s="2">
        <v>45312</v>
      </c>
      <c r="C475" s="3">
        <f t="shared" si="50"/>
        <v>526</v>
      </c>
      <c r="D475">
        <f t="shared" si="51"/>
        <v>1024</v>
      </c>
      <c r="E475">
        <f t="shared" si="52"/>
        <v>34</v>
      </c>
      <c r="F475">
        <f t="shared" si="53"/>
        <v>1</v>
      </c>
      <c r="G475">
        <f t="shared" si="56"/>
        <v>4</v>
      </c>
      <c r="H475">
        <f t="shared" si="54"/>
        <v>4</v>
      </c>
      <c r="I475" s="9" t="str">
        <f t="shared" si="55"/>
        <v>144</v>
      </c>
      <c r="Q475" s="1">
        <v>0.14307177435048568</v>
      </c>
      <c r="R475" s="1">
        <v>0.90134443818402687</v>
      </c>
    </row>
    <row r="476" spans="1:18" x14ac:dyDescent="0.35">
      <c r="A476" t="s">
        <v>478</v>
      </c>
      <c r="B476" s="2">
        <v>45430</v>
      </c>
      <c r="C476" s="3">
        <f t="shared" si="50"/>
        <v>408</v>
      </c>
      <c r="D476">
        <f t="shared" si="51"/>
        <v>874</v>
      </c>
      <c r="E476">
        <f t="shared" si="52"/>
        <v>29</v>
      </c>
      <c r="F476">
        <f t="shared" si="53"/>
        <v>2</v>
      </c>
      <c r="G476">
        <f t="shared" si="56"/>
        <v>4</v>
      </c>
      <c r="H476">
        <f t="shared" si="54"/>
        <v>4</v>
      </c>
      <c r="I476" s="9" t="str">
        <f t="shared" si="55"/>
        <v>244</v>
      </c>
      <c r="Q476" s="1">
        <v>0.32711700432198776</v>
      </c>
      <c r="R476" s="1">
        <v>0.67546784480274269</v>
      </c>
    </row>
    <row r="477" spans="1:18" x14ac:dyDescent="0.35">
      <c r="A477" t="s">
        <v>479</v>
      </c>
      <c r="B477" s="2">
        <v>45814</v>
      </c>
      <c r="C477" s="3">
        <f t="shared" si="50"/>
        <v>24</v>
      </c>
      <c r="D477">
        <f t="shared" si="51"/>
        <v>229</v>
      </c>
      <c r="E477">
        <f t="shared" si="52"/>
        <v>7</v>
      </c>
      <c r="F477">
        <f t="shared" si="53"/>
        <v>5</v>
      </c>
      <c r="G477">
        <f t="shared" si="56"/>
        <v>1</v>
      </c>
      <c r="H477">
        <f t="shared" si="54"/>
        <v>1</v>
      </c>
      <c r="I477" s="9" t="str">
        <f t="shared" si="55"/>
        <v>511</v>
      </c>
      <c r="Q477" s="1">
        <v>0.15021375672414283</v>
      </c>
      <c r="R477" s="1">
        <v>0.12015176230919733</v>
      </c>
    </row>
    <row r="478" spans="1:18" x14ac:dyDescent="0.35">
      <c r="A478" t="s">
        <v>480</v>
      </c>
      <c r="B478" s="2">
        <v>45349</v>
      </c>
      <c r="C478" s="3">
        <f t="shared" si="50"/>
        <v>489</v>
      </c>
      <c r="D478">
        <f t="shared" si="51"/>
        <v>500</v>
      </c>
      <c r="E478">
        <f t="shared" si="52"/>
        <v>16</v>
      </c>
      <c r="F478">
        <f t="shared" si="53"/>
        <v>1</v>
      </c>
      <c r="G478">
        <f t="shared" si="56"/>
        <v>1</v>
      </c>
      <c r="H478">
        <f t="shared" si="54"/>
        <v>1</v>
      </c>
      <c r="I478" s="9" t="str">
        <f t="shared" si="55"/>
        <v>111</v>
      </c>
      <c r="Q478" s="1">
        <v>0.94818406765836538</v>
      </c>
      <c r="R478" s="1">
        <v>4.3968478738159122E-2</v>
      </c>
    </row>
    <row r="479" spans="1:18" x14ac:dyDescent="0.35">
      <c r="A479" t="s">
        <v>481</v>
      </c>
      <c r="B479" s="2">
        <v>45621</v>
      </c>
      <c r="C479" s="3">
        <f t="shared" si="50"/>
        <v>217</v>
      </c>
      <c r="D479">
        <f t="shared" si="51"/>
        <v>1159</v>
      </c>
      <c r="E479">
        <f t="shared" si="52"/>
        <v>39</v>
      </c>
      <c r="F479">
        <f t="shared" si="53"/>
        <v>4</v>
      </c>
      <c r="G479">
        <f t="shared" si="56"/>
        <v>5</v>
      </c>
      <c r="H479">
        <f t="shared" si="54"/>
        <v>5</v>
      </c>
      <c r="I479" s="9" t="str">
        <f t="shared" si="55"/>
        <v>455</v>
      </c>
      <c r="Q479" s="1">
        <v>0.70522230089495286</v>
      </c>
      <c r="R479" s="1">
        <v>0.79284503972229414</v>
      </c>
    </row>
    <row r="480" spans="1:18" x14ac:dyDescent="0.35">
      <c r="A480" t="s">
        <v>482</v>
      </c>
      <c r="B480" s="2">
        <v>45587</v>
      </c>
      <c r="C480" s="3">
        <f t="shared" si="50"/>
        <v>251</v>
      </c>
      <c r="D480">
        <f t="shared" si="51"/>
        <v>637</v>
      </c>
      <c r="E480">
        <f t="shared" si="52"/>
        <v>21</v>
      </c>
      <c r="F480">
        <f t="shared" si="53"/>
        <v>4</v>
      </c>
      <c r="G480">
        <f t="shared" si="56"/>
        <v>2</v>
      </c>
      <c r="H480">
        <f t="shared" si="54"/>
        <v>2</v>
      </c>
      <c r="I480" s="9" t="str">
        <f t="shared" si="55"/>
        <v>422</v>
      </c>
      <c r="Q480" s="1">
        <v>0.88739104236587474</v>
      </c>
      <c r="R480" s="1">
        <v>0.20370279608846142</v>
      </c>
    </row>
    <row r="481" spans="1:18" x14ac:dyDescent="0.35">
      <c r="A481" t="s">
        <v>483</v>
      </c>
      <c r="B481" s="2">
        <v>45567</v>
      </c>
      <c r="C481" s="3">
        <f t="shared" si="50"/>
        <v>271</v>
      </c>
      <c r="D481">
        <f t="shared" si="51"/>
        <v>512</v>
      </c>
      <c r="E481">
        <f t="shared" si="52"/>
        <v>17</v>
      </c>
      <c r="F481">
        <f t="shared" si="53"/>
        <v>4</v>
      </c>
      <c r="G481">
        <f t="shared" si="56"/>
        <v>2</v>
      </c>
      <c r="H481">
        <f t="shared" si="54"/>
        <v>2</v>
      </c>
      <c r="I481" s="9" t="str">
        <f t="shared" si="55"/>
        <v>422</v>
      </c>
      <c r="Q481" s="1">
        <v>9.8739562165998107E-2</v>
      </c>
      <c r="R481" s="1">
        <v>0.41989296034864831</v>
      </c>
    </row>
    <row r="482" spans="1:18" x14ac:dyDescent="0.35">
      <c r="A482" t="s">
        <v>484</v>
      </c>
      <c r="B482" s="2">
        <v>45487</v>
      </c>
      <c r="C482" s="3">
        <f t="shared" si="50"/>
        <v>351</v>
      </c>
      <c r="D482">
        <f t="shared" si="51"/>
        <v>273</v>
      </c>
      <c r="E482">
        <f t="shared" si="52"/>
        <v>9</v>
      </c>
      <c r="F482">
        <f t="shared" si="53"/>
        <v>2</v>
      </c>
      <c r="G482">
        <f t="shared" si="56"/>
        <v>1</v>
      </c>
      <c r="H482">
        <f t="shared" si="54"/>
        <v>1</v>
      </c>
      <c r="I482" s="9" t="str">
        <f t="shared" si="55"/>
        <v>211</v>
      </c>
      <c r="Q482" s="1">
        <v>0.1970792612996598</v>
      </c>
      <c r="R482" s="1">
        <v>0.14386283976260261</v>
      </c>
    </row>
    <row r="483" spans="1:18" x14ac:dyDescent="0.35">
      <c r="A483" t="s">
        <v>485</v>
      </c>
      <c r="B483" s="2">
        <v>45584</v>
      </c>
      <c r="C483" s="3">
        <f t="shared" si="50"/>
        <v>254</v>
      </c>
      <c r="D483">
        <f t="shared" si="51"/>
        <v>504</v>
      </c>
      <c r="E483">
        <f t="shared" si="52"/>
        <v>17</v>
      </c>
      <c r="F483">
        <f t="shared" si="53"/>
        <v>4</v>
      </c>
      <c r="G483">
        <f t="shared" si="56"/>
        <v>2</v>
      </c>
      <c r="H483">
        <f t="shared" si="54"/>
        <v>2</v>
      </c>
      <c r="I483" s="9" t="str">
        <f t="shared" si="55"/>
        <v>422</v>
      </c>
      <c r="Q483" s="1">
        <v>0.15752147146647288</v>
      </c>
      <c r="R483" s="1">
        <v>0.38616417060311636</v>
      </c>
    </row>
    <row r="484" spans="1:18" x14ac:dyDescent="0.35">
      <c r="A484" t="s">
        <v>486</v>
      </c>
      <c r="B484" s="2">
        <v>45717</v>
      </c>
      <c r="C484" s="3">
        <f t="shared" si="50"/>
        <v>121</v>
      </c>
      <c r="D484">
        <f t="shared" si="51"/>
        <v>881</v>
      </c>
      <c r="E484">
        <f t="shared" si="52"/>
        <v>29</v>
      </c>
      <c r="F484">
        <f t="shared" si="53"/>
        <v>5</v>
      </c>
      <c r="G484">
        <f t="shared" si="56"/>
        <v>4</v>
      </c>
      <c r="H484">
        <f t="shared" si="54"/>
        <v>4</v>
      </c>
      <c r="I484" s="9" t="str">
        <f t="shared" si="55"/>
        <v>544</v>
      </c>
      <c r="Q484" s="1">
        <v>0.85967511704512045</v>
      </c>
      <c r="R484" s="1">
        <v>0.45411558022195819</v>
      </c>
    </row>
    <row r="485" spans="1:18" x14ac:dyDescent="0.35">
      <c r="A485" t="s">
        <v>487</v>
      </c>
      <c r="B485" s="2">
        <v>45452</v>
      </c>
      <c r="C485" s="3">
        <f t="shared" si="50"/>
        <v>386</v>
      </c>
      <c r="D485">
        <f t="shared" si="51"/>
        <v>1195</v>
      </c>
      <c r="E485">
        <f t="shared" si="52"/>
        <v>40</v>
      </c>
      <c r="F485">
        <f t="shared" si="53"/>
        <v>2</v>
      </c>
      <c r="G485">
        <f t="shared" si="56"/>
        <v>5</v>
      </c>
      <c r="H485">
        <f t="shared" si="54"/>
        <v>5</v>
      </c>
      <c r="I485" s="9" t="str">
        <f t="shared" si="55"/>
        <v>255</v>
      </c>
      <c r="Q485" s="1">
        <v>0.31185337838104532</v>
      </c>
      <c r="R485" s="1">
        <v>0.9967063823269664</v>
      </c>
    </row>
    <row r="486" spans="1:18" x14ac:dyDescent="0.35">
      <c r="A486" t="s">
        <v>488</v>
      </c>
      <c r="B486" s="2">
        <v>45445</v>
      </c>
      <c r="C486" s="3">
        <f t="shared" si="50"/>
        <v>393</v>
      </c>
      <c r="D486">
        <f t="shared" si="51"/>
        <v>860</v>
      </c>
      <c r="E486">
        <f t="shared" si="52"/>
        <v>29</v>
      </c>
      <c r="F486">
        <f t="shared" si="53"/>
        <v>2</v>
      </c>
      <c r="G486">
        <f t="shared" si="56"/>
        <v>4</v>
      </c>
      <c r="H486">
        <f t="shared" si="54"/>
        <v>4</v>
      </c>
      <c r="I486" s="9" t="str">
        <f t="shared" si="55"/>
        <v>244</v>
      </c>
      <c r="Q486" s="1">
        <v>0.1258801690762672</v>
      </c>
      <c r="R486" s="1">
        <v>0.74828571026251789</v>
      </c>
    </row>
    <row r="487" spans="1:18" x14ac:dyDescent="0.35">
      <c r="A487" t="s">
        <v>489</v>
      </c>
      <c r="B487" s="2">
        <v>45347</v>
      </c>
      <c r="C487" s="3">
        <f t="shared" si="50"/>
        <v>491</v>
      </c>
      <c r="D487">
        <f t="shared" si="51"/>
        <v>1004</v>
      </c>
      <c r="E487">
        <f t="shared" si="52"/>
        <v>33</v>
      </c>
      <c r="F487">
        <f t="shared" si="53"/>
        <v>1</v>
      </c>
      <c r="G487">
        <f t="shared" si="56"/>
        <v>4</v>
      </c>
      <c r="H487">
        <f t="shared" si="54"/>
        <v>4</v>
      </c>
      <c r="I487" s="9" t="str">
        <f t="shared" si="55"/>
        <v>144</v>
      </c>
      <c r="Q487" s="1">
        <v>0.2832569360004572</v>
      </c>
      <c r="R487" s="1">
        <v>0.82200839973946027</v>
      </c>
    </row>
    <row r="488" spans="1:18" x14ac:dyDescent="0.35">
      <c r="A488" t="s">
        <v>490</v>
      </c>
      <c r="B488" s="2">
        <v>45676</v>
      </c>
      <c r="C488" s="3">
        <f t="shared" si="50"/>
        <v>162</v>
      </c>
      <c r="D488">
        <f t="shared" si="51"/>
        <v>384</v>
      </c>
      <c r="E488">
        <f t="shared" si="52"/>
        <v>13</v>
      </c>
      <c r="F488">
        <f t="shared" si="53"/>
        <v>4</v>
      </c>
      <c r="G488">
        <f t="shared" si="56"/>
        <v>1</v>
      </c>
      <c r="H488">
        <f t="shared" si="54"/>
        <v>1</v>
      </c>
      <c r="I488" s="9" t="str">
        <f t="shared" si="55"/>
        <v>411</v>
      </c>
      <c r="Q488" s="1">
        <v>2.239311511425135E-2</v>
      </c>
      <c r="R488" s="1">
        <v>0.32681560754393091</v>
      </c>
    </row>
    <row r="489" spans="1:18" x14ac:dyDescent="0.35">
      <c r="A489" t="s">
        <v>491</v>
      </c>
      <c r="B489" s="2">
        <v>45323</v>
      </c>
      <c r="C489" s="3">
        <f t="shared" si="50"/>
        <v>515</v>
      </c>
      <c r="D489">
        <f t="shared" si="51"/>
        <v>479</v>
      </c>
      <c r="E489">
        <f t="shared" si="52"/>
        <v>16</v>
      </c>
      <c r="F489">
        <f t="shared" si="53"/>
        <v>1</v>
      </c>
      <c r="G489">
        <f t="shared" si="56"/>
        <v>1</v>
      </c>
      <c r="H489">
        <f t="shared" si="54"/>
        <v>1</v>
      </c>
      <c r="I489" s="9" t="str">
        <f t="shared" si="55"/>
        <v>111</v>
      </c>
      <c r="Q489" s="1">
        <v>0.82481502600027512</v>
      </c>
      <c r="R489" s="1">
        <v>7.639900580332204E-2</v>
      </c>
    </row>
    <row r="490" spans="1:18" x14ac:dyDescent="0.35">
      <c r="A490" t="s">
        <v>492</v>
      </c>
      <c r="B490" s="2">
        <v>45763</v>
      </c>
      <c r="C490" s="3">
        <f t="shared" si="50"/>
        <v>75</v>
      </c>
      <c r="D490">
        <f t="shared" si="51"/>
        <v>636</v>
      </c>
      <c r="E490">
        <f t="shared" si="52"/>
        <v>21</v>
      </c>
      <c r="F490">
        <f t="shared" si="53"/>
        <v>5</v>
      </c>
      <c r="G490">
        <f t="shared" si="56"/>
        <v>2</v>
      </c>
      <c r="H490">
        <f t="shared" si="54"/>
        <v>2</v>
      </c>
      <c r="I490" s="9" t="str">
        <f t="shared" si="55"/>
        <v>522</v>
      </c>
      <c r="Q490" s="1">
        <v>0.67421907258354452</v>
      </c>
      <c r="R490" s="1">
        <v>0.29457197215983677</v>
      </c>
    </row>
    <row r="491" spans="1:18" x14ac:dyDescent="0.35">
      <c r="A491" t="s">
        <v>493</v>
      </c>
      <c r="B491" s="2">
        <v>45632</v>
      </c>
      <c r="C491" s="3">
        <f t="shared" si="50"/>
        <v>206</v>
      </c>
      <c r="D491">
        <f t="shared" si="51"/>
        <v>1187</v>
      </c>
      <c r="E491">
        <f t="shared" si="52"/>
        <v>39</v>
      </c>
      <c r="F491">
        <f t="shared" si="53"/>
        <v>4</v>
      </c>
      <c r="G491">
        <f t="shared" si="56"/>
        <v>5</v>
      </c>
      <c r="H491">
        <f t="shared" si="54"/>
        <v>5</v>
      </c>
      <c r="I491" s="9" t="str">
        <f t="shared" si="55"/>
        <v>455</v>
      </c>
      <c r="Q491" s="1">
        <v>0.6018204103794117</v>
      </c>
      <c r="R491" s="1">
        <v>0.86425521842707986</v>
      </c>
    </row>
    <row r="492" spans="1:18" x14ac:dyDescent="0.35">
      <c r="A492" t="s">
        <v>494</v>
      </c>
      <c r="B492" s="2">
        <v>45774</v>
      </c>
      <c r="C492" s="3">
        <f t="shared" si="50"/>
        <v>64</v>
      </c>
      <c r="D492">
        <f t="shared" si="51"/>
        <v>1153</v>
      </c>
      <c r="E492">
        <f t="shared" si="52"/>
        <v>38</v>
      </c>
      <c r="F492">
        <f t="shared" si="53"/>
        <v>5</v>
      </c>
      <c r="G492">
        <f t="shared" si="56"/>
        <v>5</v>
      </c>
      <c r="H492">
        <f t="shared" si="54"/>
        <v>5</v>
      </c>
      <c r="I492" s="9" t="str">
        <f t="shared" si="55"/>
        <v>555</v>
      </c>
      <c r="Q492" s="1">
        <v>0.53158103661573886</v>
      </c>
      <c r="R492" s="1">
        <v>0.86091168674276042</v>
      </c>
    </row>
    <row r="493" spans="1:18" x14ac:dyDescent="0.35">
      <c r="A493" t="s">
        <v>495</v>
      </c>
      <c r="B493" s="2">
        <v>45521</v>
      </c>
      <c r="C493" s="3">
        <f t="shared" si="50"/>
        <v>317</v>
      </c>
      <c r="D493">
        <f t="shared" si="51"/>
        <v>1264</v>
      </c>
      <c r="E493">
        <f t="shared" si="52"/>
        <v>42</v>
      </c>
      <c r="F493">
        <f t="shared" si="53"/>
        <v>2</v>
      </c>
      <c r="G493">
        <f t="shared" si="56"/>
        <v>5</v>
      </c>
      <c r="H493">
        <f t="shared" si="54"/>
        <v>5</v>
      </c>
      <c r="I493" s="9" t="str">
        <f t="shared" si="55"/>
        <v>255</v>
      </c>
      <c r="Q493" s="1">
        <v>0.86238056847427147</v>
      </c>
      <c r="R493" s="1">
        <v>0.82780110267132878</v>
      </c>
    </row>
    <row r="494" spans="1:18" x14ac:dyDescent="0.35">
      <c r="A494" t="s">
        <v>496</v>
      </c>
      <c r="B494" s="2">
        <v>45720</v>
      </c>
      <c r="C494" s="3">
        <f t="shared" si="50"/>
        <v>118</v>
      </c>
      <c r="D494">
        <f t="shared" si="51"/>
        <v>754</v>
      </c>
      <c r="E494">
        <f t="shared" si="52"/>
        <v>25</v>
      </c>
      <c r="F494">
        <f t="shared" si="53"/>
        <v>5</v>
      </c>
      <c r="G494">
        <f t="shared" si="56"/>
        <v>2</v>
      </c>
      <c r="H494">
        <f t="shared" si="54"/>
        <v>2</v>
      </c>
      <c r="I494" s="9" t="str">
        <f t="shared" si="55"/>
        <v>522</v>
      </c>
      <c r="Q494" s="1">
        <v>0.62850807941288422</v>
      </c>
      <c r="R494" s="1">
        <v>0.4294331543999983</v>
      </c>
    </row>
    <row r="495" spans="1:18" x14ac:dyDescent="0.35">
      <c r="A495" t="s">
        <v>497</v>
      </c>
      <c r="B495" s="2">
        <v>45295</v>
      </c>
      <c r="C495" s="3">
        <f t="shared" si="50"/>
        <v>543</v>
      </c>
      <c r="D495">
        <f t="shared" si="51"/>
        <v>379</v>
      </c>
      <c r="E495">
        <f t="shared" si="52"/>
        <v>12</v>
      </c>
      <c r="F495">
        <f t="shared" si="53"/>
        <v>1</v>
      </c>
      <c r="G495">
        <f t="shared" si="56"/>
        <v>1</v>
      </c>
      <c r="H495">
        <f t="shared" si="54"/>
        <v>1</v>
      </c>
      <c r="I495" s="9" t="str">
        <f t="shared" si="55"/>
        <v>111</v>
      </c>
      <c r="Q495" s="1">
        <v>0.20885965625481084</v>
      </c>
      <c r="R495" s="1">
        <v>0.24258363273117578</v>
      </c>
    </row>
    <row r="496" spans="1:18" x14ac:dyDescent="0.35">
      <c r="A496" t="s">
        <v>498</v>
      </c>
      <c r="B496" s="2">
        <v>45685</v>
      </c>
      <c r="C496" s="3">
        <f t="shared" si="50"/>
        <v>153</v>
      </c>
      <c r="D496">
        <f t="shared" si="51"/>
        <v>875</v>
      </c>
      <c r="E496">
        <f t="shared" si="52"/>
        <v>29</v>
      </c>
      <c r="F496">
        <f t="shared" si="53"/>
        <v>4</v>
      </c>
      <c r="G496">
        <f t="shared" si="56"/>
        <v>4</v>
      </c>
      <c r="H496">
        <f t="shared" si="54"/>
        <v>4</v>
      </c>
      <c r="I496" s="9" t="str">
        <f t="shared" si="55"/>
        <v>444</v>
      </c>
      <c r="Q496" s="1">
        <v>4.2005442098516643E-2</v>
      </c>
      <c r="R496" s="1">
        <v>0.79927325852686237</v>
      </c>
    </row>
    <row r="497" spans="1:18" x14ac:dyDescent="0.35">
      <c r="A497" t="s">
        <v>499</v>
      </c>
      <c r="B497" s="2">
        <v>45449</v>
      </c>
      <c r="C497" s="3">
        <f t="shared" si="50"/>
        <v>389</v>
      </c>
      <c r="D497">
        <f t="shared" si="51"/>
        <v>1122</v>
      </c>
      <c r="E497">
        <f t="shared" si="52"/>
        <v>37</v>
      </c>
      <c r="F497">
        <f t="shared" si="53"/>
        <v>2</v>
      </c>
      <c r="G497">
        <f t="shared" si="56"/>
        <v>5</v>
      </c>
      <c r="H497">
        <f t="shared" si="54"/>
        <v>5</v>
      </c>
      <c r="I497" s="9" t="str">
        <f t="shared" si="55"/>
        <v>255</v>
      </c>
      <c r="Q497" s="1">
        <v>0.82614978084000534</v>
      </c>
      <c r="R497" s="1">
        <v>0.70443083075615343</v>
      </c>
    </row>
    <row r="498" spans="1:18" x14ac:dyDescent="0.35">
      <c r="A498" t="s">
        <v>500</v>
      </c>
      <c r="B498" s="2">
        <v>45471</v>
      </c>
      <c r="C498" s="3">
        <f t="shared" si="50"/>
        <v>367</v>
      </c>
      <c r="D498">
        <f t="shared" si="51"/>
        <v>1208</v>
      </c>
      <c r="E498">
        <f t="shared" si="52"/>
        <v>40</v>
      </c>
      <c r="F498">
        <f t="shared" si="53"/>
        <v>2</v>
      </c>
      <c r="G498">
        <f t="shared" si="56"/>
        <v>5</v>
      </c>
      <c r="H498">
        <f t="shared" si="54"/>
        <v>5</v>
      </c>
      <c r="I498" s="9" t="str">
        <f t="shared" si="55"/>
        <v>255</v>
      </c>
      <c r="Q498" s="1">
        <v>0.55746294138169694</v>
      </c>
      <c r="R498" s="1">
        <v>0.90375254311141839</v>
      </c>
    </row>
    <row r="499" spans="1:18" x14ac:dyDescent="0.35">
      <c r="A499" t="s">
        <v>501</v>
      </c>
      <c r="B499" s="2">
        <v>45799</v>
      </c>
      <c r="C499" s="3">
        <f t="shared" si="50"/>
        <v>39</v>
      </c>
      <c r="D499">
        <f t="shared" si="51"/>
        <v>978</v>
      </c>
      <c r="E499">
        <f t="shared" si="52"/>
        <v>32</v>
      </c>
      <c r="F499">
        <f t="shared" si="53"/>
        <v>5</v>
      </c>
      <c r="G499">
        <f t="shared" si="56"/>
        <v>4</v>
      </c>
      <c r="H499">
        <f t="shared" si="54"/>
        <v>4</v>
      </c>
      <c r="I499" s="9" t="str">
        <f t="shared" si="55"/>
        <v>544</v>
      </c>
      <c r="Q499" s="1">
        <v>0.55960771313993318</v>
      </c>
      <c r="R499" s="1">
        <v>0.67776378924882741</v>
      </c>
    </row>
    <row r="500" spans="1:18" x14ac:dyDescent="0.35">
      <c r="A500" t="s">
        <v>502</v>
      </c>
      <c r="B500" s="2">
        <v>45475</v>
      </c>
      <c r="C500" s="3">
        <f t="shared" si="50"/>
        <v>363</v>
      </c>
      <c r="D500">
        <f t="shared" si="51"/>
        <v>501</v>
      </c>
      <c r="E500">
        <f t="shared" si="52"/>
        <v>16</v>
      </c>
      <c r="F500">
        <f t="shared" si="53"/>
        <v>2</v>
      </c>
      <c r="G500">
        <f t="shared" si="56"/>
        <v>1</v>
      </c>
      <c r="H500">
        <f t="shared" si="54"/>
        <v>2</v>
      </c>
      <c r="I500" s="9" t="str">
        <f t="shared" si="55"/>
        <v>212</v>
      </c>
      <c r="Q500" s="1">
        <v>0.51029635084101888</v>
      </c>
      <c r="R500" s="1">
        <v>0.23261827486613107</v>
      </c>
    </row>
    <row r="501" spans="1:18" x14ac:dyDescent="0.35">
      <c r="A501" t="s">
        <v>503</v>
      </c>
      <c r="B501" s="2">
        <v>45614</v>
      </c>
      <c r="C501" s="3">
        <f t="shared" si="50"/>
        <v>224</v>
      </c>
      <c r="D501">
        <f t="shared" si="51"/>
        <v>619</v>
      </c>
      <c r="E501">
        <f t="shared" si="52"/>
        <v>20</v>
      </c>
      <c r="F501">
        <f t="shared" si="53"/>
        <v>4</v>
      </c>
      <c r="G501">
        <f t="shared" si="56"/>
        <v>2</v>
      </c>
      <c r="H501">
        <f t="shared" si="54"/>
        <v>2</v>
      </c>
      <c r="I501" s="9" t="str">
        <f t="shared" si="55"/>
        <v>422</v>
      </c>
      <c r="Q501" s="1">
        <v>0.97336013196389159</v>
      </c>
      <c r="R501" s="1">
        <v>0.14983314993200325</v>
      </c>
    </row>
    <row r="502" spans="1:18" x14ac:dyDescent="0.35">
      <c r="A502" t="s">
        <v>504</v>
      </c>
      <c r="B502" s="2">
        <v>45699</v>
      </c>
      <c r="C502" s="3">
        <f t="shared" si="50"/>
        <v>139</v>
      </c>
      <c r="D502">
        <f t="shared" si="51"/>
        <v>290</v>
      </c>
      <c r="E502">
        <f t="shared" si="52"/>
        <v>9</v>
      </c>
      <c r="F502">
        <f t="shared" si="53"/>
        <v>4</v>
      </c>
      <c r="G502">
        <f t="shared" si="56"/>
        <v>1</v>
      </c>
      <c r="H502">
        <f t="shared" si="54"/>
        <v>1</v>
      </c>
      <c r="I502" s="9" t="str">
        <f t="shared" si="55"/>
        <v>411</v>
      </c>
      <c r="Q502" s="1">
        <v>0.29745029610474849</v>
      </c>
      <c r="R502" s="1">
        <v>0.11733417210954067</v>
      </c>
    </row>
    <row r="503" spans="1:18" x14ac:dyDescent="0.35">
      <c r="A503" t="s">
        <v>505</v>
      </c>
      <c r="B503" s="2">
        <v>45467</v>
      </c>
      <c r="C503" s="3">
        <f t="shared" si="50"/>
        <v>371</v>
      </c>
      <c r="D503">
        <f t="shared" si="51"/>
        <v>1081</v>
      </c>
      <c r="E503">
        <f t="shared" si="52"/>
        <v>36</v>
      </c>
      <c r="F503">
        <f t="shared" si="53"/>
        <v>2</v>
      </c>
      <c r="G503">
        <f t="shared" si="56"/>
        <v>5</v>
      </c>
      <c r="H503">
        <f t="shared" si="54"/>
        <v>5</v>
      </c>
      <c r="I503" s="9" t="str">
        <f t="shared" si="55"/>
        <v>255</v>
      </c>
      <c r="Q503" s="1">
        <v>0.49919632612219866</v>
      </c>
      <c r="R503" s="1">
        <v>0.80436550884919644</v>
      </c>
    </row>
    <row r="504" spans="1:18" x14ac:dyDescent="0.35">
      <c r="A504" t="s">
        <v>506</v>
      </c>
      <c r="B504" s="2">
        <v>45527</v>
      </c>
      <c r="C504" s="3">
        <f t="shared" si="50"/>
        <v>311</v>
      </c>
      <c r="D504">
        <f t="shared" si="51"/>
        <v>726</v>
      </c>
      <c r="E504">
        <f t="shared" si="52"/>
        <v>24</v>
      </c>
      <c r="F504">
        <f t="shared" si="53"/>
        <v>2</v>
      </c>
      <c r="G504">
        <f t="shared" si="56"/>
        <v>2</v>
      </c>
      <c r="H504">
        <f t="shared" si="54"/>
        <v>2</v>
      </c>
      <c r="I504" s="9" t="str">
        <f t="shared" si="55"/>
        <v>222</v>
      </c>
      <c r="Q504" s="1">
        <v>0.18282161835254196</v>
      </c>
      <c r="R504" s="1">
        <v>0.59306880132669471</v>
      </c>
    </row>
    <row r="505" spans="1:18" x14ac:dyDescent="0.35">
      <c r="A505" t="s">
        <v>507</v>
      </c>
      <c r="B505" s="2">
        <v>45746</v>
      </c>
      <c r="C505" s="3">
        <f t="shared" si="50"/>
        <v>92</v>
      </c>
      <c r="D505">
        <f t="shared" si="51"/>
        <v>693</v>
      </c>
      <c r="E505">
        <f t="shared" si="52"/>
        <v>23</v>
      </c>
      <c r="F505">
        <f t="shared" si="53"/>
        <v>5</v>
      </c>
      <c r="G505">
        <f t="shared" si="56"/>
        <v>2</v>
      </c>
      <c r="H505">
        <f t="shared" si="54"/>
        <v>2</v>
      </c>
      <c r="I505" s="9" t="str">
        <f t="shared" si="55"/>
        <v>522</v>
      </c>
      <c r="Q505" s="1">
        <v>0.33614879959984756</v>
      </c>
      <c r="R505" s="1">
        <v>0.49506640640763833</v>
      </c>
    </row>
    <row r="506" spans="1:18" x14ac:dyDescent="0.35">
      <c r="A506" t="s">
        <v>508</v>
      </c>
      <c r="B506" s="2">
        <v>45545</v>
      </c>
      <c r="C506" s="3">
        <f t="shared" si="50"/>
        <v>293</v>
      </c>
      <c r="D506">
        <f t="shared" si="51"/>
        <v>466</v>
      </c>
      <c r="E506">
        <f t="shared" si="52"/>
        <v>15</v>
      </c>
      <c r="F506">
        <f t="shared" si="53"/>
        <v>2</v>
      </c>
      <c r="G506">
        <f t="shared" si="56"/>
        <v>1</v>
      </c>
      <c r="H506">
        <f t="shared" si="54"/>
        <v>1</v>
      </c>
      <c r="I506" s="9" t="str">
        <f t="shared" si="55"/>
        <v>211</v>
      </c>
      <c r="Q506" s="1">
        <v>0.33513339793613717</v>
      </c>
      <c r="R506" s="1">
        <v>0.27341296568162643</v>
      </c>
    </row>
    <row r="507" spans="1:18" x14ac:dyDescent="0.35">
      <c r="A507" t="s">
        <v>509</v>
      </c>
      <c r="B507" s="2">
        <v>45538</v>
      </c>
      <c r="C507" s="3">
        <f t="shared" si="50"/>
        <v>300</v>
      </c>
      <c r="D507">
        <f t="shared" si="51"/>
        <v>584</v>
      </c>
      <c r="E507">
        <f t="shared" si="52"/>
        <v>19</v>
      </c>
      <c r="F507">
        <f t="shared" si="53"/>
        <v>2</v>
      </c>
      <c r="G507">
        <f t="shared" si="56"/>
        <v>2</v>
      </c>
      <c r="H507">
        <f t="shared" si="54"/>
        <v>2</v>
      </c>
      <c r="I507" s="9" t="str">
        <f t="shared" si="55"/>
        <v>222</v>
      </c>
      <c r="Q507" s="1">
        <v>0.19996884433867179</v>
      </c>
      <c r="R507" s="1">
        <v>0.44644276844886044</v>
      </c>
    </row>
    <row r="508" spans="1:18" x14ac:dyDescent="0.35">
      <c r="A508" t="s">
        <v>510</v>
      </c>
      <c r="B508" s="2">
        <v>45730</v>
      </c>
      <c r="C508" s="3">
        <f t="shared" si="50"/>
        <v>108</v>
      </c>
      <c r="D508">
        <f t="shared" si="51"/>
        <v>1064</v>
      </c>
      <c r="E508">
        <f t="shared" si="52"/>
        <v>35</v>
      </c>
      <c r="F508">
        <f t="shared" si="53"/>
        <v>5</v>
      </c>
      <c r="G508">
        <f t="shared" si="56"/>
        <v>4</v>
      </c>
      <c r="H508">
        <f t="shared" si="54"/>
        <v>5</v>
      </c>
      <c r="I508" s="9" t="str">
        <f t="shared" si="55"/>
        <v>545</v>
      </c>
      <c r="Q508" s="1">
        <v>3.1641612804247932E-2</v>
      </c>
      <c r="R508" s="1">
        <v>0.98834366927368777</v>
      </c>
    </row>
    <row r="509" spans="1:18" x14ac:dyDescent="0.35">
      <c r="A509" t="s">
        <v>511</v>
      </c>
      <c r="B509" s="2">
        <v>45691</v>
      </c>
      <c r="C509" s="3">
        <f t="shared" si="50"/>
        <v>147</v>
      </c>
      <c r="D509">
        <f t="shared" si="51"/>
        <v>362</v>
      </c>
      <c r="E509">
        <f t="shared" si="52"/>
        <v>12</v>
      </c>
      <c r="F509">
        <f t="shared" si="53"/>
        <v>4</v>
      </c>
      <c r="G509">
        <f t="shared" si="56"/>
        <v>1</v>
      </c>
      <c r="H509">
        <f t="shared" si="54"/>
        <v>1</v>
      </c>
      <c r="I509" s="9" t="str">
        <f t="shared" si="55"/>
        <v>411</v>
      </c>
      <c r="Q509" s="1">
        <v>0.15094286444367067</v>
      </c>
      <c r="R509" s="1">
        <v>0.25078703167866179</v>
      </c>
    </row>
    <row r="510" spans="1:18" x14ac:dyDescent="0.35">
      <c r="A510" t="s">
        <v>512</v>
      </c>
      <c r="B510" s="2">
        <v>45366</v>
      </c>
      <c r="C510" s="3">
        <f t="shared" si="50"/>
        <v>472</v>
      </c>
      <c r="D510">
        <f t="shared" si="51"/>
        <v>780</v>
      </c>
      <c r="E510">
        <f t="shared" si="52"/>
        <v>26</v>
      </c>
      <c r="F510">
        <f t="shared" si="53"/>
        <v>1</v>
      </c>
      <c r="G510">
        <f t="shared" si="56"/>
        <v>2</v>
      </c>
      <c r="H510">
        <f t="shared" si="54"/>
        <v>2</v>
      </c>
      <c r="I510" s="9" t="str">
        <f t="shared" si="55"/>
        <v>122</v>
      </c>
      <c r="Q510" s="1">
        <v>0.42967572970322387</v>
      </c>
      <c r="R510" s="1">
        <v>0.54029188831443731</v>
      </c>
    </row>
    <row r="511" spans="1:18" x14ac:dyDescent="0.35">
      <c r="A511" t="s">
        <v>513</v>
      </c>
      <c r="B511" s="2">
        <v>45630</v>
      </c>
      <c r="C511" s="3">
        <f t="shared" si="50"/>
        <v>208</v>
      </c>
      <c r="D511">
        <f t="shared" si="51"/>
        <v>305</v>
      </c>
      <c r="E511">
        <f t="shared" si="52"/>
        <v>10</v>
      </c>
      <c r="F511">
        <f t="shared" si="53"/>
        <v>4</v>
      </c>
      <c r="G511">
        <f t="shared" si="56"/>
        <v>1</v>
      </c>
      <c r="H511">
        <f t="shared" si="54"/>
        <v>1</v>
      </c>
      <c r="I511" s="9" t="str">
        <f t="shared" si="55"/>
        <v>411</v>
      </c>
      <c r="Q511" s="1">
        <v>0.55546446784756176</v>
      </c>
      <c r="R511" s="1">
        <v>2.1186951944829002E-2</v>
      </c>
    </row>
    <row r="512" spans="1:18" x14ac:dyDescent="0.35">
      <c r="A512" t="s">
        <v>514</v>
      </c>
      <c r="B512" s="2">
        <v>45749</v>
      </c>
      <c r="C512" s="3">
        <f t="shared" si="50"/>
        <v>89</v>
      </c>
      <c r="D512">
        <f t="shared" si="51"/>
        <v>81</v>
      </c>
      <c r="E512">
        <f t="shared" si="52"/>
        <v>2</v>
      </c>
      <c r="F512">
        <f t="shared" si="53"/>
        <v>5</v>
      </c>
      <c r="G512">
        <f t="shared" si="56"/>
        <v>1</v>
      </c>
      <c r="H512">
        <f t="shared" si="54"/>
        <v>1</v>
      </c>
      <c r="I512" s="9" t="str">
        <f t="shared" si="55"/>
        <v>511</v>
      </c>
      <c r="Q512" s="1">
        <v>5.9868118233346923E-2</v>
      </c>
      <c r="R512" s="1">
        <v>1.4130314127547172E-2</v>
      </c>
    </row>
    <row r="513" spans="1:18" x14ac:dyDescent="0.35">
      <c r="A513" t="s">
        <v>515</v>
      </c>
      <c r="B513" s="2">
        <v>45447</v>
      </c>
      <c r="C513" s="3">
        <f t="shared" si="50"/>
        <v>391</v>
      </c>
      <c r="D513">
        <f t="shared" si="51"/>
        <v>855</v>
      </c>
      <c r="E513">
        <f t="shared" si="52"/>
        <v>28</v>
      </c>
      <c r="F513">
        <f t="shared" si="53"/>
        <v>2</v>
      </c>
      <c r="G513">
        <f t="shared" si="56"/>
        <v>4</v>
      </c>
      <c r="H513">
        <f t="shared" si="54"/>
        <v>4</v>
      </c>
      <c r="I513" s="9" t="str">
        <f t="shared" si="55"/>
        <v>244</v>
      </c>
      <c r="Q513" s="1">
        <v>8.7386229131872994E-2</v>
      </c>
      <c r="R513" s="1">
        <v>0.75956852797480412</v>
      </c>
    </row>
    <row r="514" spans="1:18" x14ac:dyDescent="0.35">
      <c r="A514" t="s">
        <v>516</v>
      </c>
      <c r="B514" s="2">
        <v>45793</v>
      </c>
      <c r="C514" s="3">
        <f t="shared" si="50"/>
        <v>45</v>
      </c>
      <c r="D514">
        <f t="shared" si="51"/>
        <v>512</v>
      </c>
      <c r="E514">
        <f t="shared" si="52"/>
        <v>17</v>
      </c>
      <c r="F514">
        <f t="shared" si="53"/>
        <v>5</v>
      </c>
      <c r="G514">
        <f t="shared" si="56"/>
        <v>2</v>
      </c>
      <c r="H514">
        <f t="shared" si="54"/>
        <v>2</v>
      </c>
      <c r="I514" s="9" t="str">
        <f t="shared" si="55"/>
        <v>522</v>
      </c>
      <c r="Q514" s="1">
        <v>0.47505254171368705</v>
      </c>
      <c r="R514" s="1">
        <v>0.25798171365477995</v>
      </c>
    </row>
    <row r="515" spans="1:18" x14ac:dyDescent="0.35">
      <c r="A515" t="s">
        <v>517</v>
      </c>
      <c r="B515" s="2">
        <v>45782</v>
      </c>
      <c r="C515" s="3">
        <f t="shared" ref="C515:C578" si="57">$S$6-B515</f>
        <v>56</v>
      </c>
      <c r="D515">
        <f t="shared" ref="D515:D578" si="58">ROUND((R515*0.7+Q515*0.3)*(1500-40)+40,0)</f>
        <v>570</v>
      </c>
      <c r="E515">
        <f t="shared" ref="E515:E578" si="59">ROUND((R515*0.7+Q515*0.3)*(50-1)+1,0)</f>
        <v>19</v>
      </c>
      <c r="F515">
        <f t="shared" ref="F515:F578" si="60">IF(C515&lt;=$M$4,5,IF(C515&lt;=$M$9,4,IF(C515&lt;=$M$5,3,IF(C515&lt;=$M$6,2,1))))</f>
        <v>5</v>
      </c>
      <c r="G515">
        <f t="shared" si="56"/>
        <v>2</v>
      </c>
      <c r="H515">
        <f t="shared" ref="H515:H578" si="61">IF(D515&lt;=$M$24,1,IF(D515&lt;=$M$25,2,IF(D515&lt;=$M$29,3,IF(D515&lt;=$M$26,4,5))))</f>
        <v>2</v>
      </c>
      <c r="I515" s="9" t="str">
        <f t="shared" ref="I515:I578" si="62">CONCATENATE(F515,G515,H515)</f>
        <v>522</v>
      </c>
      <c r="Q515" s="1">
        <v>0.18652647221482455</v>
      </c>
      <c r="R515" s="1">
        <v>0.43853563346085978</v>
      </c>
    </row>
    <row r="516" spans="1:18" x14ac:dyDescent="0.35">
      <c r="A516" t="s">
        <v>518</v>
      </c>
      <c r="B516" s="2">
        <v>45645</v>
      </c>
      <c r="C516" s="3">
        <f t="shared" si="57"/>
        <v>193</v>
      </c>
      <c r="D516">
        <f t="shared" si="58"/>
        <v>705</v>
      </c>
      <c r="E516">
        <f t="shared" si="59"/>
        <v>23</v>
      </c>
      <c r="F516">
        <f t="shared" si="60"/>
        <v>4</v>
      </c>
      <c r="G516">
        <f t="shared" ref="G516:G579" si="63">IF(E516&lt;=$M$14,1,IF(E516&lt;=$M$15,2,IF(E516&lt;=$M$19,3,IF(E516&lt;=$M$16,4,5))))</f>
        <v>2</v>
      </c>
      <c r="H516">
        <f t="shared" si="61"/>
        <v>2</v>
      </c>
      <c r="I516" s="9" t="str">
        <f t="shared" si="62"/>
        <v>422</v>
      </c>
      <c r="Q516" s="1">
        <v>0.7483673851380076</v>
      </c>
      <c r="R516" s="1">
        <v>0.32989795224095564</v>
      </c>
    </row>
    <row r="517" spans="1:18" x14ac:dyDescent="0.35">
      <c r="A517" t="s">
        <v>519</v>
      </c>
      <c r="B517" s="2">
        <v>45537</v>
      </c>
      <c r="C517" s="3">
        <f t="shared" si="57"/>
        <v>301</v>
      </c>
      <c r="D517">
        <f t="shared" si="58"/>
        <v>1144</v>
      </c>
      <c r="E517">
        <f t="shared" si="59"/>
        <v>38</v>
      </c>
      <c r="F517">
        <f t="shared" si="60"/>
        <v>2</v>
      </c>
      <c r="G517">
        <f t="shared" si="63"/>
        <v>5</v>
      </c>
      <c r="H517">
        <f t="shared" si="61"/>
        <v>5</v>
      </c>
      <c r="I517" s="9" t="str">
        <f t="shared" si="62"/>
        <v>255</v>
      </c>
      <c r="Q517" s="1">
        <v>0.86740837663169912</v>
      </c>
      <c r="R517" s="1">
        <v>0.70811979718725193</v>
      </c>
    </row>
    <row r="518" spans="1:18" x14ac:dyDescent="0.35">
      <c r="A518" t="s">
        <v>520</v>
      </c>
      <c r="B518" s="2">
        <v>45503</v>
      </c>
      <c r="C518" s="3">
        <f t="shared" si="57"/>
        <v>335</v>
      </c>
      <c r="D518">
        <f t="shared" si="58"/>
        <v>1081</v>
      </c>
      <c r="E518">
        <f t="shared" si="59"/>
        <v>36</v>
      </c>
      <c r="F518">
        <f t="shared" si="60"/>
        <v>2</v>
      </c>
      <c r="G518">
        <f t="shared" si="63"/>
        <v>5</v>
      </c>
      <c r="H518">
        <f t="shared" si="61"/>
        <v>5</v>
      </c>
      <c r="I518" s="9" t="str">
        <f t="shared" si="62"/>
        <v>255</v>
      </c>
      <c r="Q518" s="1">
        <v>0.51776438675766268</v>
      </c>
      <c r="R518" s="1">
        <v>0.79681712525222637</v>
      </c>
    </row>
    <row r="519" spans="1:18" x14ac:dyDescent="0.35">
      <c r="A519" t="s">
        <v>521</v>
      </c>
      <c r="B519" s="2">
        <v>45517</v>
      </c>
      <c r="C519" s="3">
        <f t="shared" si="57"/>
        <v>321</v>
      </c>
      <c r="D519">
        <f t="shared" si="58"/>
        <v>1154</v>
      </c>
      <c r="E519">
        <f t="shared" si="59"/>
        <v>38</v>
      </c>
      <c r="F519">
        <f t="shared" si="60"/>
        <v>2</v>
      </c>
      <c r="G519">
        <f t="shared" si="63"/>
        <v>5</v>
      </c>
      <c r="H519">
        <f t="shared" si="61"/>
        <v>5</v>
      </c>
      <c r="I519" s="9" t="str">
        <f t="shared" si="62"/>
        <v>255</v>
      </c>
      <c r="Q519" s="1">
        <v>0.63867646459762017</v>
      </c>
      <c r="R519" s="1">
        <v>0.81654077187183904</v>
      </c>
    </row>
    <row r="520" spans="1:18" x14ac:dyDescent="0.35">
      <c r="A520" t="s">
        <v>522</v>
      </c>
      <c r="B520" s="2">
        <v>45497</v>
      </c>
      <c r="C520" s="3">
        <f t="shared" si="57"/>
        <v>341</v>
      </c>
      <c r="D520">
        <f t="shared" si="58"/>
        <v>1257</v>
      </c>
      <c r="E520">
        <f t="shared" si="59"/>
        <v>42</v>
      </c>
      <c r="F520">
        <f t="shared" si="60"/>
        <v>2</v>
      </c>
      <c r="G520">
        <f t="shared" si="63"/>
        <v>5</v>
      </c>
      <c r="H520">
        <f t="shared" si="61"/>
        <v>5</v>
      </c>
      <c r="I520" s="9" t="str">
        <f t="shared" si="62"/>
        <v>255</v>
      </c>
      <c r="Q520" s="1">
        <v>0.8849494743035462</v>
      </c>
      <c r="R520" s="1">
        <v>0.81111880998833685</v>
      </c>
    </row>
    <row r="521" spans="1:18" x14ac:dyDescent="0.35">
      <c r="A521" t="s">
        <v>523</v>
      </c>
      <c r="B521" s="2">
        <v>45341</v>
      </c>
      <c r="C521" s="3">
        <f t="shared" si="57"/>
        <v>497</v>
      </c>
      <c r="D521">
        <f t="shared" si="58"/>
        <v>905</v>
      </c>
      <c r="E521">
        <f t="shared" si="59"/>
        <v>30</v>
      </c>
      <c r="F521">
        <f t="shared" si="60"/>
        <v>1</v>
      </c>
      <c r="G521">
        <f t="shared" si="63"/>
        <v>4</v>
      </c>
      <c r="H521">
        <f t="shared" si="61"/>
        <v>4</v>
      </c>
      <c r="I521" s="9" t="str">
        <f t="shared" si="62"/>
        <v>144</v>
      </c>
      <c r="Q521" s="1">
        <v>0.94723416014951012</v>
      </c>
      <c r="R521" s="1">
        <v>0.44073932975829699</v>
      </c>
    </row>
    <row r="522" spans="1:18" x14ac:dyDescent="0.35">
      <c r="A522" t="s">
        <v>524</v>
      </c>
      <c r="B522" s="2">
        <v>45563</v>
      </c>
      <c r="C522" s="3">
        <f t="shared" si="57"/>
        <v>275</v>
      </c>
      <c r="D522">
        <f t="shared" si="58"/>
        <v>1348</v>
      </c>
      <c r="E522">
        <f t="shared" si="59"/>
        <v>45</v>
      </c>
      <c r="F522">
        <f t="shared" si="60"/>
        <v>3</v>
      </c>
      <c r="G522">
        <f t="shared" si="63"/>
        <v>5</v>
      </c>
      <c r="H522">
        <f t="shared" si="61"/>
        <v>5</v>
      </c>
      <c r="I522" s="9" t="str">
        <f t="shared" si="62"/>
        <v>355</v>
      </c>
      <c r="Q522" s="1">
        <v>0.901009508854416</v>
      </c>
      <c r="R522" s="1">
        <v>0.89392111161170229</v>
      </c>
    </row>
    <row r="523" spans="1:18" x14ac:dyDescent="0.35">
      <c r="A523" t="s">
        <v>525</v>
      </c>
      <c r="B523" s="2">
        <v>45478</v>
      </c>
      <c r="C523" s="3">
        <f t="shared" si="57"/>
        <v>360</v>
      </c>
      <c r="D523">
        <f t="shared" si="58"/>
        <v>882</v>
      </c>
      <c r="E523">
        <f t="shared" si="59"/>
        <v>29</v>
      </c>
      <c r="F523">
        <f t="shared" si="60"/>
        <v>2</v>
      </c>
      <c r="G523">
        <f t="shared" si="63"/>
        <v>4</v>
      </c>
      <c r="H523">
        <f t="shared" si="61"/>
        <v>4</v>
      </c>
      <c r="I523" s="9" t="str">
        <f t="shared" si="62"/>
        <v>244</v>
      </c>
      <c r="Q523" s="1">
        <v>0.31089139039891811</v>
      </c>
      <c r="R523" s="1">
        <v>0.69110116965455393</v>
      </c>
    </row>
    <row r="524" spans="1:18" x14ac:dyDescent="0.35">
      <c r="A524" t="s">
        <v>526</v>
      </c>
      <c r="B524" s="2">
        <v>45561</v>
      </c>
      <c r="C524" s="3">
        <f t="shared" si="57"/>
        <v>277</v>
      </c>
      <c r="D524">
        <f t="shared" si="58"/>
        <v>609</v>
      </c>
      <c r="E524">
        <f t="shared" si="59"/>
        <v>20</v>
      </c>
      <c r="F524">
        <f t="shared" si="60"/>
        <v>2</v>
      </c>
      <c r="G524">
        <f t="shared" si="63"/>
        <v>2</v>
      </c>
      <c r="H524">
        <f t="shared" si="61"/>
        <v>2</v>
      </c>
      <c r="I524" s="9" t="str">
        <f t="shared" si="62"/>
        <v>222</v>
      </c>
      <c r="Q524" s="1">
        <v>0.34424158898079971</v>
      </c>
      <c r="R524" s="1">
        <v>0.4092047158384563</v>
      </c>
    </row>
    <row r="525" spans="1:18" x14ac:dyDescent="0.35">
      <c r="A525" t="s">
        <v>527</v>
      </c>
      <c r="B525" s="2">
        <v>45596</v>
      </c>
      <c r="C525" s="3">
        <f t="shared" si="57"/>
        <v>242</v>
      </c>
      <c r="D525">
        <f t="shared" si="58"/>
        <v>800</v>
      </c>
      <c r="E525">
        <f t="shared" si="59"/>
        <v>27</v>
      </c>
      <c r="F525">
        <f t="shared" si="60"/>
        <v>4</v>
      </c>
      <c r="G525">
        <f t="shared" si="63"/>
        <v>4</v>
      </c>
      <c r="H525">
        <f t="shared" si="61"/>
        <v>4</v>
      </c>
      <c r="I525" s="9" t="str">
        <f t="shared" si="62"/>
        <v>444</v>
      </c>
      <c r="Q525" s="1">
        <v>6.0589297441729695E-2</v>
      </c>
      <c r="R525" s="1">
        <v>0.71812292547621381</v>
      </c>
    </row>
    <row r="526" spans="1:18" x14ac:dyDescent="0.35">
      <c r="A526" t="s">
        <v>528</v>
      </c>
      <c r="B526" s="2">
        <v>45798</v>
      </c>
      <c r="C526" s="3">
        <f t="shared" si="57"/>
        <v>40</v>
      </c>
      <c r="D526">
        <f t="shared" si="58"/>
        <v>784</v>
      </c>
      <c r="E526">
        <f t="shared" si="59"/>
        <v>26</v>
      </c>
      <c r="F526">
        <f t="shared" si="60"/>
        <v>5</v>
      </c>
      <c r="G526">
        <f t="shared" si="63"/>
        <v>2</v>
      </c>
      <c r="H526">
        <f t="shared" si="61"/>
        <v>4</v>
      </c>
      <c r="I526" s="9" t="str">
        <f t="shared" si="62"/>
        <v>524</v>
      </c>
      <c r="Q526" s="1">
        <v>0.7126612062558153</v>
      </c>
      <c r="R526" s="1">
        <v>0.42283702795396427</v>
      </c>
    </row>
    <row r="527" spans="1:18" x14ac:dyDescent="0.35">
      <c r="A527" t="s">
        <v>529</v>
      </c>
      <c r="B527" s="2">
        <v>45556</v>
      </c>
      <c r="C527" s="3">
        <f t="shared" si="57"/>
        <v>282</v>
      </c>
      <c r="D527">
        <f t="shared" si="58"/>
        <v>1154</v>
      </c>
      <c r="E527">
        <f t="shared" si="59"/>
        <v>38</v>
      </c>
      <c r="F527">
        <f t="shared" si="60"/>
        <v>2</v>
      </c>
      <c r="G527">
        <f t="shared" si="63"/>
        <v>5</v>
      </c>
      <c r="H527">
        <f t="shared" si="61"/>
        <v>5</v>
      </c>
      <c r="I527" s="9" t="str">
        <f t="shared" si="62"/>
        <v>255</v>
      </c>
      <c r="Q527" s="1">
        <v>0.2741928799138732</v>
      </c>
      <c r="R527" s="1">
        <v>0.97207519551062604</v>
      </c>
    </row>
    <row r="528" spans="1:18" x14ac:dyDescent="0.35">
      <c r="A528" t="s">
        <v>530</v>
      </c>
      <c r="B528" s="2">
        <v>45806</v>
      </c>
      <c r="C528" s="3">
        <f t="shared" si="57"/>
        <v>32</v>
      </c>
      <c r="D528">
        <f t="shared" si="58"/>
        <v>772</v>
      </c>
      <c r="E528">
        <f t="shared" si="59"/>
        <v>26</v>
      </c>
      <c r="F528">
        <f t="shared" si="60"/>
        <v>5</v>
      </c>
      <c r="G528">
        <f t="shared" si="63"/>
        <v>2</v>
      </c>
      <c r="H528">
        <f t="shared" si="61"/>
        <v>2</v>
      </c>
      <c r="I528" s="9" t="str">
        <f t="shared" si="62"/>
        <v>522</v>
      </c>
      <c r="Q528" s="1">
        <v>8.5002830813409758E-2</v>
      </c>
      <c r="R528" s="1">
        <v>0.67970584785883548</v>
      </c>
    </row>
    <row r="529" spans="1:18" x14ac:dyDescent="0.35">
      <c r="A529" t="s">
        <v>531</v>
      </c>
      <c r="B529" s="2">
        <v>45796</v>
      </c>
      <c r="C529" s="3">
        <f t="shared" si="57"/>
        <v>42</v>
      </c>
      <c r="D529">
        <f t="shared" si="58"/>
        <v>666</v>
      </c>
      <c r="E529">
        <f t="shared" si="59"/>
        <v>22</v>
      </c>
      <c r="F529">
        <f t="shared" si="60"/>
        <v>5</v>
      </c>
      <c r="G529">
        <f t="shared" si="63"/>
        <v>2</v>
      </c>
      <c r="H529">
        <f t="shared" si="61"/>
        <v>2</v>
      </c>
      <c r="I529" s="9" t="str">
        <f t="shared" si="62"/>
        <v>522</v>
      </c>
      <c r="Q529" s="1">
        <v>0.56428281810254832</v>
      </c>
      <c r="R529" s="1">
        <v>0.370520005508164</v>
      </c>
    </row>
    <row r="530" spans="1:18" x14ac:dyDescent="0.35">
      <c r="A530" t="s">
        <v>532</v>
      </c>
      <c r="B530" s="2">
        <v>45491</v>
      </c>
      <c r="C530" s="3">
        <f t="shared" si="57"/>
        <v>347</v>
      </c>
      <c r="D530">
        <f t="shared" si="58"/>
        <v>948</v>
      </c>
      <c r="E530">
        <f t="shared" si="59"/>
        <v>31</v>
      </c>
      <c r="F530">
        <f t="shared" si="60"/>
        <v>2</v>
      </c>
      <c r="G530">
        <f t="shared" si="63"/>
        <v>4</v>
      </c>
      <c r="H530">
        <f t="shared" si="61"/>
        <v>4</v>
      </c>
      <c r="I530" s="9" t="str">
        <f t="shared" si="62"/>
        <v>244</v>
      </c>
      <c r="Q530" s="1">
        <v>0.47371273410801451</v>
      </c>
      <c r="R530" s="1">
        <v>0.68531763461074424</v>
      </c>
    </row>
    <row r="531" spans="1:18" x14ac:dyDescent="0.35">
      <c r="A531" t="s">
        <v>533</v>
      </c>
      <c r="B531" s="2">
        <v>45765</v>
      </c>
      <c r="C531" s="3">
        <f t="shared" si="57"/>
        <v>73</v>
      </c>
      <c r="D531">
        <f t="shared" si="58"/>
        <v>476</v>
      </c>
      <c r="E531">
        <f t="shared" si="59"/>
        <v>16</v>
      </c>
      <c r="F531">
        <f t="shared" si="60"/>
        <v>5</v>
      </c>
      <c r="G531">
        <f t="shared" si="63"/>
        <v>1</v>
      </c>
      <c r="H531">
        <f t="shared" si="61"/>
        <v>1</v>
      </c>
      <c r="I531" s="9" t="str">
        <f t="shared" si="62"/>
        <v>511</v>
      </c>
      <c r="Q531" s="1">
        <v>0.40632143735872994</v>
      </c>
      <c r="R531" s="1">
        <v>0.25222679106361456</v>
      </c>
    </row>
    <row r="532" spans="1:18" x14ac:dyDescent="0.35">
      <c r="A532" t="s">
        <v>534</v>
      </c>
      <c r="B532" s="2">
        <v>45819</v>
      </c>
      <c r="C532" s="3">
        <f t="shared" si="57"/>
        <v>19</v>
      </c>
      <c r="D532">
        <f t="shared" si="58"/>
        <v>235</v>
      </c>
      <c r="E532">
        <f t="shared" si="59"/>
        <v>8</v>
      </c>
      <c r="F532">
        <f t="shared" si="60"/>
        <v>5</v>
      </c>
      <c r="G532">
        <f t="shared" si="63"/>
        <v>1</v>
      </c>
      <c r="H532">
        <f t="shared" si="61"/>
        <v>1</v>
      </c>
      <c r="I532" s="9" t="str">
        <f t="shared" si="62"/>
        <v>511</v>
      </c>
      <c r="Q532" s="1">
        <v>0.39983451145181825</v>
      </c>
      <c r="R532" s="1">
        <v>1.9269632644884349E-2</v>
      </c>
    </row>
    <row r="533" spans="1:18" x14ac:dyDescent="0.35">
      <c r="A533" t="s">
        <v>535</v>
      </c>
      <c r="B533" s="2">
        <v>45504</v>
      </c>
      <c r="C533" s="3">
        <f t="shared" si="57"/>
        <v>334</v>
      </c>
      <c r="D533">
        <f t="shared" si="58"/>
        <v>609</v>
      </c>
      <c r="E533">
        <f t="shared" si="59"/>
        <v>20</v>
      </c>
      <c r="F533">
        <f t="shared" si="60"/>
        <v>2</v>
      </c>
      <c r="G533">
        <f t="shared" si="63"/>
        <v>2</v>
      </c>
      <c r="H533">
        <f t="shared" si="61"/>
        <v>2</v>
      </c>
      <c r="I533" s="9" t="str">
        <f t="shared" si="62"/>
        <v>222</v>
      </c>
      <c r="Q533" s="1">
        <v>0.17110550204348918</v>
      </c>
      <c r="R533" s="1">
        <v>0.48307248737788133</v>
      </c>
    </row>
    <row r="534" spans="1:18" x14ac:dyDescent="0.35">
      <c r="A534" t="s">
        <v>536</v>
      </c>
      <c r="B534" s="2">
        <v>45689</v>
      </c>
      <c r="C534" s="3">
        <f t="shared" si="57"/>
        <v>149</v>
      </c>
      <c r="D534">
        <f t="shared" si="58"/>
        <v>1019</v>
      </c>
      <c r="E534">
        <f t="shared" si="59"/>
        <v>34</v>
      </c>
      <c r="F534">
        <f t="shared" si="60"/>
        <v>4</v>
      </c>
      <c r="G534">
        <f t="shared" si="63"/>
        <v>4</v>
      </c>
      <c r="H534">
        <f t="shared" si="61"/>
        <v>4</v>
      </c>
      <c r="I534" s="9" t="str">
        <f t="shared" si="62"/>
        <v>444</v>
      </c>
      <c r="Q534" s="1">
        <v>0.38974563807379192</v>
      </c>
      <c r="R534" s="1">
        <v>0.7913156684819953</v>
      </c>
    </row>
    <row r="535" spans="1:18" x14ac:dyDescent="0.35">
      <c r="A535" t="s">
        <v>537</v>
      </c>
      <c r="B535" s="2">
        <v>45658</v>
      </c>
      <c r="C535" s="3">
        <f t="shared" si="57"/>
        <v>180</v>
      </c>
      <c r="D535">
        <f t="shared" si="58"/>
        <v>616</v>
      </c>
      <c r="E535">
        <f t="shared" si="59"/>
        <v>20</v>
      </c>
      <c r="F535">
        <f t="shared" si="60"/>
        <v>4</v>
      </c>
      <c r="G535">
        <f t="shared" si="63"/>
        <v>2</v>
      </c>
      <c r="H535">
        <f t="shared" si="61"/>
        <v>2</v>
      </c>
      <c r="I535" s="9" t="str">
        <f t="shared" si="62"/>
        <v>422</v>
      </c>
      <c r="Q535" s="1">
        <v>0.78593146197837438</v>
      </c>
      <c r="R535" s="1">
        <v>0.22638023495010551</v>
      </c>
    </row>
    <row r="536" spans="1:18" x14ac:dyDescent="0.35">
      <c r="A536" t="s">
        <v>538</v>
      </c>
      <c r="B536" s="2">
        <v>45441</v>
      </c>
      <c r="C536" s="3">
        <f t="shared" si="57"/>
        <v>397</v>
      </c>
      <c r="D536">
        <f t="shared" si="58"/>
        <v>284</v>
      </c>
      <c r="E536">
        <f t="shared" si="59"/>
        <v>9</v>
      </c>
      <c r="F536">
        <f t="shared" si="60"/>
        <v>2</v>
      </c>
      <c r="G536">
        <f t="shared" si="63"/>
        <v>1</v>
      </c>
      <c r="H536">
        <f t="shared" si="61"/>
        <v>1</v>
      </c>
      <c r="I536" s="9" t="str">
        <f t="shared" si="62"/>
        <v>211</v>
      </c>
      <c r="Q536" s="1">
        <v>0.40352710199300235</v>
      </c>
      <c r="R536" s="1">
        <v>6.5615899013338197E-2</v>
      </c>
    </row>
    <row r="537" spans="1:18" x14ac:dyDescent="0.35">
      <c r="A537" t="s">
        <v>539</v>
      </c>
      <c r="B537" s="2">
        <v>45407</v>
      </c>
      <c r="C537" s="3">
        <f t="shared" si="57"/>
        <v>431</v>
      </c>
      <c r="D537">
        <f t="shared" si="58"/>
        <v>271</v>
      </c>
      <c r="E537">
        <f t="shared" si="59"/>
        <v>9</v>
      </c>
      <c r="F537">
        <f t="shared" si="60"/>
        <v>1</v>
      </c>
      <c r="G537">
        <f t="shared" si="63"/>
        <v>1</v>
      </c>
      <c r="H537">
        <f t="shared" si="61"/>
        <v>1</v>
      </c>
      <c r="I537" s="9" t="str">
        <f t="shared" si="62"/>
        <v>111</v>
      </c>
      <c r="Q537" s="1">
        <v>7.2702859944150156E-2</v>
      </c>
      <c r="R537" s="1">
        <v>0.19454923734723295</v>
      </c>
    </row>
    <row r="538" spans="1:18" x14ac:dyDescent="0.35">
      <c r="A538" t="s">
        <v>540</v>
      </c>
      <c r="B538" s="2">
        <v>45478</v>
      </c>
      <c r="C538" s="3">
        <f t="shared" si="57"/>
        <v>360</v>
      </c>
      <c r="D538">
        <f t="shared" si="58"/>
        <v>334</v>
      </c>
      <c r="E538">
        <f t="shared" si="59"/>
        <v>11</v>
      </c>
      <c r="F538">
        <f t="shared" si="60"/>
        <v>2</v>
      </c>
      <c r="G538">
        <f t="shared" si="63"/>
        <v>1</v>
      </c>
      <c r="H538">
        <f t="shared" si="61"/>
        <v>1</v>
      </c>
      <c r="I538" s="9" t="str">
        <f t="shared" si="62"/>
        <v>211</v>
      </c>
      <c r="Q538" s="1">
        <v>0.15165822895130987</v>
      </c>
      <c r="R538" s="1">
        <v>0.22246848384042128</v>
      </c>
    </row>
    <row r="539" spans="1:18" x14ac:dyDescent="0.35">
      <c r="A539" t="s">
        <v>541</v>
      </c>
      <c r="B539" s="2">
        <v>45617</v>
      </c>
      <c r="C539" s="3">
        <f t="shared" si="57"/>
        <v>221</v>
      </c>
      <c r="D539">
        <f t="shared" si="58"/>
        <v>1201</v>
      </c>
      <c r="E539">
        <f t="shared" si="59"/>
        <v>40</v>
      </c>
      <c r="F539">
        <f t="shared" si="60"/>
        <v>4</v>
      </c>
      <c r="G539">
        <f t="shared" si="63"/>
        <v>5</v>
      </c>
      <c r="H539">
        <f t="shared" si="61"/>
        <v>5</v>
      </c>
      <c r="I539" s="9" t="str">
        <f t="shared" si="62"/>
        <v>455</v>
      </c>
      <c r="Q539" s="1">
        <v>0.69917534073485155</v>
      </c>
      <c r="R539" s="1">
        <v>0.83648293394944895</v>
      </c>
    </row>
    <row r="540" spans="1:18" x14ac:dyDescent="0.35">
      <c r="A540" t="s">
        <v>542</v>
      </c>
      <c r="B540" s="2">
        <v>45680</v>
      </c>
      <c r="C540" s="3">
        <f t="shared" si="57"/>
        <v>158</v>
      </c>
      <c r="D540">
        <f t="shared" si="58"/>
        <v>934</v>
      </c>
      <c r="E540">
        <f t="shared" si="59"/>
        <v>31</v>
      </c>
      <c r="F540">
        <f t="shared" si="60"/>
        <v>4</v>
      </c>
      <c r="G540">
        <f t="shared" si="63"/>
        <v>4</v>
      </c>
      <c r="H540">
        <f t="shared" si="61"/>
        <v>4</v>
      </c>
      <c r="I540" s="9" t="str">
        <f t="shared" si="62"/>
        <v>444</v>
      </c>
      <c r="Q540" s="1">
        <v>4.5180032656082725E-2</v>
      </c>
      <c r="R540" s="1">
        <v>0.85572812044921398</v>
      </c>
    </row>
    <row r="541" spans="1:18" x14ac:dyDescent="0.35">
      <c r="A541" t="s">
        <v>543</v>
      </c>
      <c r="B541" s="2">
        <v>45433</v>
      </c>
      <c r="C541" s="3">
        <f t="shared" si="57"/>
        <v>405</v>
      </c>
      <c r="D541">
        <f t="shared" si="58"/>
        <v>463</v>
      </c>
      <c r="E541">
        <f t="shared" si="59"/>
        <v>15</v>
      </c>
      <c r="F541">
        <f t="shared" si="60"/>
        <v>2</v>
      </c>
      <c r="G541">
        <f t="shared" si="63"/>
        <v>1</v>
      </c>
      <c r="H541">
        <f t="shared" si="61"/>
        <v>1</v>
      </c>
      <c r="I541" s="9" t="str">
        <f t="shared" si="62"/>
        <v>211</v>
      </c>
      <c r="Q541" s="1">
        <v>0.41824429271401742</v>
      </c>
      <c r="R541" s="1">
        <v>0.23443440707658869</v>
      </c>
    </row>
    <row r="542" spans="1:18" x14ac:dyDescent="0.35">
      <c r="A542" t="s">
        <v>544</v>
      </c>
      <c r="B542" s="2">
        <v>45598</v>
      </c>
      <c r="C542" s="3">
        <f t="shared" si="57"/>
        <v>240</v>
      </c>
      <c r="D542">
        <f t="shared" si="58"/>
        <v>567</v>
      </c>
      <c r="E542">
        <f t="shared" si="59"/>
        <v>19</v>
      </c>
      <c r="F542">
        <f t="shared" si="60"/>
        <v>4</v>
      </c>
      <c r="G542">
        <f t="shared" si="63"/>
        <v>2</v>
      </c>
      <c r="H542">
        <f t="shared" si="61"/>
        <v>2</v>
      </c>
      <c r="I542" s="9" t="str">
        <f t="shared" si="62"/>
        <v>422</v>
      </c>
      <c r="Q542" s="1">
        <v>0.30108300794077725</v>
      </c>
      <c r="R542" s="1">
        <v>0.38662180974313554</v>
      </c>
    </row>
    <row r="543" spans="1:18" x14ac:dyDescent="0.35">
      <c r="A543" t="s">
        <v>545</v>
      </c>
      <c r="B543" s="2">
        <v>45509</v>
      </c>
      <c r="C543" s="3">
        <f t="shared" si="57"/>
        <v>329</v>
      </c>
      <c r="D543">
        <f t="shared" si="58"/>
        <v>791</v>
      </c>
      <c r="E543">
        <f t="shared" si="59"/>
        <v>26</v>
      </c>
      <c r="F543">
        <f t="shared" si="60"/>
        <v>2</v>
      </c>
      <c r="G543">
        <f t="shared" si="63"/>
        <v>2</v>
      </c>
      <c r="H543">
        <f t="shared" si="61"/>
        <v>4</v>
      </c>
      <c r="I543" s="9" t="str">
        <f t="shared" si="62"/>
        <v>224</v>
      </c>
      <c r="Q543" s="1">
        <v>0.82001037876194638</v>
      </c>
      <c r="R543" s="1">
        <v>0.38307872773956597</v>
      </c>
    </row>
    <row r="544" spans="1:18" x14ac:dyDescent="0.35">
      <c r="A544" t="s">
        <v>546</v>
      </c>
      <c r="B544" s="2">
        <v>45437</v>
      </c>
      <c r="C544" s="3">
        <f t="shared" si="57"/>
        <v>401</v>
      </c>
      <c r="D544">
        <f t="shared" si="58"/>
        <v>818</v>
      </c>
      <c r="E544">
        <f t="shared" si="59"/>
        <v>27</v>
      </c>
      <c r="F544">
        <f t="shared" si="60"/>
        <v>2</v>
      </c>
      <c r="G544">
        <f t="shared" si="63"/>
        <v>4</v>
      </c>
      <c r="H544">
        <f t="shared" si="61"/>
        <v>4</v>
      </c>
      <c r="I544" s="9" t="str">
        <f t="shared" si="62"/>
        <v>244</v>
      </c>
      <c r="Q544" s="1">
        <v>0.31232709429250249</v>
      </c>
      <c r="R544" s="1">
        <v>0.62762777020075844</v>
      </c>
    </row>
    <row r="545" spans="1:18" x14ac:dyDescent="0.35">
      <c r="A545" t="s">
        <v>547</v>
      </c>
      <c r="B545" s="2">
        <v>45301</v>
      </c>
      <c r="C545" s="3">
        <f t="shared" si="57"/>
        <v>537</v>
      </c>
      <c r="D545">
        <f t="shared" si="58"/>
        <v>846</v>
      </c>
      <c r="E545">
        <f t="shared" si="59"/>
        <v>28</v>
      </c>
      <c r="F545">
        <f t="shared" si="60"/>
        <v>1</v>
      </c>
      <c r="G545">
        <f t="shared" si="63"/>
        <v>4</v>
      </c>
      <c r="H545">
        <f t="shared" si="61"/>
        <v>4</v>
      </c>
      <c r="I545" s="9" t="str">
        <f t="shared" si="62"/>
        <v>144</v>
      </c>
      <c r="Q545" s="1">
        <v>0.53328146570446611</v>
      </c>
      <c r="R545" s="1">
        <v>0.55995380948819984</v>
      </c>
    </row>
    <row r="546" spans="1:18" x14ac:dyDescent="0.35">
      <c r="A546" t="s">
        <v>548</v>
      </c>
      <c r="B546" s="2">
        <v>45308</v>
      </c>
      <c r="C546" s="3">
        <f t="shared" si="57"/>
        <v>530</v>
      </c>
      <c r="D546">
        <f t="shared" si="58"/>
        <v>210</v>
      </c>
      <c r="E546">
        <f t="shared" si="59"/>
        <v>7</v>
      </c>
      <c r="F546">
        <f t="shared" si="60"/>
        <v>1</v>
      </c>
      <c r="G546">
        <f t="shared" si="63"/>
        <v>1</v>
      </c>
      <c r="H546">
        <f t="shared" si="61"/>
        <v>1</v>
      </c>
      <c r="I546" s="9" t="str">
        <f t="shared" si="62"/>
        <v>111</v>
      </c>
      <c r="Q546" s="1">
        <v>9.9862814002226741E-2</v>
      </c>
      <c r="R546" s="1">
        <v>0.12402222553453612</v>
      </c>
    </row>
    <row r="547" spans="1:18" x14ac:dyDescent="0.35">
      <c r="A547" t="s">
        <v>549</v>
      </c>
      <c r="B547" s="2">
        <v>45457</v>
      </c>
      <c r="C547" s="3">
        <f t="shared" si="57"/>
        <v>381</v>
      </c>
      <c r="D547">
        <f t="shared" si="58"/>
        <v>1129</v>
      </c>
      <c r="E547">
        <f t="shared" si="59"/>
        <v>38</v>
      </c>
      <c r="F547">
        <f t="shared" si="60"/>
        <v>2</v>
      </c>
      <c r="G547">
        <f t="shared" si="63"/>
        <v>5</v>
      </c>
      <c r="H547">
        <f t="shared" si="61"/>
        <v>5</v>
      </c>
      <c r="I547" s="9" t="str">
        <f t="shared" si="62"/>
        <v>255</v>
      </c>
      <c r="Q547" s="1">
        <v>0.80015822717888629</v>
      </c>
      <c r="R547" s="1">
        <v>0.72220110204856625</v>
      </c>
    </row>
    <row r="548" spans="1:18" x14ac:dyDescent="0.35">
      <c r="A548" t="s">
        <v>550</v>
      </c>
      <c r="B548" s="2">
        <v>45788</v>
      </c>
      <c r="C548" s="3">
        <f t="shared" si="57"/>
        <v>50</v>
      </c>
      <c r="D548">
        <f t="shared" si="58"/>
        <v>276</v>
      </c>
      <c r="E548">
        <f t="shared" si="59"/>
        <v>9</v>
      </c>
      <c r="F548">
        <f t="shared" si="60"/>
        <v>5</v>
      </c>
      <c r="G548">
        <f t="shared" si="63"/>
        <v>1</v>
      </c>
      <c r="H548">
        <f t="shared" si="61"/>
        <v>1</v>
      </c>
      <c r="I548" s="9" t="str">
        <f t="shared" si="62"/>
        <v>511</v>
      </c>
      <c r="Q548" s="1">
        <v>0.47559844620809599</v>
      </c>
      <c r="R548" s="1">
        <v>2.7189583917804017E-2</v>
      </c>
    </row>
    <row r="549" spans="1:18" x14ac:dyDescent="0.35">
      <c r="A549" t="s">
        <v>551</v>
      </c>
      <c r="B549" s="2">
        <v>45631</v>
      </c>
      <c r="C549" s="3">
        <f t="shared" si="57"/>
        <v>207</v>
      </c>
      <c r="D549">
        <f t="shared" si="58"/>
        <v>1274</v>
      </c>
      <c r="E549">
        <f t="shared" si="59"/>
        <v>42</v>
      </c>
      <c r="F549">
        <f t="shared" si="60"/>
        <v>4</v>
      </c>
      <c r="G549">
        <f t="shared" si="63"/>
        <v>5</v>
      </c>
      <c r="H549">
        <f t="shared" si="61"/>
        <v>5</v>
      </c>
      <c r="I549" s="9" t="str">
        <f t="shared" si="62"/>
        <v>455</v>
      </c>
      <c r="Q549" s="1">
        <v>0.88363580954164855</v>
      </c>
      <c r="R549" s="1">
        <v>0.8284924481758702</v>
      </c>
    </row>
    <row r="550" spans="1:18" x14ac:dyDescent="0.35">
      <c r="A550" t="s">
        <v>552</v>
      </c>
      <c r="B550" s="2">
        <v>45758</v>
      </c>
      <c r="C550" s="3">
        <f t="shared" si="57"/>
        <v>80</v>
      </c>
      <c r="D550">
        <f t="shared" si="58"/>
        <v>378</v>
      </c>
      <c r="E550">
        <f t="shared" si="59"/>
        <v>12</v>
      </c>
      <c r="F550">
        <f t="shared" si="60"/>
        <v>5</v>
      </c>
      <c r="G550">
        <f t="shared" si="63"/>
        <v>1</v>
      </c>
      <c r="H550">
        <f t="shared" si="61"/>
        <v>1</v>
      </c>
      <c r="I550" s="9" t="str">
        <f t="shared" si="62"/>
        <v>511</v>
      </c>
      <c r="Q550" s="1">
        <v>0.15774615777683254</v>
      </c>
      <c r="R550" s="1">
        <v>0.26312011178143702</v>
      </c>
    </row>
    <row r="551" spans="1:18" x14ac:dyDescent="0.35">
      <c r="A551" t="s">
        <v>553</v>
      </c>
      <c r="B551" s="2">
        <v>45724</v>
      </c>
      <c r="C551" s="3">
        <f t="shared" si="57"/>
        <v>114</v>
      </c>
      <c r="D551">
        <f t="shared" si="58"/>
        <v>464</v>
      </c>
      <c r="E551">
        <f t="shared" si="59"/>
        <v>15</v>
      </c>
      <c r="F551">
        <f t="shared" si="60"/>
        <v>5</v>
      </c>
      <c r="G551">
        <f t="shared" si="63"/>
        <v>1</v>
      </c>
      <c r="H551">
        <f t="shared" si="61"/>
        <v>1</v>
      </c>
      <c r="I551" s="9" t="str">
        <f t="shared" si="62"/>
        <v>511</v>
      </c>
      <c r="Q551" s="1">
        <v>0.5136153756791525</v>
      </c>
      <c r="R551" s="1">
        <v>0.19464665160672956</v>
      </c>
    </row>
    <row r="552" spans="1:18" x14ac:dyDescent="0.35">
      <c r="A552" t="s">
        <v>554</v>
      </c>
      <c r="B552" s="2">
        <v>45819</v>
      </c>
      <c r="C552" s="3">
        <f t="shared" si="57"/>
        <v>19</v>
      </c>
      <c r="D552">
        <f t="shared" si="58"/>
        <v>510</v>
      </c>
      <c r="E552">
        <f t="shared" si="59"/>
        <v>17</v>
      </c>
      <c r="F552">
        <f t="shared" si="60"/>
        <v>5</v>
      </c>
      <c r="G552">
        <f t="shared" si="63"/>
        <v>2</v>
      </c>
      <c r="H552">
        <f t="shared" si="61"/>
        <v>2</v>
      </c>
      <c r="I552" s="9" t="str">
        <f t="shared" si="62"/>
        <v>522</v>
      </c>
      <c r="Q552" s="1">
        <v>4.6815337913614141E-2</v>
      </c>
      <c r="R552" s="1">
        <v>0.44008190504615929</v>
      </c>
    </row>
    <row r="553" spans="1:18" x14ac:dyDescent="0.35">
      <c r="A553" t="s">
        <v>555</v>
      </c>
      <c r="B553" s="2">
        <v>45474</v>
      </c>
      <c r="C553" s="3">
        <f t="shared" si="57"/>
        <v>364</v>
      </c>
      <c r="D553">
        <f t="shared" si="58"/>
        <v>617</v>
      </c>
      <c r="E553">
        <f t="shared" si="59"/>
        <v>20</v>
      </c>
      <c r="F553">
        <f t="shared" si="60"/>
        <v>2</v>
      </c>
      <c r="G553">
        <f t="shared" si="63"/>
        <v>2</v>
      </c>
      <c r="H553">
        <f t="shared" si="61"/>
        <v>2</v>
      </c>
      <c r="I553" s="9" t="str">
        <f t="shared" si="62"/>
        <v>222</v>
      </c>
      <c r="Q553" s="1">
        <v>0.51796454225971067</v>
      </c>
      <c r="R553" s="1">
        <v>0.34292962712183006</v>
      </c>
    </row>
    <row r="554" spans="1:18" x14ac:dyDescent="0.35">
      <c r="A554" t="s">
        <v>556</v>
      </c>
      <c r="B554" s="2">
        <v>45495</v>
      </c>
      <c r="C554" s="3">
        <f t="shared" si="57"/>
        <v>343</v>
      </c>
      <c r="D554">
        <f t="shared" si="58"/>
        <v>721</v>
      </c>
      <c r="E554">
        <f t="shared" si="59"/>
        <v>24</v>
      </c>
      <c r="F554">
        <f t="shared" si="60"/>
        <v>2</v>
      </c>
      <c r="G554">
        <f t="shared" si="63"/>
        <v>2</v>
      </c>
      <c r="H554">
        <f t="shared" si="61"/>
        <v>2</v>
      </c>
      <c r="I554" s="9" t="str">
        <f t="shared" si="62"/>
        <v>222</v>
      </c>
      <c r="Q554" s="1">
        <v>0.55428435664217124</v>
      </c>
      <c r="R554" s="1">
        <v>0.42851879985657348</v>
      </c>
    </row>
    <row r="555" spans="1:18" x14ac:dyDescent="0.35">
      <c r="A555" t="s">
        <v>557</v>
      </c>
      <c r="B555" s="2">
        <v>45788</v>
      </c>
      <c r="C555" s="3">
        <f t="shared" si="57"/>
        <v>50</v>
      </c>
      <c r="D555">
        <f t="shared" si="58"/>
        <v>1308</v>
      </c>
      <c r="E555">
        <f t="shared" si="59"/>
        <v>44</v>
      </c>
      <c r="F555">
        <f t="shared" si="60"/>
        <v>5</v>
      </c>
      <c r="G555">
        <f t="shared" si="63"/>
        <v>5</v>
      </c>
      <c r="H555">
        <f t="shared" si="61"/>
        <v>5</v>
      </c>
      <c r="I555" s="9" t="str">
        <f t="shared" si="62"/>
        <v>555</v>
      </c>
      <c r="Q555" s="1">
        <v>0.56364011445173989</v>
      </c>
      <c r="R555" s="1">
        <v>0.99952686757812892</v>
      </c>
    </row>
    <row r="556" spans="1:18" x14ac:dyDescent="0.35">
      <c r="A556" t="s">
        <v>558</v>
      </c>
      <c r="B556" s="2">
        <v>45702</v>
      </c>
      <c r="C556" s="3">
        <f t="shared" si="57"/>
        <v>136</v>
      </c>
      <c r="D556">
        <f t="shared" si="58"/>
        <v>368</v>
      </c>
      <c r="E556">
        <f t="shared" si="59"/>
        <v>12</v>
      </c>
      <c r="F556">
        <f t="shared" si="60"/>
        <v>4</v>
      </c>
      <c r="G556">
        <f t="shared" si="63"/>
        <v>1</v>
      </c>
      <c r="H556">
        <f t="shared" si="61"/>
        <v>1</v>
      </c>
      <c r="I556" s="9" t="str">
        <f t="shared" si="62"/>
        <v>411</v>
      </c>
      <c r="Q556" s="1">
        <v>0.53771313862617731</v>
      </c>
      <c r="R556" s="1">
        <v>9.078998008583572E-2</v>
      </c>
    </row>
    <row r="557" spans="1:18" x14ac:dyDescent="0.35">
      <c r="A557" t="s">
        <v>559</v>
      </c>
      <c r="B557" s="2">
        <v>45512</v>
      </c>
      <c r="C557" s="3">
        <f t="shared" si="57"/>
        <v>326</v>
      </c>
      <c r="D557">
        <f t="shared" si="58"/>
        <v>815</v>
      </c>
      <c r="E557">
        <f t="shared" si="59"/>
        <v>27</v>
      </c>
      <c r="F557">
        <f t="shared" si="60"/>
        <v>2</v>
      </c>
      <c r="G557">
        <f t="shared" si="63"/>
        <v>4</v>
      </c>
      <c r="H557">
        <f t="shared" si="61"/>
        <v>4</v>
      </c>
      <c r="I557" s="9" t="str">
        <f t="shared" si="62"/>
        <v>244</v>
      </c>
      <c r="Q557" s="1">
        <v>0.87932227652488004</v>
      </c>
      <c r="R557" s="1">
        <v>0.38130958740475862</v>
      </c>
    </row>
    <row r="558" spans="1:18" x14ac:dyDescent="0.35">
      <c r="A558" t="s">
        <v>560</v>
      </c>
      <c r="B558" s="2">
        <v>45499</v>
      </c>
      <c r="C558" s="3">
        <f t="shared" si="57"/>
        <v>339</v>
      </c>
      <c r="D558">
        <f t="shared" si="58"/>
        <v>1160</v>
      </c>
      <c r="E558">
        <f t="shared" si="59"/>
        <v>39</v>
      </c>
      <c r="F558">
        <f t="shared" si="60"/>
        <v>2</v>
      </c>
      <c r="G558">
        <f t="shared" si="63"/>
        <v>5</v>
      </c>
      <c r="H558">
        <f t="shared" si="61"/>
        <v>5</v>
      </c>
      <c r="I558" s="9" t="str">
        <f t="shared" si="62"/>
        <v>255</v>
      </c>
      <c r="Q558" s="1">
        <v>0.96272349133139867</v>
      </c>
      <c r="R558" s="1">
        <v>0.68292406205805967</v>
      </c>
    </row>
    <row r="559" spans="1:18" x14ac:dyDescent="0.35">
      <c r="A559" t="s">
        <v>561</v>
      </c>
      <c r="B559" s="2">
        <v>45384</v>
      </c>
      <c r="C559" s="3">
        <f t="shared" si="57"/>
        <v>454</v>
      </c>
      <c r="D559">
        <f t="shared" si="58"/>
        <v>1236</v>
      </c>
      <c r="E559">
        <f t="shared" si="59"/>
        <v>41</v>
      </c>
      <c r="F559">
        <f t="shared" si="60"/>
        <v>1</v>
      </c>
      <c r="G559">
        <f t="shared" si="63"/>
        <v>5</v>
      </c>
      <c r="H559">
        <f t="shared" si="61"/>
        <v>5</v>
      </c>
      <c r="I559" s="9" t="str">
        <f t="shared" si="62"/>
        <v>155</v>
      </c>
      <c r="Q559" s="1">
        <v>0.92015865322341261</v>
      </c>
      <c r="R559" s="1">
        <v>0.77598078077886357</v>
      </c>
    </row>
    <row r="560" spans="1:18" x14ac:dyDescent="0.35">
      <c r="A560" t="s">
        <v>562</v>
      </c>
      <c r="B560" s="2">
        <v>45567</v>
      </c>
      <c r="C560" s="3">
        <f t="shared" si="57"/>
        <v>271</v>
      </c>
      <c r="D560">
        <f t="shared" si="58"/>
        <v>950</v>
      </c>
      <c r="E560">
        <f t="shared" si="59"/>
        <v>32</v>
      </c>
      <c r="F560">
        <f t="shared" si="60"/>
        <v>4</v>
      </c>
      <c r="G560">
        <f t="shared" si="63"/>
        <v>4</v>
      </c>
      <c r="H560">
        <f t="shared" si="61"/>
        <v>4</v>
      </c>
      <c r="I560" s="9" t="str">
        <f t="shared" si="62"/>
        <v>444</v>
      </c>
      <c r="Q560" s="1">
        <v>0.46680366164682408</v>
      </c>
      <c r="R560" s="1">
        <v>0.69037611667684706</v>
      </c>
    </row>
    <row r="561" spans="1:18" x14ac:dyDescent="0.35">
      <c r="A561" t="s">
        <v>563</v>
      </c>
      <c r="B561" s="2">
        <v>45525</v>
      </c>
      <c r="C561" s="3">
        <f t="shared" si="57"/>
        <v>313</v>
      </c>
      <c r="D561">
        <f t="shared" si="58"/>
        <v>840</v>
      </c>
      <c r="E561">
        <f t="shared" si="59"/>
        <v>28</v>
      </c>
      <c r="F561">
        <f t="shared" si="60"/>
        <v>2</v>
      </c>
      <c r="G561">
        <f t="shared" si="63"/>
        <v>4</v>
      </c>
      <c r="H561">
        <f t="shared" si="61"/>
        <v>4</v>
      </c>
      <c r="I561" s="9" t="str">
        <f t="shared" si="62"/>
        <v>244</v>
      </c>
      <c r="Q561" s="1">
        <v>0.9061298383647467</v>
      </c>
      <c r="R561" s="1">
        <v>0.39449831524480761</v>
      </c>
    </row>
    <row r="562" spans="1:18" x14ac:dyDescent="0.35">
      <c r="A562" t="s">
        <v>564</v>
      </c>
      <c r="B562" s="2">
        <v>45381</v>
      </c>
      <c r="C562" s="3">
        <f t="shared" si="57"/>
        <v>457</v>
      </c>
      <c r="D562">
        <f t="shared" si="58"/>
        <v>632</v>
      </c>
      <c r="E562">
        <f t="shared" si="59"/>
        <v>21</v>
      </c>
      <c r="F562">
        <f t="shared" si="60"/>
        <v>1</v>
      </c>
      <c r="G562">
        <f t="shared" si="63"/>
        <v>2</v>
      </c>
      <c r="H562">
        <f t="shared" si="61"/>
        <v>2</v>
      </c>
      <c r="I562" s="9" t="str">
        <f t="shared" si="62"/>
        <v>122</v>
      </c>
      <c r="Q562" s="1">
        <v>0.78757873361437147</v>
      </c>
      <c r="R562" s="1">
        <v>0.24197896489570581</v>
      </c>
    </row>
    <row r="563" spans="1:18" x14ac:dyDescent="0.35">
      <c r="A563" t="s">
        <v>565</v>
      </c>
      <c r="B563" s="2">
        <v>45578</v>
      </c>
      <c r="C563" s="3">
        <f t="shared" si="57"/>
        <v>260</v>
      </c>
      <c r="D563">
        <f t="shared" si="58"/>
        <v>488</v>
      </c>
      <c r="E563">
        <f t="shared" si="59"/>
        <v>16</v>
      </c>
      <c r="F563">
        <f t="shared" si="60"/>
        <v>4</v>
      </c>
      <c r="G563">
        <f t="shared" si="63"/>
        <v>1</v>
      </c>
      <c r="H563">
        <f t="shared" si="61"/>
        <v>1</v>
      </c>
      <c r="I563" s="9" t="str">
        <f t="shared" si="62"/>
        <v>411</v>
      </c>
      <c r="Q563" s="1">
        <v>0.31976898955770017</v>
      </c>
      <c r="R563" s="1">
        <v>0.30170079234307245</v>
      </c>
    </row>
    <row r="564" spans="1:18" x14ac:dyDescent="0.35">
      <c r="A564" t="s">
        <v>566</v>
      </c>
      <c r="B564" s="2">
        <v>45787</v>
      </c>
      <c r="C564" s="3">
        <f t="shared" si="57"/>
        <v>51</v>
      </c>
      <c r="D564">
        <f t="shared" si="58"/>
        <v>467</v>
      </c>
      <c r="E564">
        <f t="shared" si="59"/>
        <v>15</v>
      </c>
      <c r="F564">
        <f t="shared" si="60"/>
        <v>5</v>
      </c>
      <c r="G564">
        <f t="shared" si="63"/>
        <v>1</v>
      </c>
      <c r="H564">
        <f t="shared" si="61"/>
        <v>1</v>
      </c>
      <c r="I564" s="9" t="str">
        <f t="shared" si="62"/>
        <v>511</v>
      </c>
      <c r="Q564" s="1">
        <v>0.73428055653037583</v>
      </c>
      <c r="R564" s="1">
        <v>0.10321089660554916</v>
      </c>
    </row>
    <row r="565" spans="1:18" x14ac:dyDescent="0.35">
      <c r="A565" t="s">
        <v>567</v>
      </c>
      <c r="B565" s="2">
        <v>45317</v>
      </c>
      <c r="C565" s="3">
        <f t="shared" si="57"/>
        <v>521</v>
      </c>
      <c r="D565">
        <f t="shared" si="58"/>
        <v>296</v>
      </c>
      <c r="E565">
        <f t="shared" si="59"/>
        <v>10</v>
      </c>
      <c r="F565">
        <f t="shared" si="60"/>
        <v>1</v>
      </c>
      <c r="G565">
        <f t="shared" si="63"/>
        <v>1</v>
      </c>
      <c r="H565">
        <f t="shared" si="61"/>
        <v>1</v>
      </c>
      <c r="I565" s="9" t="str">
        <f t="shared" si="62"/>
        <v>111</v>
      </c>
      <c r="Q565" s="1">
        <v>0.29261486637604284</v>
      </c>
      <c r="R565" s="1">
        <v>0.12468543809802268</v>
      </c>
    </row>
    <row r="566" spans="1:18" x14ac:dyDescent="0.35">
      <c r="A566" t="s">
        <v>568</v>
      </c>
      <c r="B566" s="2">
        <v>45419</v>
      </c>
      <c r="C566" s="3">
        <f t="shared" si="57"/>
        <v>419</v>
      </c>
      <c r="D566">
        <f t="shared" si="58"/>
        <v>584</v>
      </c>
      <c r="E566">
        <f t="shared" si="59"/>
        <v>19</v>
      </c>
      <c r="F566">
        <f t="shared" si="60"/>
        <v>1</v>
      </c>
      <c r="G566">
        <f t="shared" si="63"/>
        <v>2</v>
      </c>
      <c r="H566">
        <f t="shared" si="61"/>
        <v>2</v>
      </c>
      <c r="I566" s="9" t="str">
        <f t="shared" si="62"/>
        <v>122</v>
      </c>
      <c r="Q566" s="1">
        <v>0.51242559834719803</v>
      </c>
      <c r="R566" s="1">
        <v>0.31287026753524894</v>
      </c>
    </row>
    <row r="567" spans="1:18" x14ac:dyDescent="0.35">
      <c r="A567" t="s">
        <v>569</v>
      </c>
      <c r="B567" s="2">
        <v>45561</v>
      </c>
      <c r="C567" s="3">
        <f t="shared" si="57"/>
        <v>277</v>
      </c>
      <c r="D567">
        <f t="shared" si="58"/>
        <v>839</v>
      </c>
      <c r="E567">
        <f t="shared" si="59"/>
        <v>28</v>
      </c>
      <c r="F567">
        <f t="shared" si="60"/>
        <v>2</v>
      </c>
      <c r="G567">
        <f t="shared" si="63"/>
        <v>4</v>
      </c>
      <c r="H567">
        <f t="shared" si="61"/>
        <v>4</v>
      </c>
      <c r="I567" s="9" t="str">
        <f t="shared" si="62"/>
        <v>244</v>
      </c>
      <c r="Q567" s="1">
        <v>4.6889649550613588E-2</v>
      </c>
      <c r="R567" s="1">
        <v>0.76124809357985423</v>
      </c>
    </row>
    <row r="568" spans="1:18" x14ac:dyDescent="0.35">
      <c r="A568" t="s">
        <v>570</v>
      </c>
      <c r="B568" s="2">
        <v>45764</v>
      </c>
      <c r="C568" s="3">
        <f t="shared" si="57"/>
        <v>74</v>
      </c>
      <c r="D568">
        <f t="shared" si="58"/>
        <v>819</v>
      </c>
      <c r="E568">
        <f t="shared" si="59"/>
        <v>27</v>
      </c>
      <c r="F568">
        <f t="shared" si="60"/>
        <v>5</v>
      </c>
      <c r="G568">
        <f t="shared" si="63"/>
        <v>4</v>
      </c>
      <c r="H568">
        <f t="shared" si="61"/>
        <v>4</v>
      </c>
      <c r="I568" s="9" t="str">
        <f t="shared" si="62"/>
        <v>544</v>
      </c>
      <c r="Q568" s="1">
        <v>0.1377943370828606</v>
      </c>
      <c r="R568" s="1">
        <v>0.70347854563395629</v>
      </c>
    </row>
    <row r="569" spans="1:18" x14ac:dyDescent="0.35">
      <c r="A569" t="s">
        <v>571</v>
      </c>
      <c r="B569" s="2">
        <v>45505</v>
      </c>
      <c r="C569" s="3">
        <f t="shared" si="57"/>
        <v>333</v>
      </c>
      <c r="D569">
        <f t="shared" si="58"/>
        <v>269</v>
      </c>
      <c r="E569">
        <f t="shared" si="59"/>
        <v>9</v>
      </c>
      <c r="F569">
        <f t="shared" si="60"/>
        <v>2</v>
      </c>
      <c r="G569">
        <f t="shared" si="63"/>
        <v>1</v>
      </c>
      <c r="H569">
        <f t="shared" si="61"/>
        <v>1</v>
      </c>
      <c r="I569" s="9" t="str">
        <f t="shared" si="62"/>
        <v>211</v>
      </c>
      <c r="Q569" s="1">
        <v>0.32305078786060115</v>
      </c>
      <c r="R569" s="1">
        <v>8.5950876549136468E-2</v>
      </c>
    </row>
    <row r="570" spans="1:18" x14ac:dyDescent="0.35">
      <c r="A570" t="s">
        <v>572</v>
      </c>
      <c r="B570" s="2">
        <v>45294</v>
      </c>
      <c r="C570" s="3">
        <f t="shared" si="57"/>
        <v>544</v>
      </c>
      <c r="D570">
        <f t="shared" si="58"/>
        <v>821</v>
      </c>
      <c r="E570">
        <f t="shared" si="59"/>
        <v>27</v>
      </c>
      <c r="F570">
        <f t="shared" si="60"/>
        <v>1</v>
      </c>
      <c r="G570">
        <f t="shared" si="63"/>
        <v>4</v>
      </c>
      <c r="H570">
        <f t="shared" si="61"/>
        <v>4</v>
      </c>
      <c r="I570" s="9" t="str">
        <f t="shared" si="62"/>
        <v>144</v>
      </c>
      <c r="Q570" s="1">
        <v>0.18032399949511313</v>
      </c>
      <c r="R570" s="1">
        <v>0.68707031331527235</v>
      </c>
    </row>
    <row r="571" spans="1:18" x14ac:dyDescent="0.35">
      <c r="A571" t="s">
        <v>573</v>
      </c>
      <c r="B571" s="2">
        <v>45763</v>
      </c>
      <c r="C571" s="3">
        <f t="shared" si="57"/>
        <v>75</v>
      </c>
      <c r="D571">
        <f t="shared" si="58"/>
        <v>185</v>
      </c>
      <c r="E571">
        <f t="shared" si="59"/>
        <v>6</v>
      </c>
      <c r="F571">
        <f t="shared" si="60"/>
        <v>5</v>
      </c>
      <c r="G571">
        <f t="shared" si="63"/>
        <v>1</v>
      </c>
      <c r="H571">
        <f t="shared" si="61"/>
        <v>1</v>
      </c>
      <c r="I571" s="9" t="str">
        <f t="shared" si="62"/>
        <v>511</v>
      </c>
      <c r="Q571" s="1">
        <v>0.31590432365318677</v>
      </c>
      <c r="R571" s="1">
        <v>6.425260836745883E-3</v>
      </c>
    </row>
    <row r="572" spans="1:18" x14ac:dyDescent="0.35">
      <c r="A572" t="s">
        <v>574</v>
      </c>
      <c r="B572" s="2">
        <v>45382</v>
      </c>
      <c r="C572" s="3">
        <f t="shared" si="57"/>
        <v>456</v>
      </c>
      <c r="D572">
        <f t="shared" si="58"/>
        <v>351</v>
      </c>
      <c r="E572">
        <f t="shared" si="59"/>
        <v>11</v>
      </c>
      <c r="F572">
        <f t="shared" si="60"/>
        <v>1</v>
      </c>
      <c r="G572">
        <f t="shared" si="63"/>
        <v>1</v>
      </c>
      <c r="H572">
        <f t="shared" si="61"/>
        <v>1</v>
      </c>
      <c r="I572" s="9" t="str">
        <f t="shared" si="62"/>
        <v>111</v>
      </c>
      <c r="Q572" s="1">
        <v>0.55748541743050972</v>
      </c>
      <c r="R572" s="1">
        <v>6.5286687494895412E-2</v>
      </c>
    </row>
    <row r="573" spans="1:18" x14ac:dyDescent="0.35">
      <c r="A573" t="s">
        <v>575</v>
      </c>
      <c r="B573" s="2">
        <v>45615</v>
      </c>
      <c r="C573" s="3">
        <f t="shared" si="57"/>
        <v>223</v>
      </c>
      <c r="D573">
        <f t="shared" si="58"/>
        <v>1202</v>
      </c>
      <c r="E573">
        <f t="shared" si="59"/>
        <v>40</v>
      </c>
      <c r="F573">
        <f t="shared" si="60"/>
        <v>4</v>
      </c>
      <c r="G573">
        <f t="shared" si="63"/>
        <v>5</v>
      </c>
      <c r="H573">
        <f t="shared" si="61"/>
        <v>5</v>
      </c>
      <c r="I573" s="9" t="str">
        <f t="shared" si="62"/>
        <v>455</v>
      </c>
      <c r="Q573" s="1">
        <v>0.3504564394466293</v>
      </c>
      <c r="R573" s="1">
        <v>0.98645053099812308</v>
      </c>
    </row>
    <row r="574" spans="1:18" x14ac:dyDescent="0.35">
      <c r="A574" t="s">
        <v>576</v>
      </c>
      <c r="B574" s="2">
        <v>45779</v>
      </c>
      <c r="C574" s="3">
        <f t="shared" si="57"/>
        <v>59</v>
      </c>
      <c r="D574">
        <f t="shared" si="58"/>
        <v>517</v>
      </c>
      <c r="E574">
        <f t="shared" si="59"/>
        <v>17</v>
      </c>
      <c r="F574">
        <f t="shared" si="60"/>
        <v>5</v>
      </c>
      <c r="G574">
        <f t="shared" si="63"/>
        <v>2</v>
      </c>
      <c r="H574">
        <f t="shared" si="61"/>
        <v>2</v>
      </c>
      <c r="I574" s="9" t="str">
        <f t="shared" si="62"/>
        <v>522</v>
      </c>
      <c r="Q574" s="1">
        <v>0.73823096586533676</v>
      </c>
      <c r="R574" s="1">
        <v>0.15010874416075848</v>
      </c>
    </row>
    <row r="575" spans="1:18" x14ac:dyDescent="0.35">
      <c r="A575" t="s">
        <v>577</v>
      </c>
      <c r="B575" s="2">
        <v>45655</v>
      </c>
      <c r="C575" s="3">
        <f t="shared" si="57"/>
        <v>183</v>
      </c>
      <c r="D575">
        <f t="shared" si="58"/>
        <v>664</v>
      </c>
      <c r="E575">
        <f t="shared" si="59"/>
        <v>22</v>
      </c>
      <c r="F575">
        <f t="shared" si="60"/>
        <v>4</v>
      </c>
      <c r="G575">
        <f t="shared" si="63"/>
        <v>2</v>
      </c>
      <c r="H575">
        <f t="shared" si="61"/>
        <v>2</v>
      </c>
      <c r="I575" s="9" t="str">
        <f t="shared" si="62"/>
        <v>422</v>
      </c>
      <c r="Q575" s="1">
        <v>0.2930306188228895</v>
      </c>
      <c r="R575" s="1">
        <v>0.48511225531283375</v>
      </c>
    </row>
    <row r="576" spans="1:18" x14ac:dyDescent="0.35">
      <c r="A576" t="s">
        <v>578</v>
      </c>
      <c r="B576" s="2">
        <v>45343</v>
      </c>
      <c r="C576" s="3">
        <f t="shared" si="57"/>
        <v>495</v>
      </c>
      <c r="D576">
        <f t="shared" si="58"/>
        <v>850</v>
      </c>
      <c r="E576">
        <f t="shared" si="59"/>
        <v>28</v>
      </c>
      <c r="F576">
        <f t="shared" si="60"/>
        <v>1</v>
      </c>
      <c r="G576">
        <f t="shared" si="63"/>
        <v>4</v>
      </c>
      <c r="H576">
        <f t="shared" si="61"/>
        <v>4</v>
      </c>
      <c r="I576" s="9" t="str">
        <f t="shared" si="62"/>
        <v>144</v>
      </c>
      <c r="Q576" s="1">
        <v>0.21477665542348701</v>
      </c>
      <c r="R576" s="1">
        <v>0.70024407902824226</v>
      </c>
    </row>
    <row r="577" spans="1:18" x14ac:dyDescent="0.35">
      <c r="A577" t="s">
        <v>579</v>
      </c>
      <c r="B577" s="2">
        <v>45523</v>
      </c>
      <c r="C577" s="3">
        <f t="shared" si="57"/>
        <v>315</v>
      </c>
      <c r="D577">
        <f t="shared" si="58"/>
        <v>387</v>
      </c>
      <c r="E577">
        <f t="shared" si="59"/>
        <v>13</v>
      </c>
      <c r="F577">
        <f t="shared" si="60"/>
        <v>2</v>
      </c>
      <c r="G577">
        <f t="shared" si="63"/>
        <v>1</v>
      </c>
      <c r="H577">
        <f t="shared" si="61"/>
        <v>1</v>
      </c>
      <c r="I577" s="9" t="str">
        <f t="shared" si="62"/>
        <v>211</v>
      </c>
      <c r="Q577" s="1">
        <v>0.15264424511207442</v>
      </c>
      <c r="R577" s="1">
        <v>0.27377957846268741</v>
      </c>
    </row>
    <row r="578" spans="1:18" x14ac:dyDescent="0.35">
      <c r="A578" t="s">
        <v>580</v>
      </c>
      <c r="B578" s="2">
        <v>45469</v>
      </c>
      <c r="C578" s="3">
        <f t="shared" si="57"/>
        <v>369</v>
      </c>
      <c r="D578">
        <f t="shared" si="58"/>
        <v>1065</v>
      </c>
      <c r="E578">
        <f t="shared" si="59"/>
        <v>35</v>
      </c>
      <c r="F578">
        <f t="shared" si="60"/>
        <v>2</v>
      </c>
      <c r="G578">
        <f t="shared" si="63"/>
        <v>4</v>
      </c>
      <c r="H578">
        <f t="shared" si="61"/>
        <v>5</v>
      </c>
      <c r="I578" s="9" t="str">
        <f t="shared" si="62"/>
        <v>245</v>
      </c>
      <c r="Q578" s="1">
        <v>0.29063136355587538</v>
      </c>
      <c r="R578" s="1">
        <v>0.8784328461734261</v>
      </c>
    </row>
    <row r="579" spans="1:18" x14ac:dyDescent="0.35">
      <c r="A579" t="s">
        <v>581</v>
      </c>
      <c r="B579" s="2">
        <v>45320</v>
      </c>
      <c r="C579" s="3">
        <f t="shared" ref="C579:C642" si="64">$S$6-B579</f>
        <v>518</v>
      </c>
      <c r="D579">
        <f t="shared" ref="D579:D642" si="65">ROUND((R579*0.7+Q579*0.3)*(1500-40)+40,0)</f>
        <v>630</v>
      </c>
      <c r="E579">
        <f t="shared" ref="E579:E642" si="66">ROUND((R579*0.7+Q579*0.3)*(50-1)+1,0)</f>
        <v>21</v>
      </c>
      <c r="F579">
        <f t="shared" ref="F579:F642" si="67">IF(C579&lt;=$M$4,5,IF(C579&lt;=$M$9,4,IF(C579&lt;=$M$5,3,IF(C579&lt;=$M$6,2,1))))</f>
        <v>1</v>
      </c>
      <c r="G579">
        <f t="shared" si="63"/>
        <v>2</v>
      </c>
      <c r="H579">
        <f t="shared" ref="H579:H642" si="68">IF(D579&lt;=$M$24,1,IF(D579&lt;=$M$25,2,IF(D579&lt;=$M$29,3,IF(D579&lt;=$M$26,4,5))))</f>
        <v>2</v>
      </c>
      <c r="I579" s="9" t="str">
        <f t="shared" ref="I579:I642" si="69">CONCATENATE(F579,G579,H579)</f>
        <v>122</v>
      </c>
      <c r="Q579" s="1">
        <v>0.76808652353020246</v>
      </c>
      <c r="R579" s="1">
        <v>0.24776996031961496</v>
      </c>
    </row>
    <row r="580" spans="1:18" x14ac:dyDescent="0.35">
      <c r="A580" t="s">
        <v>582</v>
      </c>
      <c r="B580" s="2">
        <v>45507</v>
      </c>
      <c r="C580" s="3">
        <f t="shared" si="64"/>
        <v>331</v>
      </c>
      <c r="D580">
        <f t="shared" si="65"/>
        <v>581</v>
      </c>
      <c r="E580">
        <f t="shared" si="66"/>
        <v>19</v>
      </c>
      <c r="F580">
        <f t="shared" si="67"/>
        <v>2</v>
      </c>
      <c r="G580">
        <f t="shared" ref="G580:G643" si="70">IF(E580&lt;=$M$14,1,IF(E580&lt;=$M$15,2,IF(E580&lt;=$M$19,3,IF(E580&lt;=$M$16,4,5))))</f>
        <v>2</v>
      </c>
      <c r="H580">
        <f t="shared" si="68"/>
        <v>2</v>
      </c>
      <c r="I580" s="9" t="str">
        <f t="shared" si="69"/>
        <v>222</v>
      </c>
      <c r="Q580" s="1">
        <v>0.94053302252970483</v>
      </c>
      <c r="R580" s="1">
        <v>0.12602351395776579</v>
      </c>
    </row>
    <row r="581" spans="1:18" x14ac:dyDescent="0.35">
      <c r="A581" t="s">
        <v>583</v>
      </c>
      <c r="B581" s="2">
        <v>45755</v>
      </c>
      <c r="C581" s="3">
        <f t="shared" si="64"/>
        <v>83</v>
      </c>
      <c r="D581">
        <f t="shared" si="65"/>
        <v>1044</v>
      </c>
      <c r="E581">
        <f t="shared" si="66"/>
        <v>35</v>
      </c>
      <c r="F581">
        <f t="shared" si="67"/>
        <v>5</v>
      </c>
      <c r="G581">
        <f t="shared" si="70"/>
        <v>4</v>
      </c>
      <c r="H581">
        <f t="shared" si="68"/>
        <v>4</v>
      </c>
      <c r="I581" s="9" t="str">
        <f t="shared" si="69"/>
        <v>544</v>
      </c>
      <c r="Q581" s="1">
        <v>0.68311713045856748</v>
      </c>
      <c r="R581" s="1">
        <v>0.68978657023172796</v>
      </c>
    </row>
    <row r="582" spans="1:18" x14ac:dyDescent="0.35">
      <c r="A582" t="s">
        <v>584</v>
      </c>
      <c r="B582" s="2">
        <v>45694</v>
      </c>
      <c r="C582" s="3">
        <f t="shared" si="64"/>
        <v>144</v>
      </c>
      <c r="D582">
        <f t="shared" si="65"/>
        <v>770</v>
      </c>
      <c r="E582">
        <f t="shared" si="66"/>
        <v>26</v>
      </c>
      <c r="F582">
        <f t="shared" si="67"/>
        <v>4</v>
      </c>
      <c r="G582">
        <f t="shared" si="70"/>
        <v>2</v>
      </c>
      <c r="H582">
        <f t="shared" si="68"/>
        <v>2</v>
      </c>
      <c r="I582" s="9" t="str">
        <f t="shared" si="69"/>
        <v>422</v>
      </c>
      <c r="Q582" s="1">
        <v>0.95509945156939335</v>
      </c>
      <c r="R582" s="1">
        <v>0.30535102193583352</v>
      </c>
    </row>
    <row r="583" spans="1:18" x14ac:dyDescent="0.35">
      <c r="A583" t="s">
        <v>585</v>
      </c>
      <c r="B583" s="2">
        <v>45350</v>
      </c>
      <c r="C583" s="3">
        <f t="shared" si="64"/>
        <v>488</v>
      </c>
      <c r="D583">
        <f t="shared" si="65"/>
        <v>655</v>
      </c>
      <c r="E583">
        <f t="shared" si="66"/>
        <v>22</v>
      </c>
      <c r="F583">
        <f t="shared" si="67"/>
        <v>1</v>
      </c>
      <c r="G583">
        <f t="shared" si="70"/>
        <v>2</v>
      </c>
      <c r="H583">
        <f t="shared" si="68"/>
        <v>2</v>
      </c>
      <c r="I583" s="9" t="str">
        <f t="shared" si="69"/>
        <v>122</v>
      </c>
      <c r="Q583" s="1">
        <v>0.98471060341637751</v>
      </c>
      <c r="R583" s="1">
        <v>0.17998450226625395</v>
      </c>
    </row>
    <row r="584" spans="1:18" x14ac:dyDescent="0.35">
      <c r="A584" t="s">
        <v>586</v>
      </c>
      <c r="B584" s="2">
        <v>45432</v>
      </c>
      <c r="C584" s="3">
        <f t="shared" si="64"/>
        <v>406</v>
      </c>
      <c r="D584">
        <f t="shared" si="65"/>
        <v>305</v>
      </c>
      <c r="E584">
        <f t="shared" si="66"/>
        <v>10</v>
      </c>
      <c r="F584">
        <f t="shared" si="67"/>
        <v>2</v>
      </c>
      <c r="G584">
        <f t="shared" si="70"/>
        <v>1</v>
      </c>
      <c r="H584">
        <f t="shared" si="68"/>
        <v>1</v>
      </c>
      <c r="I584" s="9" t="str">
        <f t="shared" si="69"/>
        <v>211</v>
      </c>
      <c r="Q584" s="1">
        <v>0.59082910516674425</v>
      </c>
      <c r="R584" s="1">
        <v>6.1166479409868746E-3</v>
      </c>
    </row>
    <row r="585" spans="1:18" x14ac:dyDescent="0.35">
      <c r="A585" t="s">
        <v>587</v>
      </c>
      <c r="B585" s="2">
        <v>45773</v>
      </c>
      <c r="C585" s="3">
        <f t="shared" si="64"/>
        <v>65</v>
      </c>
      <c r="D585">
        <f t="shared" si="65"/>
        <v>374</v>
      </c>
      <c r="E585">
        <f t="shared" si="66"/>
        <v>12</v>
      </c>
      <c r="F585">
        <f t="shared" si="67"/>
        <v>5</v>
      </c>
      <c r="G585">
        <f t="shared" si="70"/>
        <v>1</v>
      </c>
      <c r="H585">
        <f t="shared" si="68"/>
        <v>1</v>
      </c>
      <c r="I585" s="9" t="str">
        <f t="shared" si="69"/>
        <v>511</v>
      </c>
      <c r="Q585" s="1">
        <v>0.13240524287588995</v>
      </c>
      <c r="R585" s="1">
        <v>0.27014345758392411</v>
      </c>
    </row>
    <row r="586" spans="1:18" x14ac:dyDescent="0.35">
      <c r="A586" t="s">
        <v>588</v>
      </c>
      <c r="B586" s="2">
        <v>45789</v>
      </c>
      <c r="C586" s="3">
        <f t="shared" si="64"/>
        <v>49</v>
      </c>
      <c r="D586">
        <f t="shared" si="65"/>
        <v>602</v>
      </c>
      <c r="E586">
        <f t="shared" si="66"/>
        <v>20</v>
      </c>
      <c r="F586">
        <f t="shared" si="67"/>
        <v>5</v>
      </c>
      <c r="G586">
        <f t="shared" si="70"/>
        <v>2</v>
      </c>
      <c r="H586">
        <f t="shared" si="68"/>
        <v>2</v>
      </c>
      <c r="I586" s="9" t="str">
        <f t="shared" si="69"/>
        <v>522</v>
      </c>
      <c r="Q586" s="1">
        <v>0.27193440200458163</v>
      </c>
      <c r="R586" s="1">
        <v>0.43336896772564193</v>
      </c>
    </row>
    <row r="587" spans="1:18" x14ac:dyDescent="0.35">
      <c r="A587" t="s">
        <v>589</v>
      </c>
      <c r="B587" s="2">
        <v>45470</v>
      </c>
      <c r="C587" s="3">
        <f t="shared" si="64"/>
        <v>368</v>
      </c>
      <c r="D587">
        <f t="shared" si="65"/>
        <v>1338</v>
      </c>
      <c r="E587">
        <f t="shared" si="66"/>
        <v>45</v>
      </c>
      <c r="F587">
        <f t="shared" si="67"/>
        <v>2</v>
      </c>
      <c r="G587">
        <f t="shared" si="70"/>
        <v>5</v>
      </c>
      <c r="H587">
        <f t="shared" si="68"/>
        <v>5</v>
      </c>
      <c r="I587" s="9" t="str">
        <f t="shared" si="69"/>
        <v>255</v>
      </c>
      <c r="Q587" s="1">
        <v>0.93165816802982304</v>
      </c>
      <c r="R587" s="1">
        <v>0.87075520131658812</v>
      </c>
    </row>
    <row r="588" spans="1:18" x14ac:dyDescent="0.35">
      <c r="A588" t="s">
        <v>590</v>
      </c>
      <c r="B588" s="2">
        <v>45602</v>
      </c>
      <c r="C588" s="3">
        <f t="shared" si="64"/>
        <v>236</v>
      </c>
      <c r="D588">
        <f t="shared" si="65"/>
        <v>1324</v>
      </c>
      <c r="E588">
        <f t="shared" si="66"/>
        <v>44</v>
      </c>
      <c r="F588">
        <f t="shared" si="67"/>
        <v>4</v>
      </c>
      <c r="G588">
        <f t="shared" si="70"/>
        <v>5</v>
      </c>
      <c r="H588">
        <f t="shared" si="68"/>
        <v>5</v>
      </c>
      <c r="I588" s="9" t="str">
        <f t="shared" si="69"/>
        <v>455</v>
      </c>
      <c r="Q588" s="1">
        <v>0.74882422550061745</v>
      </c>
      <c r="R588" s="1">
        <v>0.93572341158178918</v>
      </c>
    </row>
    <row r="589" spans="1:18" x14ac:dyDescent="0.35">
      <c r="A589" t="s">
        <v>591</v>
      </c>
      <c r="B589" s="2">
        <v>45322</v>
      </c>
      <c r="C589" s="3">
        <f t="shared" si="64"/>
        <v>516</v>
      </c>
      <c r="D589">
        <f t="shared" si="65"/>
        <v>891</v>
      </c>
      <c r="E589">
        <f t="shared" si="66"/>
        <v>30</v>
      </c>
      <c r="F589">
        <f t="shared" si="67"/>
        <v>1</v>
      </c>
      <c r="G589">
        <f t="shared" si="70"/>
        <v>4</v>
      </c>
      <c r="H589">
        <f t="shared" si="68"/>
        <v>4</v>
      </c>
      <c r="I589" s="9" t="str">
        <f t="shared" si="69"/>
        <v>144</v>
      </c>
      <c r="Q589" s="1">
        <v>0.7917484302297626</v>
      </c>
      <c r="R589" s="1">
        <v>0.49375981108061562</v>
      </c>
    </row>
    <row r="590" spans="1:18" x14ac:dyDescent="0.35">
      <c r="A590" t="s">
        <v>592</v>
      </c>
      <c r="B590" s="2">
        <v>45728</v>
      </c>
      <c r="C590" s="3">
        <f t="shared" si="64"/>
        <v>110</v>
      </c>
      <c r="D590">
        <f t="shared" si="65"/>
        <v>225</v>
      </c>
      <c r="E590">
        <f t="shared" si="66"/>
        <v>7</v>
      </c>
      <c r="F590">
        <f t="shared" si="67"/>
        <v>5</v>
      </c>
      <c r="G590">
        <f t="shared" si="70"/>
        <v>1</v>
      </c>
      <c r="H590">
        <f t="shared" si="68"/>
        <v>1</v>
      </c>
      <c r="I590" s="9" t="str">
        <f t="shared" si="69"/>
        <v>511</v>
      </c>
      <c r="Q590" s="1">
        <v>0.17223443742833267</v>
      </c>
      <c r="R590" s="1">
        <v>0.10766131160427561</v>
      </c>
    </row>
    <row r="591" spans="1:18" x14ac:dyDescent="0.35">
      <c r="A591" t="s">
        <v>593</v>
      </c>
      <c r="B591" s="2">
        <v>45452</v>
      </c>
      <c r="C591" s="3">
        <f t="shared" si="64"/>
        <v>386</v>
      </c>
      <c r="D591">
        <f t="shared" si="65"/>
        <v>717</v>
      </c>
      <c r="E591">
        <f t="shared" si="66"/>
        <v>24</v>
      </c>
      <c r="F591">
        <f t="shared" si="67"/>
        <v>2</v>
      </c>
      <c r="G591">
        <f t="shared" si="70"/>
        <v>2</v>
      </c>
      <c r="H591">
        <f t="shared" si="68"/>
        <v>2</v>
      </c>
      <c r="I591" s="9" t="str">
        <f t="shared" si="69"/>
        <v>222</v>
      </c>
      <c r="Q591" s="1">
        <v>0.3839002266841397</v>
      </c>
      <c r="R591" s="1">
        <v>0.49813030503933542</v>
      </c>
    </row>
    <row r="592" spans="1:18" x14ac:dyDescent="0.35">
      <c r="A592" t="s">
        <v>594</v>
      </c>
      <c r="B592" s="2">
        <v>45658</v>
      </c>
      <c r="C592" s="3">
        <f t="shared" si="64"/>
        <v>180</v>
      </c>
      <c r="D592">
        <f t="shared" si="65"/>
        <v>971</v>
      </c>
      <c r="E592">
        <f t="shared" si="66"/>
        <v>32</v>
      </c>
      <c r="F592">
        <f t="shared" si="67"/>
        <v>4</v>
      </c>
      <c r="G592">
        <f t="shared" si="70"/>
        <v>4</v>
      </c>
      <c r="H592">
        <f t="shared" si="68"/>
        <v>4</v>
      </c>
      <c r="I592" s="9" t="str">
        <f t="shared" si="69"/>
        <v>444</v>
      </c>
      <c r="Q592" s="1">
        <v>0.63771432244128168</v>
      </c>
      <c r="R592" s="1">
        <v>0.63778316008143177</v>
      </c>
    </row>
    <row r="593" spans="1:18" x14ac:dyDescent="0.35">
      <c r="A593" t="s">
        <v>595</v>
      </c>
      <c r="B593" s="2">
        <v>45669</v>
      </c>
      <c r="C593" s="3">
        <f t="shared" si="64"/>
        <v>169</v>
      </c>
      <c r="D593">
        <f t="shared" si="65"/>
        <v>273</v>
      </c>
      <c r="E593">
        <f t="shared" si="66"/>
        <v>9</v>
      </c>
      <c r="F593">
        <f t="shared" si="67"/>
        <v>4</v>
      </c>
      <c r="G593">
        <f t="shared" si="70"/>
        <v>1</v>
      </c>
      <c r="H593">
        <f t="shared" si="68"/>
        <v>1</v>
      </c>
      <c r="I593" s="9" t="str">
        <f t="shared" si="69"/>
        <v>411</v>
      </c>
      <c r="Q593" s="1">
        <v>0.49063389822401926</v>
      </c>
      <c r="R593" s="1">
        <v>1.8057932188179526E-2</v>
      </c>
    </row>
    <row r="594" spans="1:18" x14ac:dyDescent="0.35">
      <c r="A594" t="s">
        <v>596</v>
      </c>
      <c r="B594" s="2">
        <v>45735</v>
      </c>
      <c r="C594" s="3">
        <f t="shared" si="64"/>
        <v>103</v>
      </c>
      <c r="D594">
        <f t="shared" si="65"/>
        <v>595</v>
      </c>
      <c r="E594">
        <f t="shared" si="66"/>
        <v>20</v>
      </c>
      <c r="F594">
        <f t="shared" si="67"/>
        <v>5</v>
      </c>
      <c r="G594">
        <f t="shared" si="70"/>
        <v>2</v>
      </c>
      <c r="H594">
        <f t="shared" si="68"/>
        <v>2</v>
      </c>
      <c r="I594" s="9" t="str">
        <f t="shared" si="69"/>
        <v>522</v>
      </c>
      <c r="Q594" s="1">
        <v>0.83310625069645861</v>
      </c>
      <c r="R594" s="1">
        <v>0.18628751583920533</v>
      </c>
    </row>
    <row r="595" spans="1:18" x14ac:dyDescent="0.35">
      <c r="A595" t="s">
        <v>597</v>
      </c>
      <c r="B595" s="2">
        <v>45335</v>
      </c>
      <c r="C595" s="3">
        <f t="shared" si="64"/>
        <v>503</v>
      </c>
      <c r="D595">
        <f t="shared" si="65"/>
        <v>57</v>
      </c>
      <c r="E595">
        <f t="shared" si="66"/>
        <v>2</v>
      </c>
      <c r="F595">
        <f t="shared" si="67"/>
        <v>1</v>
      </c>
      <c r="G595">
        <f t="shared" si="70"/>
        <v>1</v>
      </c>
      <c r="H595">
        <f t="shared" si="68"/>
        <v>1</v>
      </c>
      <c r="I595" s="9" t="str">
        <f t="shared" si="69"/>
        <v>111</v>
      </c>
      <c r="Q595" s="1">
        <v>2.0904044851723924E-3</v>
      </c>
      <c r="R595" s="1">
        <v>1.6207106645873659E-2</v>
      </c>
    </row>
    <row r="596" spans="1:18" x14ac:dyDescent="0.35">
      <c r="A596" t="s">
        <v>598</v>
      </c>
      <c r="B596" s="2">
        <v>45787</v>
      </c>
      <c r="C596" s="3">
        <f t="shared" si="64"/>
        <v>51</v>
      </c>
      <c r="D596">
        <f t="shared" si="65"/>
        <v>664</v>
      </c>
      <c r="E596">
        <f t="shared" si="66"/>
        <v>22</v>
      </c>
      <c r="F596">
        <f t="shared" si="67"/>
        <v>5</v>
      </c>
      <c r="G596">
        <f t="shared" si="70"/>
        <v>2</v>
      </c>
      <c r="H596">
        <f t="shared" si="68"/>
        <v>2</v>
      </c>
      <c r="I596" s="9" t="str">
        <f t="shared" si="69"/>
        <v>522</v>
      </c>
      <c r="Q596" s="1">
        <v>0.88926177865763678</v>
      </c>
      <c r="R596" s="1">
        <v>0.22976611846766049</v>
      </c>
    </row>
    <row r="597" spans="1:18" x14ac:dyDescent="0.35">
      <c r="A597" t="s">
        <v>599</v>
      </c>
      <c r="B597" s="2">
        <v>45423</v>
      </c>
      <c r="C597" s="3">
        <f t="shared" si="64"/>
        <v>415</v>
      </c>
      <c r="D597">
        <f t="shared" si="65"/>
        <v>800</v>
      </c>
      <c r="E597">
        <f t="shared" si="66"/>
        <v>27</v>
      </c>
      <c r="F597">
        <f t="shared" si="67"/>
        <v>1</v>
      </c>
      <c r="G597">
        <f t="shared" si="70"/>
        <v>4</v>
      </c>
      <c r="H597">
        <f t="shared" si="68"/>
        <v>4</v>
      </c>
      <c r="I597" s="9" t="str">
        <f t="shared" si="69"/>
        <v>144</v>
      </c>
      <c r="Q597" s="1">
        <v>0.48523764130139413</v>
      </c>
      <c r="R597" s="1">
        <v>0.53578386380504606</v>
      </c>
    </row>
    <row r="598" spans="1:18" x14ac:dyDescent="0.35">
      <c r="A598" t="s">
        <v>600</v>
      </c>
      <c r="B598" s="2">
        <v>45482</v>
      </c>
      <c r="C598" s="3">
        <f t="shared" si="64"/>
        <v>356</v>
      </c>
      <c r="D598">
        <f t="shared" si="65"/>
        <v>1029</v>
      </c>
      <c r="E598">
        <f t="shared" si="66"/>
        <v>34</v>
      </c>
      <c r="F598">
        <f t="shared" si="67"/>
        <v>2</v>
      </c>
      <c r="G598">
        <f t="shared" si="70"/>
        <v>4</v>
      </c>
      <c r="H598">
        <f t="shared" si="68"/>
        <v>4</v>
      </c>
      <c r="I598" s="9" t="str">
        <f t="shared" si="69"/>
        <v>244</v>
      </c>
      <c r="Q598" s="1">
        <v>0.86377646033016064</v>
      </c>
      <c r="R598" s="1">
        <v>0.59764123966288363</v>
      </c>
    </row>
    <row r="599" spans="1:18" x14ac:dyDescent="0.35">
      <c r="A599" t="s">
        <v>601</v>
      </c>
      <c r="B599" s="2">
        <v>45529</v>
      </c>
      <c r="C599" s="3">
        <f t="shared" si="64"/>
        <v>309</v>
      </c>
      <c r="D599">
        <f t="shared" si="65"/>
        <v>454</v>
      </c>
      <c r="E599">
        <f t="shared" si="66"/>
        <v>15</v>
      </c>
      <c r="F599">
        <f t="shared" si="67"/>
        <v>2</v>
      </c>
      <c r="G599">
        <f t="shared" si="70"/>
        <v>1</v>
      </c>
      <c r="H599">
        <f t="shared" si="68"/>
        <v>1</v>
      </c>
      <c r="I599" s="9" t="str">
        <f t="shared" si="69"/>
        <v>211</v>
      </c>
      <c r="Q599" s="1">
        <v>0.54731274384518258</v>
      </c>
      <c r="R599" s="1">
        <v>0.17049502167361963</v>
      </c>
    </row>
    <row r="600" spans="1:18" x14ac:dyDescent="0.35">
      <c r="A600" t="s">
        <v>602</v>
      </c>
      <c r="B600" s="2">
        <v>45467</v>
      </c>
      <c r="C600" s="3">
        <f t="shared" si="64"/>
        <v>371</v>
      </c>
      <c r="D600">
        <f t="shared" si="65"/>
        <v>754</v>
      </c>
      <c r="E600">
        <f t="shared" si="66"/>
        <v>25</v>
      </c>
      <c r="F600">
        <f t="shared" si="67"/>
        <v>2</v>
      </c>
      <c r="G600">
        <f t="shared" si="70"/>
        <v>2</v>
      </c>
      <c r="H600">
        <f t="shared" si="68"/>
        <v>2</v>
      </c>
      <c r="I600" s="9" t="str">
        <f t="shared" si="69"/>
        <v>222</v>
      </c>
      <c r="Q600" s="1">
        <v>0.77408471304393611</v>
      </c>
      <c r="R600" s="1">
        <v>0.36672631049102988</v>
      </c>
    </row>
    <row r="601" spans="1:18" x14ac:dyDescent="0.35">
      <c r="A601" t="s">
        <v>603</v>
      </c>
      <c r="B601" s="2">
        <v>45560</v>
      </c>
      <c r="C601" s="3">
        <f t="shared" si="64"/>
        <v>278</v>
      </c>
      <c r="D601">
        <f t="shared" si="65"/>
        <v>508</v>
      </c>
      <c r="E601">
        <f t="shared" si="66"/>
        <v>17</v>
      </c>
      <c r="F601">
        <f t="shared" si="67"/>
        <v>2</v>
      </c>
      <c r="G601">
        <f t="shared" si="70"/>
        <v>2</v>
      </c>
      <c r="H601">
        <f t="shared" si="68"/>
        <v>2</v>
      </c>
      <c r="I601" s="9" t="str">
        <f t="shared" si="69"/>
        <v>222</v>
      </c>
      <c r="Q601" s="1">
        <v>0.58271919620153201</v>
      </c>
      <c r="R601" s="1">
        <v>0.20772951461939948</v>
      </c>
    </row>
    <row r="602" spans="1:18" x14ac:dyDescent="0.35">
      <c r="A602" t="s">
        <v>604</v>
      </c>
      <c r="B602" s="2">
        <v>45811</v>
      </c>
      <c r="C602" s="3">
        <f t="shared" si="64"/>
        <v>27</v>
      </c>
      <c r="D602">
        <f t="shared" si="65"/>
        <v>766</v>
      </c>
      <c r="E602">
        <f t="shared" si="66"/>
        <v>25</v>
      </c>
      <c r="F602">
        <f t="shared" si="67"/>
        <v>5</v>
      </c>
      <c r="G602">
        <f t="shared" si="70"/>
        <v>2</v>
      </c>
      <c r="H602">
        <f t="shared" si="68"/>
        <v>2</v>
      </c>
      <c r="I602" s="9" t="str">
        <f t="shared" si="69"/>
        <v>522</v>
      </c>
      <c r="Q602" s="1">
        <v>0.70070525502800918</v>
      </c>
      <c r="R602" s="1">
        <v>0.41033103461340414</v>
      </c>
    </row>
    <row r="603" spans="1:18" x14ac:dyDescent="0.35">
      <c r="A603" t="s">
        <v>605</v>
      </c>
      <c r="B603" s="2">
        <v>45649</v>
      </c>
      <c r="C603" s="3">
        <f t="shared" si="64"/>
        <v>189</v>
      </c>
      <c r="D603">
        <f t="shared" si="65"/>
        <v>793</v>
      </c>
      <c r="E603">
        <f t="shared" si="66"/>
        <v>26</v>
      </c>
      <c r="F603">
        <f t="shared" si="67"/>
        <v>4</v>
      </c>
      <c r="G603">
        <f t="shared" si="70"/>
        <v>2</v>
      </c>
      <c r="H603">
        <f t="shared" si="68"/>
        <v>4</v>
      </c>
      <c r="I603" s="9" t="str">
        <f t="shared" si="69"/>
        <v>424</v>
      </c>
      <c r="Q603" s="1">
        <v>0.73547620373710554</v>
      </c>
      <c r="R603" s="1">
        <v>0.42157808366219118</v>
      </c>
    </row>
    <row r="604" spans="1:18" x14ac:dyDescent="0.35">
      <c r="A604" t="s">
        <v>606</v>
      </c>
      <c r="B604" s="2">
        <v>45699</v>
      </c>
      <c r="C604" s="3">
        <f t="shared" si="64"/>
        <v>139</v>
      </c>
      <c r="D604">
        <f t="shared" si="65"/>
        <v>587</v>
      </c>
      <c r="E604">
        <f t="shared" si="66"/>
        <v>19</v>
      </c>
      <c r="F604">
        <f t="shared" si="67"/>
        <v>4</v>
      </c>
      <c r="G604">
        <f t="shared" si="70"/>
        <v>2</v>
      </c>
      <c r="H604">
        <f t="shared" si="68"/>
        <v>2</v>
      </c>
      <c r="I604" s="9" t="str">
        <f t="shared" si="69"/>
        <v>422</v>
      </c>
      <c r="Q604" s="1">
        <v>0.88553421170012958</v>
      </c>
      <c r="R604" s="1">
        <v>0.15569383787301405</v>
      </c>
    </row>
    <row r="605" spans="1:18" x14ac:dyDescent="0.35">
      <c r="A605" t="s">
        <v>607</v>
      </c>
      <c r="B605" s="2">
        <v>45438</v>
      </c>
      <c r="C605" s="3">
        <f t="shared" si="64"/>
        <v>400</v>
      </c>
      <c r="D605">
        <f t="shared" si="65"/>
        <v>516</v>
      </c>
      <c r="E605">
        <f t="shared" si="66"/>
        <v>17</v>
      </c>
      <c r="F605">
        <f t="shared" si="67"/>
        <v>2</v>
      </c>
      <c r="G605">
        <f t="shared" si="70"/>
        <v>2</v>
      </c>
      <c r="H605">
        <f t="shared" si="68"/>
        <v>2</v>
      </c>
      <c r="I605" s="9" t="str">
        <f t="shared" si="69"/>
        <v>222</v>
      </c>
      <c r="Q605" s="1">
        <v>0.64552060578682657</v>
      </c>
      <c r="R605" s="1">
        <v>0.18886176288318934</v>
      </c>
    </row>
    <row r="606" spans="1:18" x14ac:dyDescent="0.35">
      <c r="A606" t="s">
        <v>608</v>
      </c>
      <c r="B606" s="2">
        <v>45455</v>
      </c>
      <c r="C606" s="3">
        <f t="shared" si="64"/>
        <v>383</v>
      </c>
      <c r="D606">
        <f t="shared" si="65"/>
        <v>826</v>
      </c>
      <c r="E606">
        <f t="shared" si="66"/>
        <v>27</v>
      </c>
      <c r="F606">
        <f t="shared" si="67"/>
        <v>2</v>
      </c>
      <c r="G606">
        <f t="shared" si="70"/>
        <v>4</v>
      </c>
      <c r="H606">
        <f t="shared" si="68"/>
        <v>4</v>
      </c>
      <c r="I606" s="9" t="str">
        <f t="shared" si="69"/>
        <v>244</v>
      </c>
      <c r="Q606" s="1">
        <v>0.63087282890647756</v>
      </c>
      <c r="R606" s="1">
        <v>0.49866944050985973</v>
      </c>
    </row>
    <row r="607" spans="1:18" x14ac:dyDescent="0.35">
      <c r="A607" t="s">
        <v>609</v>
      </c>
      <c r="B607" s="2">
        <v>45593</v>
      </c>
      <c r="C607" s="3">
        <f t="shared" si="64"/>
        <v>245</v>
      </c>
      <c r="D607">
        <f t="shared" si="65"/>
        <v>404</v>
      </c>
      <c r="E607">
        <f t="shared" si="66"/>
        <v>13</v>
      </c>
      <c r="F607">
        <f t="shared" si="67"/>
        <v>4</v>
      </c>
      <c r="G607">
        <f t="shared" si="70"/>
        <v>1</v>
      </c>
      <c r="H607">
        <f t="shared" si="68"/>
        <v>1</v>
      </c>
      <c r="I607" s="9" t="str">
        <f t="shared" si="69"/>
        <v>411</v>
      </c>
      <c r="Q607" s="1">
        <v>0.20389694438480843</v>
      </c>
      <c r="R607" s="1">
        <v>0.2687262425032374</v>
      </c>
    </row>
    <row r="608" spans="1:18" x14ac:dyDescent="0.35">
      <c r="A608" t="s">
        <v>610</v>
      </c>
      <c r="B608" s="2">
        <v>45796</v>
      </c>
      <c r="C608" s="3">
        <f t="shared" si="64"/>
        <v>42</v>
      </c>
      <c r="D608">
        <f t="shared" si="65"/>
        <v>1143</v>
      </c>
      <c r="E608">
        <f t="shared" si="66"/>
        <v>38</v>
      </c>
      <c r="F608">
        <f t="shared" si="67"/>
        <v>5</v>
      </c>
      <c r="G608">
        <f t="shared" si="70"/>
        <v>5</v>
      </c>
      <c r="H608">
        <f t="shared" si="68"/>
        <v>5</v>
      </c>
      <c r="I608" s="9" t="str">
        <f t="shared" si="69"/>
        <v>555</v>
      </c>
      <c r="Q608" s="1">
        <v>0.23334499667709008</v>
      </c>
      <c r="R608" s="1">
        <v>0.97906457430057103</v>
      </c>
    </row>
    <row r="609" spans="1:18" x14ac:dyDescent="0.35">
      <c r="A609" t="s">
        <v>611</v>
      </c>
      <c r="B609" s="2">
        <v>45377</v>
      </c>
      <c r="C609" s="3">
        <f t="shared" si="64"/>
        <v>461</v>
      </c>
      <c r="D609">
        <f t="shared" si="65"/>
        <v>481</v>
      </c>
      <c r="E609">
        <f t="shared" si="66"/>
        <v>16</v>
      </c>
      <c r="F609">
        <f t="shared" si="67"/>
        <v>1</v>
      </c>
      <c r="G609">
        <f t="shared" si="70"/>
        <v>1</v>
      </c>
      <c r="H609">
        <f t="shared" si="68"/>
        <v>1</v>
      </c>
      <c r="I609" s="9" t="str">
        <f t="shared" si="69"/>
        <v>111</v>
      </c>
      <c r="Q609" s="1">
        <v>0.99006372084952687</v>
      </c>
      <c r="R609" s="1">
        <v>7.4813240848590201E-3</v>
      </c>
    </row>
    <row r="610" spans="1:18" x14ac:dyDescent="0.35">
      <c r="A610" t="s">
        <v>612</v>
      </c>
      <c r="B610" s="2">
        <v>45533</v>
      </c>
      <c r="C610" s="3">
        <f t="shared" si="64"/>
        <v>305</v>
      </c>
      <c r="D610">
        <f t="shared" si="65"/>
        <v>924</v>
      </c>
      <c r="E610">
        <f t="shared" si="66"/>
        <v>31</v>
      </c>
      <c r="F610">
        <f t="shared" si="67"/>
        <v>2</v>
      </c>
      <c r="G610">
        <f t="shared" si="70"/>
        <v>4</v>
      </c>
      <c r="H610">
        <f t="shared" si="68"/>
        <v>4</v>
      </c>
      <c r="I610" s="9" t="str">
        <f t="shared" si="69"/>
        <v>244</v>
      </c>
      <c r="Q610" s="1">
        <v>0.11105239975760883</v>
      </c>
      <c r="R610" s="1">
        <v>0.81697256663180073</v>
      </c>
    </row>
    <row r="611" spans="1:18" x14ac:dyDescent="0.35">
      <c r="A611" t="s">
        <v>613</v>
      </c>
      <c r="B611" s="2">
        <v>45824</v>
      </c>
      <c r="C611" s="3">
        <f t="shared" si="64"/>
        <v>14</v>
      </c>
      <c r="D611">
        <f t="shared" si="65"/>
        <v>423</v>
      </c>
      <c r="E611">
        <f t="shared" si="66"/>
        <v>14</v>
      </c>
      <c r="F611">
        <f t="shared" si="67"/>
        <v>5</v>
      </c>
      <c r="G611">
        <f t="shared" si="70"/>
        <v>1</v>
      </c>
      <c r="H611">
        <f t="shared" si="68"/>
        <v>1</v>
      </c>
      <c r="I611" s="9" t="str">
        <f t="shared" si="69"/>
        <v>511</v>
      </c>
      <c r="Q611" s="1">
        <v>0.2075407491516732</v>
      </c>
      <c r="R611" s="1">
        <v>0.28540938966035567</v>
      </c>
    </row>
    <row r="612" spans="1:18" x14ac:dyDescent="0.35">
      <c r="A612" t="s">
        <v>614</v>
      </c>
      <c r="B612" s="2">
        <v>45396</v>
      </c>
      <c r="C612" s="3">
        <f t="shared" si="64"/>
        <v>442</v>
      </c>
      <c r="D612">
        <f t="shared" si="65"/>
        <v>182</v>
      </c>
      <c r="E612">
        <f t="shared" si="66"/>
        <v>6</v>
      </c>
      <c r="F612">
        <f t="shared" si="67"/>
        <v>1</v>
      </c>
      <c r="G612">
        <f t="shared" si="70"/>
        <v>1</v>
      </c>
      <c r="H612">
        <f t="shared" si="68"/>
        <v>1</v>
      </c>
      <c r="I612" s="9" t="str">
        <f t="shared" si="69"/>
        <v>111</v>
      </c>
      <c r="Q612" s="1">
        <v>0.25444427338820841</v>
      </c>
      <c r="R612" s="1">
        <v>2.9432824500080668E-2</v>
      </c>
    </row>
    <row r="613" spans="1:18" x14ac:dyDescent="0.35">
      <c r="A613" t="s">
        <v>615</v>
      </c>
      <c r="B613" s="2">
        <v>45410</v>
      </c>
      <c r="C613" s="3">
        <f t="shared" si="64"/>
        <v>428</v>
      </c>
      <c r="D613">
        <f t="shared" si="65"/>
        <v>302</v>
      </c>
      <c r="E613">
        <f t="shared" si="66"/>
        <v>10</v>
      </c>
      <c r="F613">
        <f t="shared" si="67"/>
        <v>1</v>
      </c>
      <c r="G613">
        <f t="shared" si="70"/>
        <v>1</v>
      </c>
      <c r="H613">
        <f t="shared" si="68"/>
        <v>1</v>
      </c>
      <c r="I613" s="9" t="str">
        <f t="shared" si="69"/>
        <v>111</v>
      </c>
      <c r="Q613" s="1">
        <v>0.16473044199837872</v>
      </c>
      <c r="R613" s="1">
        <v>0.18531756262862209</v>
      </c>
    </row>
    <row r="614" spans="1:18" x14ac:dyDescent="0.35">
      <c r="A614" t="s">
        <v>616</v>
      </c>
      <c r="B614" s="2">
        <v>45616</v>
      </c>
      <c r="C614" s="3">
        <f t="shared" si="64"/>
        <v>222</v>
      </c>
      <c r="D614">
        <f t="shared" si="65"/>
        <v>788</v>
      </c>
      <c r="E614">
        <f t="shared" si="66"/>
        <v>26</v>
      </c>
      <c r="F614">
        <f t="shared" si="67"/>
        <v>4</v>
      </c>
      <c r="G614">
        <f t="shared" si="70"/>
        <v>2</v>
      </c>
      <c r="H614">
        <f t="shared" si="68"/>
        <v>4</v>
      </c>
      <c r="I614" s="9" t="str">
        <f t="shared" si="69"/>
        <v>424</v>
      </c>
      <c r="Q614" s="1">
        <v>0.13046691539849242</v>
      </c>
      <c r="R614" s="1">
        <v>0.67615953628700154</v>
      </c>
    </row>
    <row r="615" spans="1:18" x14ac:dyDescent="0.35">
      <c r="A615" t="s">
        <v>617</v>
      </c>
      <c r="B615" s="2">
        <v>45354</v>
      </c>
      <c r="C615" s="3">
        <f t="shared" si="64"/>
        <v>484</v>
      </c>
      <c r="D615">
        <f t="shared" si="65"/>
        <v>1088</v>
      </c>
      <c r="E615">
        <f t="shared" si="66"/>
        <v>36</v>
      </c>
      <c r="F615">
        <f t="shared" si="67"/>
        <v>1</v>
      </c>
      <c r="G615">
        <f t="shared" si="70"/>
        <v>5</v>
      </c>
      <c r="H615">
        <f t="shared" si="68"/>
        <v>5</v>
      </c>
      <c r="I615" s="9" t="str">
        <f t="shared" si="69"/>
        <v>155</v>
      </c>
      <c r="Q615" s="1">
        <v>0.70232483125804768</v>
      </c>
      <c r="R615" s="1">
        <v>0.72403398641518102</v>
      </c>
    </row>
    <row r="616" spans="1:18" x14ac:dyDescent="0.35">
      <c r="A616" t="s">
        <v>618</v>
      </c>
      <c r="B616" s="2">
        <v>45479</v>
      </c>
      <c r="C616" s="3">
        <f t="shared" si="64"/>
        <v>359</v>
      </c>
      <c r="D616">
        <f t="shared" si="65"/>
        <v>739</v>
      </c>
      <c r="E616">
        <f t="shared" si="66"/>
        <v>24</v>
      </c>
      <c r="F616">
        <f t="shared" si="67"/>
        <v>2</v>
      </c>
      <c r="G616">
        <f t="shared" si="70"/>
        <v>2</v>
      </c>
      <c r="H616">
        <f t="shared" si="68"/>
        <v>2</v>
      </c>
      <c r="I616" s="9" t="str">
        <f t="shared" si="69"/>
        <v>222</v>
      </c>
      <c r="Q616" s="1">
        <v>0.70141110586242494</v>
      </c>
      <c r="R616" s="1">
        <v>0.38313041056036612</v>
      </c>
    </row>
    <row r="617" spans="1:18" x14ac:dyDescent="0.35">
      <c r="A617" t="s">
        <v>619</v>
      </c>
      <c r="B617" s="2">
        <v>45470</v>
      </c>
      <c r="C617" s="3">
        <f t="shared" si="64"/>
        <v>368</v>
      </c>
      <c r="D617">
        <f t="shared" si="65"/>
        <v>965</v>
      </c>
      <c r="E617">
        <f t="shared" si="66"/>
        <v>32</v>
      </c>
      <c r="F617">
        <f t="shared" si="67"/>
        <v>2</v>
      </c>
      <c r="G617">
        <f t="shared" si="70"/>
        <v>4</v>
      </c>
      <c r="H617">
        <f t="shared" si="68"/>
        <v>4</v>
      </c>
      <c r="I617" s="9" t="str">
        <f t="shared" si="69"/>
        <v>244</v>
      </c>
      <c r="Q617" s="1">
        <v>0.91093041689805554</v>
      </c>
      <c r="R617" s="1">
        <v>0.51498687777438401</v>
      </c>
    </row>
    <row r="618" spans="1:18" x14ac:dyDescent="0.35">
      <c r="A618" t="s">
        <v>620</v>
      </c>
      <c r="B618" s="2">
        <v>45682</v>
      </c>
      <c r="C618" s="3">
        <f t="shared" si="64"/>
        <v>156</v>
      </c>
      <c r="D618">
        <f t="shared" si="65"/>
        <v>282</v>
      </c>
      <c r="E618">
        <f t="shared" si="66"/>
        <v>9</v>
      </c>
      <c r="F618">
        <f t="shared" si="67"/>
        <v>4</v>
      </c>
      <c r="G618">
        <f t="shared" si="70"/>
        <v>1</v>
      </c>
      <c r="H618">
        <f t="shared" si="68"/>
        <v>1</v>
      </c>
      <c r="I618" s="9" t="str">
        <f t="shared" si="69"/>
        <v>411</v>
      </c>
      <c r="Q618" s="1">
        <v>0.4536640676607987</v>
      </c>
      <c r="R618" s="1">
        <v>4.2414097668919681E-2</v>
      </c>
    </row>
    <row r="619" spans="1:18" x14ac:dyDescent="0.35">
      <c r="A619" t="s">
        <v>621</v>
      </c>
      <c r="B619" s="2">
        <v>45478</v>
      </c>
      <c r="C619" s="3">
        <f t="shared" si="64"/>
        <v>360</v>
      </c>
      <c r="D619">
        <f t="shared" si="65"/>
        <v>571</v>
      </c>
      <c r="E619">
        <f t="shared" si="66"/>
        <v>19</v>
      </c>
      <c r="F619">
        <f t="shared" si="67"/>
        <v>2</v>
      </c>
      <c r="G619">
        <f t="shared" si="70"/>
        <v>2</v>
      </c>
      <c r="H619">
        <f t="shared" si="68"/>
        <v>2</v>
      </c>
      <c r="I619" s="9" t="str">
        <f t="shared" si="69"/>
        <v>222</v>
      </c>
      <c r="Q619" s="1">
        <v>0.46654888531343119</v>
      </c>
      <c r="R619" s="1">
        <v>0.31973327496666426</v>
      </c>
    </row>
    <row r="620" spans="1:18" x14ac:dyDescent="0.35">
      <c r="A620" t="s">
        <v>622</v>
      </c>
      <c r="B620" s="2">
        <v>45723</v>
      </c>
      <c r="C620" s="3">
        <f t="shared" si="64"/>
        <v>115</v>
      </c>
      <c r="D620">
        <f t="shared" si="65"/>
        <v>780</v>
      </c>
      <c r="E620">
        <f t="shared" si="66"/>
        <v>26</v>
      </c>
      <c r="F620">
        <f t="shared" si="67"/>
        <v>5</v>
      </c>
      <c r="G620">
        <f t="shared" si="70"/>
        <v>2</v>
      </c>
      <c r="H620">
        <f t="shared" si="68"/>
        <v>2</v>
      </c>
      <c r="I620" s="9" t="str">
        <f t="shared" si="69"/>
        <v>522</v>
      </c>
      <c r="Q620" s="1">
        <v>0.34053226134212489</v>
      </c>
      <c r="R620" s="1">
        <v>0.57826357556433028</v>
      </c>
    </row>
    <row r="621" spans="1:18" x14ac:dyDescent="0.35">
      <c r="A621" t="s">
        <v>623</v>
      </c>
      <c r="B621" s="2">
        <v>45720</v>
      </c>
      <c r="C621" s="3">
        <f t="shared" si="64"/>
        <v>118</v>
      </c>
      <c r="D621">
        <f t="shared" si="65"/>
        <v>931</v>
      </c>
      <c r="E621">
        <f t="shared" si="66"/>
        <v>31</v>
      </c>
      <c r="F621">
        <f t="shared" si="67"/>
        <v>5</v>
      </c>
      <c r="G621">
        <f t="shared" si="70"/>
        <v>4</v>
      </c>
      <c r="H621">
        <f t="shared" si="68"/>
        <v>4</v>
      </c>
      <c r="I621" s="9" t="str">
        <f t="shared" si="69"/>
        <v>544</v>
      </c>
      <c r="Q621" s="1">
        <v>0.25166645916348329</v>
      </c>
      <c r="R621" s="1">
        <v>0.76352454136192005</v>
      </c>
    </row>
    <row r="622" spans="1:18" x14ac:dyDescent="0.35">
      <c r="A622" t="s">
        <v>624</v>
      </c>
      <c r="B622" s="2">
        <v>45506</v>
      </c>
      <c r="C622" s="3">
        <f t="shared" si="64"/>
        <v>332</v>
      </c>
      <c r="D622">
        <f t="shared" si="65"/>
        <v>473</v>
      </c>
      <c r="E622">
        <f t="shared" si="66"/>
        <v>16</v>
      </c>
      <c r="F622">
        <f t="shared" si="67"/>
        <v>2</v>
      </c>
      <c r="G622">
        <f t="shared" si="70"/>
        <v>1</v>
      </c>
      <c r="H622">
        <f t="shared" si="68"/>
        <v>1</v>
      </c>
      <c r="I622" s="9" t="str">
        <f t="shared" si="69"/>
        <v>211</v>
      </c>
      <c r="Q622" s="1">
        <v>8.6038893948499506E-2</v>
      </c>
      <c r="R622" s="1">
        <v>0.38661734542293003</v>
      </c>
    </row>
    <row r="623" spans="1:18" x14ac:dyDescent="0.35">
      <c r="A623" t="s">
        <v>625</v>
      </c>
      <c r="B623" s="2">
        <v>45745</v>
      </c>
      <c r="C623" s="3">
        <f t="shared" si="64"/>
        <v>93</v>
      </c>
      <c r="D623">
        <f t="shared" si="65"/>
        <v>748</v>
      </c>
      <c r="E623">
        <f t="shared" si="66"/>
        <v>25</v>
      </c>
      <c r="F623">
        <f t="shared" si="67"/>
        <v>5</v>
      </c>
      <c r="G623">
        <f t="shared" si="70"/>
        <v>2</v>
      </c>
      <c r="H623">
        <f t="shared" si="68"/>
        <v>2</v>
      </c>
      <c r="I623" s="9" t="str">
        <f t="shared" si="69"/>
        <v>522</v>
      </c>
      <c r="Q623" s="1">
        <v>0.64455374541002131</v>
      </c>
      <c r="R623" s="1">
        <v>0.41646541644491497</v>
      </c>
    </row>
    <row r="624" spans="1:18" x14ac:dyDescent="0.35">
      <c r="A624" t="s">
        <v>626</v>
      </c>
      <c r="B624" s="2">
        <v>45760</v>
      </c>
      <c r="C624" s="3">
        <f t="shared" si="64"/>
        <v>78</v>
      </c>
      <c r="D624">
        <f t="shared" si="65"/>
        <v>1080</v>
      </c>
      <c r="E624">
        <f t="shared" si="66"/>
        <v>36</v>
      </c>
      <c r="F624">
        <f t="shared" si="67"/>
        <v>5</v>
      </c>
      <c r="G624">
        <f t="shared" si="70"/>
        <v>5</v>
      </c>
      <c r="H624">
        <f t="shared" si="68"/>
        <v>5</v>
      </c>
      <c r="I624" s="9" t="str">
        <f t="shared" si="69"/>
        <v>555</v>
      </c>
      <c r="Q624" s="1">
        <v>0.72181671862026242</v>
      </c>
      <c r="R624" s="1">
        <v>0.70858582112903046</v>
      </c>
    </row>
    <row r="625" spans="1:18" x14ac:dyDescent="0.35">
      <c r="A625" t="s">
        <v>627</v>
      </c>
      <c r="B625" s="2">
        <v>45802</v>
      </c>
      <c r="C625" s="3">
        <f t="shared" si="64"/>
        <v>36</v>
      </c>
      <c r="D625">
        <f t="shared" si="65"/>
        <v>278</v>
      </c>
      <c r="E625">
        <f t="shared" si="66"/>
        <v>9</v>
      </c>
      <c r="F625">
        <f t="shared" si="67"/>
        <v>5</v>
      </c>
      <c r="G625">
        <f t="shared" si="70"/>
        <v>1</v>
      </c>
      <c r="H625">
        <f t="shared" si="68"/>
        <v>1</v>
      </c>
      <c r="I625" s="9" t="str">
        <f t="shared" si="69"/>
        <v>511</v>
      </c>
      <c r="Q625" s="1">
        <v>0.36313300270388038</v>
      </c>
      <c r="R625" s="1">
        <v>7.6814455759117384E-2</v>
      </c>
    </row>
    <row r="626" spans="1:18" x14ac:dyDescent="0.35">
      <c r="A626" t="s">
        <v>628</v>
      </c>
      <c r="B626" s="2">
        <v>45404</v>
      </c>
      <c r="C626" s="3">
        <f t="shared" si="64"/>
        <v>434</v>
      </c>
      <c r="D626">
        <f t="shared" si="65"/>
        <v>857</v>
      </c>
      <c r="E626">
        <f t="shared" si="66"/>
        <v>28</v>
      </c>
      <c r="F626">
        <f t="shared" si="67"/>
        <v>1</v>
      </c>
      <c r="G626">
        <f t="shared" si="70"/>
        <v>4</v>
      </c>
      <c r="H626">
        <f t="shared" si="68"/>
        <v>4</v>
      </c>
      <c r="I626" s="9" t="str">
        <f t="shared" si="69"/>
        <v>144</v>
      </c>
      <c r="Q626" s="1">
        <v>0.10788670312401938</v>
      </c>
      <c r="R626" s="1">
        <v>0.75269545891322764</v>
      </c>
    </row>
    <row r="627" spans="1:18" x14ac:dyDescent="0.35">
      <c r="A627" t="s">
        <v>629</v>
      </c>
      <c r="B627" s="2">
        <v>45556</v>
      </c>
      <c r="C627" s="3">
        <f t="shared" si="64"/>
        <v>282</v>
      </c>
      <c r="D627">
        <f t="shared" si="65"/>
        <v>1173</v>
      </c>
      <c r="E627">
        <f t="shared" si="66"/>
        <v>39</v>
      </c>
      <c r="F627">
        <f t="shared" si="67"/>
        <v>2</v>
      </c>
      <c r="G627">
        <f t="shared" si="70"/>
        <v>5</v>
      </c>
      <c r="H627">
        <f t="shared" si="68"/>
        <v>5</v>
      </c>
      <c r="I627" s="9" t="str">
        <f t="shared" si="69"/>
        <v>255</v>
      </c>
      <c r="Q627" s="1">
        <v>0.71523469998609213</v>
      </c>
      <c r="R627" s="1">
        <v>0.80191531468289412</v>
      </c>
    </row>
    <row r="628" spans="1:18" x14ac:dyDescent="0.35">
      <c r="A628" t="s">
        <v>630</v>
      </c>
      <c r="B628" s="2">
        <v>45734</v>
      </c>
      <c r="C628" s="3">
        <f t="shared" si="64"/>
        <v>104</v>
      </c>
      <c r="D628">
        <f t="shared" si="65"/>
        <v>1255</v>
      </c>
      <c r="E628">
        <f t="shared" si="66"/>
        <v>42</v>
      </c>
      <c r="F628">
        <f t="shared" si="67"/>
        <v>5</v>
      </c>
      <c r="G628">
        <f t="shared" si="70"/>
        <v>5</v>
      </c>
      <c r="H628">
        <f t="shared" si="68"/>
        <v>5</v>
      </c>
      <c r="I628" s="9" t="str">
        <f t="shared" si="69"/>
        <v>555</v>
      </c>
      <c r="Q628" s="1">
        <v>0.63678548741575403</v>
      </c>
      <c r="R628" s="1">
        <v>0.91620059113350516</v>
      </c>
    </row>
    <row r="629" spans="1:18" x14ac:dyDescent="0.35">
      <c r="A629" t="s">
        <v>631</v>
      </c>
      <c r="B629" s="2">
        <v>45659</v>
      </c>
      <c r="C629" s="3">
        <f t="shared" si="64"/>
        <v>179</v>
      </c>
      <c r="D629">
        <f t="shared" si="65"/>
        <v>1052</v>
      </c>
      <c r="E629">
        <f t="shared" si="66"/>
        <v>35</v>
      </c>
      <c r="F629">
        <f t="shared" si="67"/>
        <v>4</v>
      </c>
      <c r="G629">
        <f t="shared" si="70"/>
        <v>4</v>
      </c>
      <c r="H629">
        <f t="shared" si="68"/>
        <v>5</v>
      </c>
      <c r="I629" s="9" t="str">
        <f t="shared" si="69"/>
        <v>445</v>
      </c>
      <c r="Q629" s="1">
        <v>0.30356332227913441</v>
      </c>
      <c r="R629" s="1">
        <v>0.8602286226891851</v>
      </c>
    </row>
    <row r="630" spans="1:18" x14ac:dyDescent="0.35">
      <c r="A630" t="s">
        <v>632</v>
      </c>
      <c r="B630" s="2">
        <v>45422</v>
      </c>
      <c r="C630" s="3">
        <f t="shared" si="64"/>
        <v>416</v>
      </c>
      <c r="D630">
        <f t="shared" si="65"/>
        <v>287</v>
      </c>
      <c r="E630">
        <f t="shared" si="66"/>
        <v>9</v>
      </c>
      <c r="F630">
        <f t="shared" si="67"/>
        <v>1</v>
      </c>
      <c r="G630">
        <f t="shared" si="70"/>
        <v>1</v>
      </c>
      <c r="H630">
        <f t="shared" si="68"/>
        <v>1</v>
      </c>
      <c r="I630" s="9" t="str">
        <f t="shared" si="69"/>
        <v>111</v>
      </c>
      <c r="Q630" s="1">
        <v>0.29834556781266508</v>
      </c>
      <c r="R630" s="1">
        <v>0.1141266147605029</v>
      </c>
    </row>
    <row r="631" spans="1:18" x14ac:dyDescent="0.35">
      <c r="A631" t="s">
        <v>633</v>
      </c>
      <c r="B631" s="2">
        <v>45646</v>
      </c>
      <c r="C631" s="3">
        <f t="shared" si="64"/>
        <v>192</v>
      </c>
      <c r="D631">
        <f t="shared" si="65"/>
        <v>658</v>
      </c>
      <c r="E631">
        <f t="shared" si="66"/>
        <v>22</v>
      </c>
      <c r="F631">
        <f t="shared" si="67"/>
        <v>4</v>
      </c>
      <c r="G631">
        <f t="shared" si="70"/>
        <v>2</v>
      </c>
      <c r="H631">
        <f t="shared" si="68"/>
        <v>2</v>
      </c>
      <c r="I631" s="9" t="str">
        <f t="shared" si="69"/>
        <v>422</v>
      </c>
      <c r="Q631" s="1">
        <v>0.23856860542913183</v>
      </c>
      <c r="R631" s="1">
        <v>0.50213595433595981</v>
      </c>
    </row>
    <row r="632" spans="1:18" x14ac:dyDescent="0.35">
      <c r="A632" t="s">
        <v>634</v>
      </c>
      <c r="B632" s="2">
        <v>45595</v>
      </c>
      <c r="C632" s="3">
        <f t="shared" si="64"/>
        <v>243</v>
      </c>
      <c r="D632">
        <f t="shared" si="65"/>
        <v>520</v>
      </c>
      <c r="E632">
        <f t="shared" si="66"/>
        <v>17</v>
      </c>
      <c r="F632">
        <f t="shared" si="67"/>
        <v>4</v>
      </c>
      <c r="G632">
        <f t="shared" si="70"/>
        <v>2</v>
      </c>
      <c r="H632">
        <f t="shared" si="68"/>
        <v>2</v>
      </c>
      <c r="I632" s="9" t="str">
        <f t="shared" si="69"/>
        <v>422</v>
      </c>
      <c r="Q632" s="1">
        <v>0.53938981425834609</v>
      </c>
      <c r="R632" s="1">
        <v>0.23810582219813492</v>
      </c>
    </row>
    <row r="633" spans="1:18" x14ac:dyDescent="0.35">
      <c r="A633" t="s">
        <v>635</v>
      </c>
      <c r="B633" s="2">
        <v>45799</v>
      </c>
      <c r="C633" s="3">
        <f t="shared" si="64"/>
        <v>39</v>
      </c>
      <c r="D633">
        <f t="shared" si="65"/>
        <v>1088</v>
      </c>
      <c r="E633">
        <f t="shared" si="66"/>
        <v>36</v>
      </c>
      <c r="F633">
        <f t="shared" si="67"/>
        <v>5</v>
      </c>
      <c r="G633">
        <f t="shared" si="70"/>
        <v>5</v>
      </c>
      <c r="H633">
        <f t="shared" si="68"/>
        <v>5</v>
      </c>
      <c r="I633" s="9" t="str">
        <f t="shared" si="69"/>
        <v>555</v>
      </c>
      <c r="Q633" s="1">
        <v>0.32867431199756936</v>
      </c>
      <c r="R633" s="1">
        <v>0.8842834277140097</v>
      </c>
    </row>
    <row r="634" spans="1:18" x14ac:dyDescent="0.35">
      <c r="A634" t="s">
        <v>636</v>
      </c>
      <c r="B634" s="2">
        <v>45718</v>
      </c>
      <c r="C634" s="3">
        <f t="shared" si="64"/>
        <v>120</v>
      </c>
      <c r="D634">
        <f t="shared" si="65"/>
        <v>945</v>
      </c>
      <c r="E634">
        <f t="shared" si="66"/>
        <v>31</v>
      </c>
      <c r="F634">
        <f t="shared" si="67"/>
        <v>5</v>
      </c>
      <c r="G634">
        <f t="shared" si="70"/>
        <v>4</v>
      </c>
      <c r="H634">
        <f t="shared" si="68"/>
        <v>4</v>
      </c>
      <c r="I634" s="9" t="str">
        <f t="shared" si="69"/>
        <v>544</v>
      </c>
      <c r="Q634" s="1">
        <v>0.33103108929574654</v>
      </c>
      <c r="R634" s="1">
        <v>0.74374322595957698</v>
      </c>
    </row>
    <row r="635" spans="1:18" x14ac:dyDescent="0.35">
      <c r="A635" t="s">
        <v>637</v>
      </c>
      <c r="B635" s="2">
        <v>45660</v>
      </c>
      <c r="C635" s="3">
        <f t="shared" si="64"/>
        <v>178</v>
      </c>
      <c r="D635">
        <f t="shared" si="65"/>
        <v>450</v>
      </c>
      <c r="E635">
        <f t="shared" si="66"/>
        <v>15</v>
      </c>
      <c r="F635">
        <f t="shared" si="67"/>
        <v>4</v>
      </c>
      <c r="G635">
        <f t="shared" si="70"/>
        <v>1</v>
      </c>
      <c r="H635">
        <f t="shared" si="68"/>
        <v>1</v>
      </c>
      <c r="I635" s="9" t="str">
        <f t="shared" si="69"/>
        <v>411</v>
      </c>
      <c r="Q635" s="1">
        <v>0.60036250508786049</v>
      </c>
      <c r="R635" s="1">
        <v>0.14422005670934568</v>
      </c>
    </row>
    <row r="636" spans="1:18" x14ac:dyDescent="0.35">
      <c r="A636" t="s">
        <v>638</v>
      </c>
      <c r="B636" s="2">
        <v>45706</v>
      </c>
      <c r="C636" s="3">
        <f t="shared" si="64"/>
        <v>132</v>
      </c>
      <c r="D636">
        <f t="shared" si="65"/>
        <v>1039</v>
      </c>
      <c r="E636">
        <f t="shared" si="66"/>
        <v>35</v>
      </c>
      <c r="F636">
        <f t="shared" si="67"/>
        <v>4</v>
      </c>
      <c r="G636">
        <f t="shared" si="70"/>
        <v>4</v>
      </c>
      <c r="H636">
        <f t="shared" si="68"/>
        <v>4</v>
      </c>
      <c r="I636" s="9" t="str">
        <f t="shared" si="69"/>
        <v>444</v>
      </c>
      <c r="Q636" s="1">
        <v>3.4884329079142296E-3</v>
      </c>
      <c r="R636" s="1">
        <v>0.97604092009224941</v>
      </c>
    </row>
    <row r="637" spans="1:18" x14ac:dyDescent="0.35">
      <c r="A637" t="s">
        <v>639</v>
      </c>
      <c r="B637" s="2">
        <v>45300</v>
      </c>
      <c r="C637" s="3">
        <f t="shared" si="64"/>
        <v>538</v>
      </c>
      <c r="D637">
        <f t="shared" si="65"/>
        <v>570</v>
      </c>
      <c r="E637">
        <f t="shared" si="66"/>
        <v>19</v>
      </c>
      <c r="F637">
        <f t="shared" si="67"/>
        <v>1</v>
      </c>
      <c r="G637">
        <f t="shared" si="70"/>
        <v>2</v>
      </c>
      <c r="H637">
        <f t="shared" si="68"/>
        <v>2</v>
      </c>
      <c r="I637" s="9" t="str">
        <f t="shared" si="69"/>
        <v>122</v>
      </c>
      <c r="Q637" s="1">
        <v>0.16676379572822142</v>
      </c>
      <c r="R637" s="1">
        <v>0.44732951262607645</v>
      </c>
    </row>
    <row r="638" spans="1:18" x14ac:dyDescent="0.35">
      <c r="A638" t="s">
        <v>640</v>
      </c>
      <c r="B638" s="2">
        <v>45439</v>
      </c>
      <c r="C638" s="3">
        <f t="shared" si="64"/>
        <v>399</v>
      </c>
      <c r="D638">
        <f t="shared" si="65"/>
        <v>876</v>
      </c>
      <c r="E638">
        <f t="shared" si="66"/>
        <v>29</v>
      </c>
      <c r="F638">
        <f t="shared" si="67"/>
        <v>2</v>
      </c>
      <c r="G638">
        <f t="shared" si="70"/>
        <v>4</v>
      </c>
      <c r="H638">
        <f t="shared" si="68"/>
        <v>4</v>
      </c>
      <c r="I638" s="9" t="str">
        <f t="shared" si="69"/>
        <v>244</v>
      </c>
      <c r="Q638" s="1">
        <v>0.80347871101251533</v>
      </c>
      <c r="R638" s="1">
        <v>0.4733583057868278</v>
      </c>
    </row>
    <row r="639" spans="1:18" x14ac:dyDescent="0.35">
      <c r="A639" t="s">
        <v>641</v>
      </c>
      <c r="B639" s="2">
        <v>45334</v>
      </c>
      <c r="C639" s="3">
        <f t="shared" si="64"/>
        <v>504</v>
      </c>
      <c r="D639">
        <f t="shared" si="65"/>
        <v>1220</v>
      </c>
      <c r="E639">
        <f t="shared" si="66"/>
        <v>41</v>
      </c>
      <c r="F639">
        <f t="shared" si="67"/>
        <v>1</v>
      </c>
      <c r="G639">
        <f t="shared" si="70"/>
        <v>5</v>
      </c>
      <c r="H639">
        <f t="shared" si="68"/>
        <v>5</v>
      </c>
      <c r="I639" s="9" t="str">
        <f t="shared" si="69"/>
        <v>155</v>
      </c>
      <c r="Q639" s="1">
        <v>0.67324428443201556</v>
      </c>
      <c r="R639" s="1">
        <v>0.8662344900639799</v>
      </c>
    </row>
    <row r="640" spans="1:18" x14ac:dyDescent="0.35">
      <c r="A640" t="s">
        <v>642</v>
      </c>
      <c r="B640" s="2">
        <v>45811</v>
      </c>
      <c r="C640" s="3">
        <f t="shared" si="64"/>
        <v>27</v>
      </c>
      <c r="D640">
        <f t="shared" si="65"/>
        <v>672</v>
      </c>
      <c r="E640">
        <f t="shared" si="66"/>
        <v>22</v>
      </c>
      <c r="F640">
        <f t="shared" si="67"/>
        <v>5</v>
      </c>
      <c r="G640">
        <f t="shared" si="70"/>
        <v>2</v>
      </c>
      <c r="H640">
        <f t="shared" si="68"/>
        <v>2</v>
      </c>
      <c r="I640" s="9" t="str">
        <f t="shared" si="69"/>
        <v>522</v>
      </c>
      <c r="Q640" s="1">
        <v>0.65165611262715573</v>
      </c>
      <c r="R640" s="1">
        <v>0.33890374927777245</v>
      </c>
    </row>
    <row r="641" spans="1:18" x14ac:dyDescent="0.35">
      <c r="A641" t="s">
        <v>643</v>
      </c>
      <c r="B641" s="2">
        <v>45468</v>
      </c>
      <c r="C641" s="3">
        <f t="shared" si="64"/>
        <v>370</v>
      </c>
      <c r="D641">
        <f t="shared" si="65"/>
        <v>1072</v>
      </c>
      <c r="E641">
        <f t="shared" si="66"/>
        <v>36</v>
      </c>
      <c r="F641">
        <f t="shared" si="67"/>
        <v>2</v>
      </c>
      <c r="G641">
        <f t="shared" si="70"/>
        <v>5</v>
      </c>
      <c r="H641">
        <f t="shared" si="68"/>
        <v>5</v>
      </c>
      <c r="I641" s="9" t="str">
        <f t="shared" si="69"/>
        <v>255</v>
      </c>
      <c r="Q641" s="1">
        <v>0.52413691116903005</v>
      </c>
      <c r="R641" s="1">
        <v>0.7855904818421825</v>
      </c>
    </row>
    <row r="642" spans="1:18" x14ac:dyDescent="0.35">
      <c r="A642" t="s">
        <v>644</v>
      </c>
      <c r="B642" s="2">
        <v>45351</v>
      </c>
      <c r="C642" s="3">
        <f t="shared" si="64"/>
        <v>487</v>
      </c>
      <c r="D642">
        <f t="shared" si="65"/>
        <v>509</v>
      </c>
      <c r="E642">
        <f t="shared" si="66"/>
        <v>17</v>
      </c>
      <c r="F642">
        <f t="shared" si="67"/>
        <v>1</v>
      </c>
      <c r="G642">
        <f t="shared" si="70"/>
        <v>2</v>
      </c>
      <c r="H642">
        <f t="shared" si="68"/>
        <v>2</v>
      </c>
      <c r="I642" s="9" t="str">
        <f t="shared" si="69"/>
        <v>122</v>
      </c>
      <c r="Q642" s="1">
        <v>0.75923158310561667</v>
      </c>
      <c r="R642" s="1">
        <v>0.13333345507713512</v>
      </c>
    </row>
    <row r="643" spans="1:18" x14ac:dyDescent="0.35">
      <c r="A643" t="s">
        <v>645</v>
      </c>
      <c r="B643" s="2">
        <v>45639</v>
      </c>
      <c r="C643" s="3">
        <f t="shared" ref="C643:C706" si="71">$S$6-B643</f>
        <v>199</v>
      </c>
      <c r="D643">
        <f t="shared" ref="D643:D706" si="72">ROUND((R643*0.7+Q643*0.3)*(1500-40)+40,0)</f>
        <v>1178</v>
      </c>
      <c r="E643">
        <f t="shared" ref="E643:E706" si="73">ROUND((R643*0.7+Q643*0.3)*(50-1)+1,0)</f>
        <v>39</v>
      </c>
      <c r="F643">
        <f t="shared" ref="F643:F706" si="74">IF(C643&lt;=$M$4,5,IF(C643&lt;=$M$9,4,IF(C643&lt;=$M$5,3,IF(C643&lt;=$M$6,2,1))))</f>
        <v>4</v>
      </c>
      <c r="G643">
        <f t="shared" si="70"/>
        <v>5</v>
      </c>
      <c r="H643">
        <f t="shared" ref="H643:H706" si="75">IF(D643&lt;=$M$24,1,IF(D643&lt;=$M$25,2,IF(D643&lt;=$M$29,3,IF(D643&lt;=$M$26,4,5))))</f>
        <v>5</v>
      </c>
      <c r="I643" s="9" t="str">
        <f t="shared" ref="I643:I706" si="76">CONCATENATE(F643,G643,H643)</f>
        <v>455</v>
      </c>
      <c r="Q643" s="1">
        <v>0.60333341287821818</v>
      </c>
      <c r="R643" s="1">
        <v>0.85480182607006616</v>
      </c>
    </row>
    <row r="644" spans="1:18" x14ac:dyDescent="0.35">
      <c r="A644" t="s">
        <v>646</v>
      </c>
      <c r="B644" s="2">
        <v>45837</v>
      </c>
      <c r="C644" s="3">
        <f t="shared" si="71"/>
        <v>1</v>
      </c>
      <c r="D644">
        <f t="shared" si="72"/>
        <v>444</v>
      </c>
      <c r="E644">
        <f t="shared" si="73"/>
        <v>15</v>
      </c>
      <c r="F644">
        <f t="shared" si="74"/>
        <v>5</v>
      </c>
      <c r="G644">
        <f t="shared" ref="G644:G707" si="77">IF(E644&lt;=$M$14,1,IF(E644&lt;=$M$15,2,IF(E644&lt;=$M$19,3,IF(E644&lt;=$M$16,4,5))))</f>
        <v>1</v>
      </c>
      <c r="H644">
        <f t="shared" si="75"/>
        <v>1</v>
      </c>
      <c r="I644" s="9" t="str">
        <f t="shared" si="76"/>
        <v>511</v>
      </c>
      <c r="Q644" s="1">
        <v>0.65335783204371056</v>
      </c>
      <c r="R644" s="1">
        <v>0.11560360682855431</v>
      </c>
    </row>
    <row r="645" spans="1:18" x14ac:dyDescent="0.35">
      <c r="A645" t="s">
        <v>647</v>
      </c>
      <c r="B645" s="2">
        <v>45299</v>
      </c>
      <c r="C645" s="3">
        <f t="shared" si="71"/>
        <v>539</v>
      </c>
      <c r="D645">
        <f t="shared" si="72"/>
        <v>829</v>
      </c>
      <c r="E645">
        <f t="shared" si="73"/>
        <v>27</v>
      </c>
      <c r="F645">
        <f t="shared" si="74"/>
        <v>1</v>
      </c>
      <c r="G645">
        <f t="shared" si="77"/>
        <v>4</v>
      </c>
      <c r="H645">
        <f t="shared" si="75"/>
        <v>4</v>
      </c>
      <c r="I645" s="9" t="str">
        <f t="shared" si="76"/>
        <v>144</v>
      </c>
      <c r="Q645" s="1">
        <v>3.6652172947371331E-2</v>
      </c>
      <c r="R645" s="1">
        <v>0.75609344946088408</v>
      </c>
    </row>
    <row r="646" spans="1:18" x14ac:dyDescent="0.35">
      <c r="A646" t="s">
        <v>648</v>
      </c>
      <c r="B646" s="2">
        <v>45551</v>
      </c>
      <c r="C646" s="3">
        <f t="shared" si="71"/>
        <v>287</v>
      </c>
      <c r="D646">
        <f t="shared" si="72"/>
        <v>409</v>
      </c>
      <c r="E646">
        <f t="shared" si="73"/>
        <v>13</v>
      </c>
      <c r="F646">
        <f t="shared" si="74"/>
        <v>2</v>
      </c>
      <c r="G646">
        <f t="shared" si="77"/>
        <v>1</v>
      </c>
      <c r="H646">
        <f t="shared" si="75"/>
        <v>1</v>
      </c>
      <c r="I646" s="9" t="str">
        <f t="shared" si="76"/>
        <v>211</v>
      </c>
      <c r="Q646" s="1">
        <v>0.22336561820667722</v>
      </c>
      <c r="R646" s="1">
        <v>0.26502776532111449</v>
      </c>
    </row>
    <row r="647" spans="1:18" x14ac:dyDescent="0.35">
      <c r="A647" t="s">
        <v>649</v>
      </c>
      <c r="B647" s="2">
        <v>45353</v>
      </c>
      <c r="C647" s="3">
        <f t="shared" si="71"/>
        <v>485</v>
      </c>
      <c r="D647">
        <f t="shared" si="72"/>
        <v>704</v>
      </c>
      <c r="E647">
        <f t="shared" si="73"/>
        <v>23</v>
      </c>
      <c r="F647">
        <f t="shared" si="74"/>
        <v>1</v>
      </c>
      <c r="G647">
        <f t="shared" si="77"/>
        <v>2</v>
      </c>
      <c r="H647">
        <f t="shared" si="75"/>
        <v>2</v>
      </c>
      <c r="I647" s="9" t="str">
        <f t="shared" si="76"/>
        <v>122</v>
      </c>
      <c r="Q647" s="1">
        <v>0.52709361048689407</v>
      </c>
      <c r="R647" s="1">
        <v>0.42355996425864162</v>
      </c>
    </row>
    <row r="648" spans="1:18" x14ac:dyDescent="0.35">
      <c r="A648" t="s">
        <v>650</v>
      </c>
      <c r="B648" s="2">
        <v>45715</v>
      </c>
      <c r="C648" s="3">
        <f t="shared" si="71"/>
        <v>123</v>
      </c>
      <c r="D648">
        <f t="shared" si="72"/>
        <v>1028</v>
      </c>
      <c r="E648">
        <f t="shared" si="73"/>
        <v>34</v>
      </c>
      <c r="F648">
        <f t="shared" si="74"/>
        <v>4</v>
      </c>
      <c r="G648">
        <f t="shared" si="77"/>
        <v>4</v>
      </c>
      <c r="H648">
        <f t="shared" si="75"/>
        <v>4</v>
      </c>
      <c r="I648" s="9" t="str">
        <f t="shared" si="76"/>
        <v>444</v>
      </c>
      <c r="Q648" s="1">
        <v>0.83918320302024585</v>
      </c>
      <c r="R648" s="1">
        <v>0.6070222927745379</v>
      </c>
    </row>
    <row r="649" spans="1:18" x14ac:dyDescent="0.35">
      <c r="A649" t="s">
        <v>651</v>
      </c>
      <c r="B649" s="2">
        <v>45456</v>
      </c>
      <c r="C649" s="3">
        <f t="shared" si="71"/>
        <v>382</v>
      </c>
      <c r="D649">
        <f t="shared" si="72"/>
        <v>1334</v>
      </c>
      <c r="E649">
        <f t="shared" si="73"/>
        <v>44</v>
      </c>
      <c r="F649">
        <f t="shared" si="74"/>
        <v>2</v>
      </c>
      <c r="G649">
        <f t="shared" si="77"/>
        <v>5</v>
      </c>
      <c r="H649">
        <f t="shared" si="75"/>
        <v>5</v>
      </c>
      <c r="I649" s="9" t="str">
        <f t="shared" si="76"/>
        <v>255</v>
      </c>
      <c r="Q649" s="1">
        <v>0.9194081743377176</v>
      </c>
      <c r="R649" s="1">
        <v>0.87176714939543942</v>
      </c>
    </row>
    <row r="650" spans="1:18" x14ac:dyDescent="0.35">
      <c r="A650" t="s">
        <v>652</v>
      </c>
      <c r="B650" s="2">
        <v>45610</v>
      </c>
      <c r="C650" s="3">
        <f t="shared" si="71"/>
        <v>228</v>
      </c>
      <c r="D650">
        <f t="shared" si="72"/>
        <v>1203</v>
      </c>
      <c r="E650">
        <f t="shared" si="73"/>
        <v>40</v>
      </c>
      <c r="F650">
        <f t="shared" si="74"/>
        <v>4</v>
      </c>
      <c r="G650">
        <f t="shared" si="77"/>
        <v>5</v>
      </c>
      <c r="H650">
        <f t="shared" si="75"/>
        <v>5</v>
      </c>
      <c r="I650" s="9" t="str">
        <f t="shared" si="76"/>
        <v>455</v>
      </c>
      <c r="Q650" s="1">
        <v>0.77016159449429955</v>
      </c>
      <c r="R650" s="1">
        <v>0.80759569461055136</v>
      </c>
    </row>
    <row r="651" spans="1:18" x14ac:dyDescent="0.35">
      <c r="A651" t="s">
        <v>653</v>
      </c>
      <c r="B651" s="2">
        <v>45789</v>
      </c>
      <c r="C651" s="3">
        <f t="shared" si="71"/>
        <v>49</v>
      </c>
      <c r="D651">
        <f t="shared" si="72"/>
        <v>920</v>
      </c>
      <c r="E651">
        <f t="shared" si="73"/>
        <v>31</v>
      </c>
      <c r="F651">
        <f t="shared" si="74"/>
        <v>5</v>
      </c>
      <c r="G651">
        <f t="shared" si="77"/>
        <v>4</v>
      </c>
      <c r="H651">
        <f t="shared" si="75"/>
        <v>4</v>
      </c>
      <c r="I651" s="9" t="str">
        <f t="shared" si="76"/>
        <v>544</v>
      </c>
      <c r="Q651" s="1">
        <v>7.7227643589764305E-2</v>
      </c>
      <c r="R651" s="1">
        <v>0.82795277866935146</v>
      </c>
    </row>
    <row r="652" spans="1:18" x14ac:dyDescent="0.35">
      <c r="A652" t="s">
        <v>654</v>
      </c>
      <c r="B652" s="2">
        <v>45507</v>
      </c>
      <c r="C652" s="3">
        <f t="shared" si="71"/>
        <v>331</v>
      </c>
      <c r="D652">
        <f t="shared" si="72"/>
        <v>880</v>
      </c>
      <c r="E652">
        <f t="shared" si="73"/>
        <v>29</v>
      </c>
      <c r="F652">
        <f t="shared" si="74"/>
        <v>2</v>
      </c>
      <c r="G652">
        <f t="shared" si="77"/>
        <v>4</v>
      </c>
      <c r="H652">
        <f t="shared" si="75"/>
        <v>4</v>
      </c>
      <c r="I652" s="9" t="str">
        <f t="shared" si="76"/>
        <v>244</v>
      </c>
      <c r="Q652" s="1">
        <v>0.7269767545630571</v>
      </c>
      <c r="R652" s="1">
        <v>0.5104569455958593</v>
      </c>
    </row>
    <row r="653" spans="1:18" x14ac:dyDescent="0.35">
      <c r="A653" t="s">
        <v>655</v>
      </c>
      <c r="B653" s="2">
        <v>45341</v>
      </c>
      <c r="C653" s="3">
        <f t="shared" si="71"/>
        <v>497</v>
      </c>
      <c r="D653">
        <f t="shared" si="72"/>
        <v>729</v>
      </c>
      <c r="E653">
        <f t="shared" si="73"/>
        <v>24</v>
      </c>
      <c r="F653">
        <f t="shared" si="74"/>
        <v>1</v>
      </c>
      <c r="G653">
        <f t="shared" si="77"/>
        <v>2</v>
      </c>
      <c r="H653">
        <f t="shared" si="75"/>
        <v>2</v>
      </c>
      <c r="I653" s="9" t="str">
        <f t="shared" si="76"/>
        <v>122</v>
      </c>
      <c r="Q653" s="1">
        <v>0.83258232801045584</v>
      </c>
      <c r="R653" s="1">
        <v>0.31741329417442632</v>
      </c>
    </row>
    <row r="654" spans="1:18" x14ac:dyDescent="0.35">
      <c r="A654" t="s">
        <v>656</v>
      </c>
      <c r="B654" s="2">
        <v>45648</v>
      </c>
      <c r="C654" s="3">
        <f t="shared" si="71"/>
        <v>190</v>
      </c>
      <c r="D654">
        <f t="shared" si="72"/>
        <v>163</v>
      </c>
      <c r="E654">
        <f t="shared" si="73"/>
        <v>5</v>
      </c>
      <c r="F654">
        <f t="shared" si="74"/>
        <v>4</v>
      </c>
      <c r="G654">
        <f t="shared" si="77"/>
        <v>1</v>
      </c>
      <c r="H654">
        <f t="shared" si="75"/>
        <v>1</v>
      </c>
      <c r="I654" s="9" t="str">
        <f t="shared" si="76"/>
        <v>411</v>
      </c>
      <c r="Q654" s="1">
        <v>8.5421025547175788E-2</v>
      </c>
      <c r="R654" s="1">
        <v>8.3598359907525177E-2</v>
      </c>
    </row>
    <row r="655" spans="1:18" x14ac:dyDescent="0.35">
      <c r="A655" t="s">
        <v>657</v>
      </c>
      <c r="B655" s="2">
        <v>45602</v>
      </c>
      <c r="C655" s="3">
        <f t="shared" si="71"/>
        <v>236</v>
      </c>
      <c r="D655">
        <f t="shared" si="72"/>
        <v>1275</v>
      </c>
      <c r="E655">
        <f t="shared" si="73"/>
        <v>42</v>
      </c>
      <c r="F655">
        <f t="shared" si="74"/>
        <v>4</v>
      </c>
      <c r="G655">
        <f t="shared" si="77"/>
        <v>5</v>
      </c>
      <c r="H655">
        <f t="shared" si="75"/>
        <v>5</v>
      </c>
      <c r="I655" s="9" t="str">
        <f t="shared" si="76"/>
        <v>455</v>
      </c>
      <c r="Q655" s="1">
        <v>0.90195101840682301</v>
      </c>
      <c r="R655" s="1">
        <v>0.82151806490492263</v>
      </c>
    </row>
    <row r="656" spans="1:18" x14ac:dyDescent="0.35">
      <c r="A656" t="s">
        <v>658</v>
      </c>
      <c r="B656" s="2">
        <v>45380</v>
      </c>
      <c r="C656" s="3">
        <f t="shared" si="71"/>
        <v>458</v>
      </c>
      <c r="D656">
        <f t="shared" si="72"/>
        <v>224</v>
      </c>
      <c r="E656">
        <f t="shared" si="73"/>
        <v>7</v>
      </c>
      <c r="F656">
        <f t="shared" si="74"/>
        <v>1</v>
      </c>
      <c r="G656">
        <f t="shared" si="77"/>
        <v>1</v>
      </c>
      <c r="H656">
        <f t="shared" si="75"/>
        <v>1</v>
      </c>
      <c r="I656" s="9" t="str">
        <f t="shared" si="76"/>
        <v>111</v>
      </c>
      <c r="Q656" s="1">
        <v>0.26968279646146132</v>
      </c>
      <c r="R656" s="1">
        <v>6.4463921928871737E-2</v>
      </c>
    </row>
    <row r="657" spans="1:18" x14ac:dyDescent="0.35">
      <c r="A657" t="s">
        <v>659</v>
      </c>
      <c r="B657" s="2">
        <v>45587</v>
      </c>
      <c r="C657" s="3">
        <f t="shared" si="71"/>
        <v>251</v>
      </c>
      <c r="D657">
        <f t="shared" si="72"/>
        <v>286</v>
      </c>
      <c r="E657">
        <f t="shared" si="73"/>
        <v>9</v>
      </c>
      <c r="F657">
        <f t="shared" si="74"/>
        <v>4</v>
      </c>
      <c r="G657">
        <f t="shared" si="77"/>
        <v>1</v>
      </c>
      <c r="H657">
        <f t="shared" si="75"/>
        <v>1</v>
      </c>
      <c r="I657" s="9" t="str">
        <f t="shared" si="76"/>
        <v>411</v>
      </c>
      <c r="Q657" s="1">
        <v>0.50966054069481481</v>
      </c>
      <c r="R657" s="1">
        <v>2.2437001684278424E-2</v>
      </c>
    </row>
    <row r="658" spans="1:18" x14ac:dyDescent="0.35">
      <c r="A658" t="s">
        <v>660</v>
      </c>
      <c r="B658" s="2">
        <v>45605</v>
      </c>
      <c r="C658" s="3">
        <f t="shared" si="71"/>
        <v>233</v>
      </c>
      <c r="D658">
        <f t="shared" si="72"/>
        <v>1105</v>
      </c>
      <c r="E658">
        <f t="shared" si="73"/>
        <v>37</v>
      </c>
      <c r="F658">
        <f t="shared" si="74"/>
        <v>4</v>
      </c>
      <c r="G658">
        <f t="shared" si="77"/>
        <v>5</v>
      </c>
      <c r="H658">
        <f t="shared" si="75"/>
        <v>5</v>
      </c>
      <c r="I658" s="9" t="str">
        <f t="shared" si="76"/>
        <v>455</v>
      </c>
      <c r="Q658" s="1">
        <v>0.23811646758806926</v>
      </c>
      <c r="R658" s="1">
        <v>0.93984043800270389</v>
      </c>
    </row>
    <row r="659" spans="1:18" x14ac:dyDescent="0.35">
      <c r="A659" t="s">
        <v>661</v>
      </c>
      <c r="B659" s="2">
        <v>45800</v>
      </c>
      <c r="C659" s="3">
        <f t="shared" si="71"/>
        <v>38</v>
      </c>
      <c r="D659">
        <f t="shared" si="72"/>
        <v>142</v>
      </c>
      <c r="E659">
        <f t="shared" si="73"/>
        <v>4</v>
      </c>
      <c r="F659">
        <f t="shared" si="74"/>
        <v>5</v>
      </c>
      <c r="G659">
        <f t="shared" si="77"/>
        <v>1</v>
      </c>
      <c r="H659">
        <f t="shared" si="75"/>
        <v>1</v>
      </c>
      <c r="I659" s="9" t="str">
        <f t="shared" si="76"/>
        <v>511</v>
      </c>
      <c r="Q659" s="1">
        <v>4.4777534074265324E-2</v>
      </c>
      <c r="R659" s="1">
        <v>8.0605946162694009E-2</v>
      </c>
    </row>
    <row r="660" spans="1:18" x14ac:dyDescent="0.35">
      <c r="A660" t="s">
        <v>662</v>
      </c>
      <c r="B660" s="2">
        <v>45765</v>
      </c>
      <c r="C660" s="3">
        <f t="shared" si="71"/>
        <v>73</v>
      </c>
      <c r="D660">
        <f t="shared" si="72"/>
        <v>398</v>
      </c>
      <c r="E660">
        <f t="shared" si="73"/>
        <v>13</v>
      </c>
      <c r="F660">
        <f t="shared" si="74"/>
        <v>5</v>
      </c>
      <c r="G660">
        <f t="shared" si="77"/>
        <v>1</v>
      </c>
      <c r="H660">
        <f t="shared" si="75"/>
        <v>1</v>
      </c>
      <c r="I660" s="9" t="str">
        <f t="shared" si="76"/>
        <v>511</v>
      </c>
      <c r="Q660" s="1">
        <v>0.59462248186992239</v>
      </c>
      <c r="R660" s="1">
        <v>9.5119103072192512E-2</v>
      </c>
    </row>
    <row r="661" spans="1:18" x14ac:dyDescent="0.35">
      <c r="A661" t="s">
        <v>663</v>
      </c>
      <c r="B661" s="2">
        <v>45435</v>
      </c>
      <c r="C661" s="3">
        <f t="shared" si="71"/>
        <v>403</v>
      </c>
      <c r="D661">
        <f t="shared" si="72"/>
        <v>159</v>
      </c>
      <c r="E661">
        <f t="shared" si="73"/>
        <v>5</v>
      </c>
      <c r="F661">
        <f t="shared" si="74"/>
        <v>2</v>
      </c>
      <c r="G661">
        <f t="shared" si="77"/>
        <v>1</v>
      </c>
      <c r="H661">
        <f t="shared" si="75"/>
        <v>1</v>
      </c>
      <c r="I661" s="9" t="str">
        <f t="shared" si="76"/>
        <v>211</v>
      </c>
      <c r="Q661" s="1">
        <v>0.26941370108243778</v>
      </c>
      <c r="R661" s="1">
        <v>1.1051039657506978E-3</v>
      </c>
    </row>
    <row r="662" spans="1:18" x14ac:dyDescent="0.35">
      <c r="A662" t="s">
        <v>664</v>
      </c>
      <c r="B662" s="2">
        <v>45453</v>
      </c>
      <c r="C662" s="3">
        <f t="shared" si="71"/>
        <v>385</v>
      </c>
      <c r="D662">
        <f t="shared" si="72"/>
        <v>834</v>
      </c>
      <c r="E662">
        <f t="shared" si="73"/>
        <v>28</v>
      </c>
      <c r="F662">
        <f t="shared" si="74"/>
        <v>2</v>
      </c>
      <c r="G662">
        <f t="shared" si="77"/>
        <v>4</v>
      </c>
      <c r="H662">
        <f t="shared" si="75"/>
        <v>4</v>
      </c>
      <c r="I662" s="9" t="str">
        <f t="shared" si="76"/>
        <v>244</v>
      </c>
      <c r="Q662" s="1">
        <v>0.41654481177150338</v>
      </c>
      <c r="R662" s="1">
        <v>0.59825240312708106</v>
      </c>
    </row>
    <row r="663" spans="1:18" x14ac:dyDescent="0.35">
      <c r="A663" t="s">
        <v>665</v>
      </c>
      <c r="B663" s="2">
        <v>45754</v>
      </c>
      <c r="C663" s="3">
        <f t="shared" si="71"/>
        <v>84</v>
      </c>
      <c r="D663">
        <f t="shared" si="72"/>
        <v>1246</v>
      </c>
      <c r="E663">
        <f t="shared" si="73"/>
        <v>41</v>
      </c>
      <c r="F663">
        <f t="shared" si="74"/>
        <v>5</v>
      </c>
      <c r="G663">
        <f t="shared" si="77"/>
        <v>5</v>
      </c>
      <c r="H663">
        <f t="shared" si="75"/>
        <v>5</v>
      </c>
      <c r="I663" s="9" t="str">
        <f t="shared" si="76"/>
        <v>555</v>
      </c>
      <c r="Q663" s="1">
        <v>0.47242777953461956</v>
      </c>
      <c r="R663" s="1">
        <v>0.97742562569734281</v>
      </c>
    </row>
    <row r="664" spans="1:18" x14ac:dyDescent="0.35">
      <c r="A664" t="s">
        <v>666</v>
      </c>
      <c r="B664" s="2">
        <v>45642</v>
      </c>
      <c r="C664" s="3">
        <f t="shared" si="71"/>
        <v>196</v>
      </c>
      <c r="D664">
        <f t="shared" si="72"/>
        <v>948</v>
      </c>
      <c r="E664">
        <f t="shared" si="73"/>
        <v>31</v>
      </c>
      <c r="F664">
        <f t="shared" si="74"/>
        <v>4</v>
      </c>
      <c r="G664">
        <f t="shared" si="77"/>
        <v>4</v>
      </c>
      <c r="H664">
        <f t="shared" si="75"/>
        <v>4</v>
      </c>
      <c r="I664" s="9" t="str">
        <f t="shared" si="76"/>
        <v>444</v>
      </c>
      <c r="Q664" s="1">
        <v>0.31166139702251305</v>
      </c>
      <c r="R664" s="1">
        <v>0.75481707782613416</v>
      </c>
    </row>
    <row r="665" spans="1:18" x14ac:dyDescent="0.35">
      <c r="A665" t="s">
        <v>667</v>
      </c>
      <c r="B665" s="2">
        <v>45546</v>
      </c>
      <c r="C665" s="3">
        <f t="shared" si="71"/>
        <v>292</v>
      </c>
      <c r="D665">
        <f t="shared" si="72"/>
        <v>297</v>
      </c>
      <c r="E665">
        <f t="shared" si="73"/>
        <v>10</v>
      </c>
      <c r="F665">
        <f t="shared" si="74"/>
        <v>2</v>
      </c>
      <c r="G665">
        <f t="shared" si="77"/>
        <v>1</v>
      </c>
      <c r="H665">
        <f t="shared" si="75"/>
        <v>1</v>
      </c>
      <c r="I665" s="9" t="str">
        <f t="shared" si="76"/>
        <v>211</v>
      </c>
      <c r="Q665" s="1">
        <v>0.16852499076518557</v>
      </c>
      <c r="R665" s="1">
        <v>0.17933795933113639</v>
      </c>
    </row>
    <row r="666" spans="1:18" x14ac:dyDescent="0.35">
      <c r="A666" t="s">
        <v>668</v>
      </c>
      <c r="B666" s="2">
        <v>45611</v>
      </c>
      <c r="C666" s="3">
        <f t="shared" si="71"/>
        <v>227</v>
      </c>
      <c r="D666">
        <f t="shared" si="72"/>
        <v>1196</v>
      </c>
      <c r="E666">
        <f t="shared" si="73"/>
        <v>40</v>
      </c>
      <c r="F666">
        <f t="shared" si="74"/>
        <v>4</v>
      </c>
      <c r="G666">
        <f t="shared" si="77"/>
        <v>5</v>
      </c>
      <c r="H666">
        <f t="shared" si="75"/>
        <v>5</v>
      </c>
      <c r="I666" s="9" t="str">
        <f t="shared" si="76"/>
        <v>455</v>
      </c>
      <c r="Q666" s="1">
        <v>0.64600742383945797</v>
      </c>
      <c r="R666" s="1">
        <v>0.85420199296156996</v>
      </c>
    </row>
    <row r="667" spans="1:18" x14ac:dyDescent="0.35">
      <c r="A667" t="s">
        <v>669</v>
      </c>
      <c r="B667" s="2">
        <v>45808</v>
      </c>
      <c r="C667" s="3">
        <f t="shared" si="71"/>
        <v>30</v>
      </c>
      <c r="D667">
        <f t="shared" si="72"/>
        <v>379</v>
      </c>
      <c r="E667">
        <f t="shared" si="73"/>
        <v>12</v>
      </c>
      <c r="F667">
        <f t="shared" si="74"/>
        <v>5</v>
      </c>
      <c r="G667">
        <f t="shared" si="77"/>
        <v>1</v>
      </c>
      <c r="H667">
        <f t="shared" si="75"/>
        <v>1</v>
      </c>
      <c r="I667" s="9" t="str">
        <f t="shared" si="76"/>
        <v>511</v>
      </c>
      <c r="Q667" s="1">
        <v>0.62566304253896776</v>
      </c>
      <c r="R667" s="1">
        <v>6.3772072253222678E-2</v>
      </c>
    </row>
    <row r="668" spans="1:18" x14ac:dyDescent="0.35">
      <c r="A668" t="s">
        <v>670</v>
      </c>
      <c r="B668" s="2">
        <v>45786</v>
      </c>
      <c r="C668" s="3">
        <f t="shared" si="71"/>
        <v>52</v>
      </c>
      <c r="D668">
        <f t="shared" si="72"/>
        <v>444</v>
      </c>
      <c r="E668">
        <f t="shared" si="73"/>
        <v>15</v>
      </c>
      <c r="F668">
        <f t="shared" si="74"/>
        <v>5</v>
      </c>
      <c r="G668">
        <f t="shared" si="77"/>
        <v>1</v>
      </c>
      <c r="H668">
        <f t="shared" si="75"/>
        <v>1</v>
      </c>
      <c r="I668" s="9" t="str">
        <f t="shared" si="76"/>
        <v>511</v>
      </c>
      <c r="Q668" s="1">
        <v>0.72271122280120892</v>
      </c>
      <c r="R668" s="1">
        <v>8.5175148299076242E-2</v>
      </c>
    </row>
    <row r="669" spans="1:18" x14ac:dyDescent="0.35">
      <c r="A669" t="s">
        <v>671</v>
      </c>
      <c r="B669" s="2">
        <v>45337</v>
      </c>
      <c r="C669" s="3">
        <f t="shared" si="71"/>
        <v>501</v>
      </c>
      <c r="D669">
        <f t="shared" si="72"/>
        <v>578</v>
      </c>
      <c r="E669">
        <f t="shared" si="73"/>
        <v>19</v>
      </c>
      <c r="F669">
        <f t="shared" si="74"/>
        <v>1</v>
      </c>
      <c r="G669">
        <f t="shared" si="77"/>
        <v>2</v>
      </c>
      <c r="H669">
        <f t="shared" si="75"/>
        <v>2</v>
      </c>
      <c r="I669" s="9" t="str">
        <f t="shared" si="76"/>
        <v>122</v>
      </c>
      <c r="Q669" s="1">
        <v>0.36267991687382806</v>
      </c>
      <c r="R669" s="1">
        <v>0.37063691689202027</v>
      </c>
    </row>
    <row r="670" spans="1:18" x14ac:dyDescent="0.35">
      <c r="A670" t="s">
        <v>672</v>
      </c>
      <c r="B670" s="2">
        <v>45382</v>
      </c>
      <c r="C670" s="3">
        <f t="shared" si="71"/>
        <v>456</v>
      </c>
      <c r="D670">
        <f t="shared" si="72"/>
        <v>355</v>
      </c>
      <c r="E670">
        <f t="shared" si="73"/>
        <v>12</v>
      </c>
      <c r="F670">
        <f t="shared" si="74"/>
        <v>1</v>
      </c>
      <c r="G670">
        <f t="shared" si="77"/>
        <v>1</v>
      </c>
      <c r="H670">
        <f t="shared" si="75"/>
        <v>1</v>
      </c>
      <c r="I670" s="9" t="str">
        <f t="shared" si="76"/>
        <v>111</v>
      </c>
      <c r="Q670" s="1">
        <v>0.37390373546532596</v>
      </c>
      <c r="R670" s="1">
        <v>0.14805956038377055</v>
      </c>
    </row>
    <row r="671" spans="1:18" x14ac:dyDescent="0.35">
      <c r="A671" t="s">
        <v>673</v>
      </c>
      <c r="B671" s="2">
        <v>45442</v>
      </c>
      <c r="C671" s="3">
        <f t="shared" si="71"/>
        <v>396</v>
      </c>
      <c r="D671">
        <f t="shared" si="72"/>
        <v>596</v>
      </c>
      <c r="E671">
        <f t="shared" si="73"/>
        <v>20</v>
      </c>
      <c r="F671">
        <f t="shared" si="74"/>
        <v>2</v>
      </c>
      <c r="G671">
        <f t="shared" si="77"/>
        <v>2</v>
      </c>
      <c r="H671">
        <f t="shared" si="75"/>
        <v>2</v>
      </c>
      <c r="I671" s="9" t="str">
        <f t="shared" si="76"/>
        <v>222</v>
      </c>
      <c r="Q671" s="1">
        <v>0.89785953735589563</v>
      </c>
      <c r="R671" s="1">
        <v>0.15942783851675923</v>
      </c>
    </row>
    <row r="672" spans="1:18" x14ac:dyDescent="0.35">
      <c r="A672" t="s">
        <v>674</v>
      </c>
      <c r="B672" s="2">
        <v>45320</v>
      </c>
      <c r="C672" s="3">
        <f t="shared" si="71"/>
        <v>518</v>
      </c>
      <c r="D672">
        <f t="shared" si="72"/>
        <v>769</v>
      </c>
      <c r="E672">
        <f t="shared" si="73"/>
        <v>25</v>
      </c>
      <c r="F672">
        <f t="shared" si="74"/>
        <v>1</v>
      </c>
      <c r="G672">
        <f t="shared" si="77"/>
        <v>2</v>
      </c>
      <c r="H672">
        <f t="shared" si="75"/>
        <v>2</v>
      </c>
      <c r="I672" s="9" t="str">
        <f t="shared" si="76"/>
        <v>122</v>
      </c>
      <c r="Q672" s="1">
        <v>0.23027772005448777</v>
      </c>
      <c r="R672" s="1">
        <v>0.61434440653650513</v>
      </c>
    </row>
    <row r="673" spans="1:18" x14ac:dyDescent="0.35">
      <c r="A673" t="s">
        <v>675</v>
      </c>
      <c r="B673" s="2">
        <v>45740</v>
      </c>
      <c r="C673" s="3">
        <f t="shared" si="71"/>
        <v>98</v>
      </c>
      <c r="D673">
        <f t="shared" si="72"/>
        <v>1268</v>
      </c>
      <c r="E673">
        <f t="shared" si="73"/>
        <v>42</v>
      </c>
      <c r="F673">
        <f t="shared" si="74"/>
        <v>5</v>
      </c>
      <c r="G673">
        <f t="shared" si="77"/>
        <v>5</v>
      </c>
      <c r="H673">
        <f t="shared" si="75"/>
        <v>5</v>
      </c>
      <c r="I673" s="9" t="str">
        <f t="shared" si="76"/>
        <v>555</v>
      </c>
      <c r="Q673" s="1">
        <v>0.93351873737682256</v>
      </c>
      <c r="R673" s="1">
        <v>0.80173196485996601</v>
      </c>
    </row>
    <row r="674" spans="1:18" x14ac:dyDescent="0.35">
      <c r="A674" t="s">
        <v>676</v>
      </c>
      <c r="B674" s="2">
        <v>45397</v>
      </c>
      <c r="C674" s="3">
        <f t="shared" si="71"/>
        <v>441</v>
      </c>
      <c r="D674">
        <f t="shared" si="72"/>
        <v>445</v>
      </c>
      <c r="E674">
        <f t="shared" si="73"/>
        <v>15</v>
      </c>
      <c r="F674">
        <f t="shared" si="74"/>
        <v>1</v>
      </c>
      <c r="G674">
        <f t="shared" si="77"/>
        <v>1</v>
      </c>
      <c r="H674">
        <f t="shared" si="75"/>
        <v>1</v>
      </c>
      <c r="I674" s="9" t="str">
        <f t="shared" si="76"/>
        <v>111</v>
      </c>
      <c r="Q674" s="1">
        <v>0.46310960142621194</v>
      </c>
      <c r="R674" s="1">
        <v>0.19778889036104097</v>
      </c>
    </row>
    <row r="675" spans="1:18" x14ac:dyDescent="0.35">
      <c r="A675" t="s">
        <v>677</v>
      </c>
      <c r="B675" s="2">
        <v>45681</v>
      </c>
      <c r="C675" s="3">
        <f t="shared" si="71"/>
        <v>157</v>
      </c>
      <c r="D675">
        <f t="shared" si="72"/>
        <v>650</v>
      </c>
      <c r="E675">
        <f t="shared" si="73"/>
        <v>21</v>
      </c>
      <c r="F675">
        <f t="shared" si="74"/>
        <v>4</v>
      </c>
      <c r="G675">
        <f t="shared" si="77"/>
        <v>2</v>
      </c>
      <c r="H675">
        <f t="shared" si="75"/>
        <v>2</v>
      </c>
      <c r="I675" s="9" t="str">
        <f t="shared" si="76"/>
        <v>422</v>
      </c>
      <c r="Q675" s="1">
        <v>0.45010173680799492</v>
      </c>
      <c r="R675" s="1">
        <v>0.40366846373044152</v>
      </c>
    </row>
    <row r="676" spans="1:18" x14ac:dyDescent="0.35">
      <c r="A676" t="s">
        <v>678</v>
      </c>
      <c r="B676" s="2">
        <v>45331</v>
      </c>
      <c r="C676" s="3">
        <f t="shared" si="71"/>
        <v>507</v>
      </c>
      <c r="D676">
        <f t="shared" si="72"/>
        <v>901</v>
      </c>
      <c r="E676">
        <f t="shared" si="73"/>
        <v>30</v>
      </c>
      <c r="F676">
        <f t="shared" si="74"/>
        <v>1</v>
      </c>
      <c r="G676">
        <f t="shared" si="77"/>
        <v>4</v>
      </c>
      <c r="H676">
        <f t="shared" si="75"/>
        <v>4</v>
      </c>
      <c r="I676" s="9" t="str">
        <f t="shared" si="76"/>
        <v>144</v>
      </c>
      <c r="Q676" s="1">
        <v>0.59097141532188513</v>
      </c>
      <c r="R676" s="1">
        <v>0.58900110973010733</v>
      </c>
    </row>
    <row r="677" spans="1:18" x14ac:dyDescent="0.35">
      <c r="A677" t="s">
        <v>679</v>
      </c>
      <c r="B677" s="2">
        <v>45755</v>
      </c>
      <c r="C677" s="3">
        <f t="shared" si="71"/>
        <v>83</v>
      </c>
      <c r="D677">
        <f t="shared" si="72"/>
        <v>988</v>
      </c>
      <c r="E677">
        <f t="shared" si="73"/>
        <v>33</v>
      </c>
      <c r="F677">
        <f t="shared" si="74"/>
        <v>5</v>
      </c>
      <c r="G677">
        <f t="shared" si="77"/>
        <v>4</v>
      </c>
      <c r="H677">
        <f t="shared" si="75"/>
        <v>4</v>
      </c>
      <c r="I677" s="9" t="str">
        <f t="shared" si="76"/>
        <v>544</v>
      </c>
      <c r="Q677" s="1">
        <v>0.47748182684375673</v>
      </c>
      <c r="R677" s="1">
        <v>0.72322199071724369</v>
      </c>
    </row>
    <row r="678" spans="1:18" x14ac:dyDescent="0.35">
      <c r="A678" t="s">
        <v>680</v>
      </c>
      <c r="B678" s="2">
        <v>45549</v>
      </c>
      <c r="C678" s="3">
        <f t="shared" si="71"/>
        <v>289</v>
      </c>
      <c r="D678">
        <f t="shared" si="72"/>
        <v>1097</v>
      </c>
      <c r="E678">
        <f t="shared" si="73"/>
        <v>36</v>
      </c>
      <c r="F678">
        <f t="shared" si="74"/>
        <v>2</v>
      </c>
      <c r="G678">
        <f t="shared" si="77"/>
        <v>5</v>
      </c>
      <c r="H678">
        <f t="shared" si="75"/>
        <v>5</v>
      </c>
      <c r="I678" s="9" t="str">
        <f t="shared" si="76"/>
        <v>255</v>
      </c>
      <c r="Q678" s="1">
        <v>0.85654525287478145</v>
      </c>
      <c r="R678" s="1">
        <v>0.66681880199312638</v>
      </c>
    </row>
    <row r="679" spans="1:18" x14ac:dyDescent="0.35">
      <c r="A679" t="s">
        <v>681</v>
      </c>
      <c r="B679" s="2">
        <v>45642</v>
      </c>
      <c r="C679" s="3">
        <f t="shared" si="71"/>
        <v>196</v>
      </c>
      <c r="D679">
        <f t="shared" si="72"/>
        <v>669</v>
      </c>
      <c r="E679">
        <f t="shared" si="73"/>
        <v>22</v>
      </c>
      <c r="F679">
        <f t="shared" si="74"/>
        <v>4</v>
      </c>
      <c r="G679">
        <f t="shared" si="77"/>
        <v>2</v>
      </c>
      <c r="H679">
        <f t="shared" si="75"/>
        <v>2</v>
      </c>
      <c r="I679" s="9" t="str">
        <f t="shared" si="76"/>
        <v>422</v>
      </c>
      <c r="Q679" s="1">
        <v>0.43688493398625117</v>
      </c>
      <c r="R679" s="1">
        <v>0.42867179111655973</v>
      </c>
    </row>
    <row r="680" spans="1:18" x14ac:dyDescent="0.35">
      <c r="A680" t="s">
        <v>682</v>
      </c>
      <c r="B680" s="2">
        <v>45744</v>
      </c>
      <c r="C680" s="3">
        <f t="shared" si="71"/>
        <v>94</v>
      </c>
      <c r="D680">
        <f t="shared" si="72"/>
        <v>784</v>
      </c>
      <c r="E680">
        <f t="shared" si="73"/>
        <v>26</v>
      </c>
      <c r="F680">
        <f t="shared" si="74"/>
        <v>5</v>
      </c>
      <c r="G680">
        <f t="shared" si="77"/>
        <v>2</v>
      </c>
      <c r="H680">
        <f t="shared" si="75"/>
        <v>4</v>
      </c>
      <c r="I680" s="9" t="str">
        <f t="shared" si="76"/>
        <v>524</v>
      </c>
      <c r="Q680" s="1">
        <v>6.6815482437852736E-2</v>
      </c>
      <c r="R680" s="1">
        <v>0.69896364654894305</v>
      </c>
    </row>
    <row r="681" spans="1:18" x14ac:dyDescent="0.35">
      <c r="A681" t="s">
        <v>683</v>
      </c>
      <c r="B681" s="2">
        <v>45405</v>
      </c>
      <c r="C681" s="3">
        <f t="shared" si="71"/>
        <v>433</v>
      </c>
      <c r="D681">
        <f t="shared" si="72"/>
        <v>245</v>
      </c>
      <c r="E681">
        <f t="shared" si="73"/>
        <v>8</v>
      </c>
      <c r="F681">
        <f t="shared" si="74"/>
        <v>1</v>
      </c>
      <c r="G681">
        <f t="shared" si="77"/>
        <v>1</v>
      </c>
      <c r="H681">
        <f t="shared" si="75"/>
        <v>1</v>
      </c>
      <c r="I681" s="9" t="str">
        <f t="shared" si="76"/>
        <v>111</v>
      </c>
      <c r="Q681" s="1">
        <v>0.28336795087908884</v>
      </c>
      <c r="R681" s="1">
        <v>7.9235226967479755E-2</v>
      </c>
    </row>
    <row r="682" spans="1:18" x14ac:dyDescent="0.35">
      <c r="A682" t="s">
        <v>684</v>
      </c>
      <c r="B682" s="2">
        <v>45313</v>
      </c>
      <c r="C682" s="3">
        <f t="shared" si="71"/>
        <v>525</v>
      </c>
      <c r="D682">
        <f t="shared" si="72"/>
        <v>1027</v>
      </c>
      <c r="E682">
        <f t="shared" si="73"/>
        <v>34</v>
      </c>
      <c r="F682">
        <f t="shared" si="74"/>
        <v>1</v>
      </c>
      <c r="G682">
        <f t="shared" si="77"/>
        <v>4</v>
      </c>
      <c r="H682">
        <f t="shared" si="75"/>
        <v>4</v>
      </c>
      <c r="I682" s="9" t="str">
        <f t="shared" si="76"/>
        <v>144</v>
      </c>
      <c r="Q682" s="1">
        <v>0.52427645819748536</v>
      </c>
      <c r="R682" s="1">
        <v>0.74097155369389733</v>
      </c>
    </row>
    <row r="683" spans="1:18" x14ac:dyDescent="0.35">
      <c r="A683" t="s">
        <v>685</v>
      </c>
      <c r="B683" s="2">
        <v>45776</v>
      </c>
      <c r="C683" s="3">
        <f t="shared" si="71"/>
        <v>62</v>
      </c>
      <c r="D683">
        <f t="shared" si="72"/>
        <v>877</v>
      </c>
      <c r="E683">
        <f t="shared" si="73"/>
        <v>29</v>
      </c>
      <c r="F683">
        <f t="shared" si="74"/>
        <v>5</v>
      </c>
      <c r="G683">
        <f t="shared" si="77"/>
        <v>4</v>
      </c>
      <c r="H683">
        <f t="shared" si="75"/>
        <v>4</v>
      </c>
      <c r="I683" s="9" t="str">
        <f t="shared" si="76"/>
        <v>544</v>
      </c>
      <c r="Q683" s="1">
        <v>0.20899143294663602</v>
      </c>
      <c r="R683" s="1">
        <v>0.7289713555280849</v>
      </c>
    </row>
    <row r="684" spans="1:18" x14ac:dyDescent="0.35">
      <c r="A684" t="s">
        <v>686</v>
      </c>
      <c r="B684" s="2">
        <v>45703</v>
      </c>
      <c r="C684" s="3">
        <f t="shared" si="71"/>
        <v>135</v>
      </c>
      <c r="D684">
        <f t="shared" si="72"/>
        <v>1120</v>
      </c>
      <c r="E684">
        <f t="shared" si="73"/>
        <v>37</v>
      </c>
      <c r="F684">
        <f t="shared" si="74"/>
        <v>4</v>
      </c>
      <c r="G684">
        <f t="shared" si="77"/>
        <v>5</v>
      </c>
      <c r="H684">
        <f t="shared" si="75"/>
        <v>5</v>
      </c>
      <c r="I684" s="9" t="str">
        <f t="shared" si="76"/>
        <v>455</v>
      </c>
      <c r="Q684" s="1">
        <v>0.74398893873419314</v>
      </c>
      <c r="R684" s="1">
        <v>0.73801877228641932</v>
      </c>
    </row>
    <row r="685" spans="1:18" x14ac:dyDescent="0.35">
      <c r="A685" t="s">
        <v>687</v>
      </c>
      <c r="B685" s="2">
        <v>45610</v>
      </c>
      <c r="C685" s="3">
        <f t="shared" si="71"/>
        <v>228</v>
      </c>
      <c r="D685">
        <f t="shared" si="72"/>
        <v>1065</v>
      </c>
      <c r="E685">
        <f t="shared" si="73"/>
        <v>35</v>
      </c>
      <c r="F685">
        <f t="shared" si="74"/>
        <v>4</v>
      </c>
      <c r="G685">
        <f t="shared" si="77"/>
        <v>4</v>
      </c>
      <c r="H685">
        <f t="shared" si="75"/>
        <v>5</v>
      </c>
      <c r="I685" s="9" t="str">
        <f t="shared" si="76"/>
        <v>445</v>
      </c>
      <c r="Q685" s="1">
        <v>2.2942306572355298E-2</v>
      </c>
      <c r="R685" s="1">
        <v>0.99326974348536512</v>
      </c>
    </row>
    <row r="686" spans="1:18" x14ac:dyDescent="0.35">
      <c r="A686" t="s">
        <v>688</v>
      </c>
      <c r="B686" s="2">
        <v>45807</v>
      </c>
      <c r="C686" s="3">
        <f t="shared" si="71"/>
        <v>31</v>
      </c>
      <c r="D686">
        <f t="shared" si="72"/>
        <v>1176</v>
      </c>
      <c r="E686">
        <f t="shared" si="73"/>
        <v>39</v>
      </c>
      <c r="F686">
        <f t="shared" si="74"/>
        <v>5</v>
      </c>
      <c r="G686">
        <f t="shared" si="77"/>
        <v>5</v>
      </c>
      <c r="H686">
        <f t="shared" si="75"/>
        <v>5</v>
      </c>
      <c r="I686" s="9" t="str">
        <f t="shared" si="76"/>
        <v>555</v>
      </c>
      <c r="Q686" s="1">
        <v>0.7101627821533073</v>
      </c>
      <c r="R686" s="1">
        <v>0.80692141077721158</v>
      </c>
    </row>
    <row r="687" spans="1:18" x14ac:dyDescent="0.35">
      <c r="A687" t="s">
        <v>689</v>
      </c>
      <c r="B687" s="2">
        <v>45701</v>
      </c>
      <c r="C687" s="3">
        <f t="shared" si="71"/>
        <v>137</v>
      </c>
      <c r="D687">
        <f t="shared" si="72"/>
        <v>1065</v>
      </c>
      <c r="E687">
        <f t="shared" si="73"/>
        <v>35</v>
      </c>
      <c r="F687">
        <f t="shared" si="74"/>
        <v>4</v>
      </c>
      <c r="G687">
        <f t="shared" si="77"/>
        <v>4</v>
      </c>
      <c r="H687">
        <f t="shared" si="75"/>
        <v>5</v>
      </c>
      <c r="I687" s="9" t="str">
        <f t="shared" si="76"/>
        <v>445</v>
      </c>
      <c r="Q687" s="1">
        <v>0.27538241948078401</v>
      </c>
      <c r="R687" s="1">
        <v>0.88457259451899439</v>
      </c>
    </row>
    <row r="688" spans="1:18" x14ac:dyDescent="0.35">
      <c r="A688" t="s">
        <v>690</v>
      </c>
      <c r="B688" s="2">
        <v>45317</v>
      </c>
      <c r="C688" s="3">
        <f t="shared" si="71"/>
        <v>521</v>
      </c>
      <c r="D688">
        <f t="shared" si="72"/>
        <v>793</v>
      </c>
      <c r="E688">
        <f t="shared" si="73"/>
        <v>26</v>
      </c>
      <c r="F688">
        <f t="shared" si="74"/>
        <v>1</v>
      </c>
      <c r="G688">
        <f t="shared" si="77"/>
        <v>2</v>
      </c>
      <c r="H688">
        <f t="shared" si="75"/>
        <v>4</v>
      </c>
      <c r="I688" s="9" t="str">
        <f t="shared" si="76"/>
        <v>124</v>
      </c>
      <c r="Q688" s="1">
        <v>0.934407563527622</v>
      </c>
      <c r="R688" s="1">
        <v>0.33608754663279783</v>
      </c>
    </row>
    <row r="689" spans="1:18" x14ac:dyDescent="0.35">
      <c r="A689" t="s">
        <v>691</v>
      </c>
      <c r="B689" s="2">
        <v>45730</v>
      </c>
      <c r="C689" s="3">
        <f t="shared" si="71"/>
        <v>108</v>
      </c>
      <c r="D689">
        <f t="shared" si="72"/>
        <v>268</v>
      </c>
      <c r="E689">
        <f t="shared" si="73"/>
        <v>9</v>
      </c>
      <c r="F689">
        <f t="shared" si="74"/>
        <v>5</v>
      </c>
      <c r="G689">
        <f t="shared" si="77"/>
        <v>1</v>
      </c>
      <c r="H689">
        <f t="shared" si="75"/>
        <v>1</v>
      </c>
      <c r="I689" s="9" t="str">
        <f t="shared" si="76"/>
        <v>511</v>
      </c>
      <c r="Q689" s="1">
        <v>5.0724559438182548E-2</v>
      </c>
      <c r="R689" s="1">
        <v>0.20159294078903589</v>
      </c>
    </row>
    <row r="690" spans="1:18" x14ac:dyDescent="0.35">
      <c r="A690" t="s">
        <v>692</v>
      </c>
      <c r="B690" s="2">
        <v>45581</v>
      </c>
      <c r="C690" s="3">
        <f t="shared" si="71"/>
        <v>257</v>
      </c>
      <c r="D690">
        <f t="shared" si="72"/>
        <v>917</v>
      </c>
      <c r="E690">
        <f t="shared" si="73"/>
        <v>30</v>
      </c>
      <c r="F690">
        <f t="shared" si="74"/>
        <v>4</v>
      </c>
      <c r="G690">
        <f t="shared" si="77"/>
        <v>4</v>
      </c>
      <c r="H690">
        <f t="shared" si="75"/>
        <v>4</v>
      </c>
      <c r="I690" s="9" t="str">
        <f t="shared" si="76"/>
        <v>444</v>
      </c>
      <c r="Q690" s="1">
        <v>0.87617712110525958</v>
      </c>
      <c r="R690" s="1">
        <v>0.48297861598094871</v>
      </c>
    </row>
    <row r="691" spans="1:18" x14ac:dyDescent="0.35">
      <c r="A691" t="s">
        <v>693</v>
      </c>
      <c r="B691" s="2">
        <v>45473</v>
      </c>
      <c r="C691" s="3">
        <f t="shared" si="71"/>
        <v>365</v>
      </c>
      <c r="D691">
        <f t="shared" si="72"/>
        <v>989</v>
      </c>
      <c r="E691">
        <f t="shared" si="73"/>
        <v>33</v>
      </c>
      <c r="F691">
        <f t="shared" si="74"/>
        <v>2</v>
      </c>
      <c r="G691">
        <f t="shared" si="77"/>
        <v>4</v>
      </c>
      <c r="H691">
        <f t="shared" si="75"/>
        <v>4</v>
      </c>
      <c r="I691" s="9" t="str">
        <f t="shared" si="76"/>
        <v>244</v>
      </c>
      <c r="Q691" s="1">
        <v>0.72046349004003207</v>
      </c>
      <c r="R691" s="1">
        <v>0.6196001695942136</v>
      </c>
    </row>
    <row r="692" spans="1:18" x14ac:dyDescent="0.35">
      <c r="A692" t="s">
        <v>694</v>
      </c>
      <c r="B692" s="2">
        <v>45556</v>
      </c>
      <c r="C692" s="3">
        <f t="shared" si="71"/>
        <v>282</v>
      </c>
      <c r="D692">
        <f t="shared" si="72"/>
        <v>915</v>
      </c>
      <c r="E692">
        <f t="shared" si="73"/>
        <v>30</v>
      </c>
      <c r="F692">
        <f t="shared" si="74"/>
        <v>2</v>
      </c>
      <c r="G692">
        <f t="shared" si="77"/>
        <v>4</v>
      </c>
      <c r="H692">
        <f t="shared" si="75"/>
        <v>4</v>
      </c>
      <c r="I692" s="9" t="str">
        <f t="shared" si="76"/>
        <v>244</v>
      </c>
      <c r="Q692" s="1">
        <v>0.30689001984369457</v>
      </c>
      <c r="R692" s="1">
        <v>0.7246532845909377</v>
      </c>
    </row>
    <row r="693" spans="1:18" x14ac:dyDescent="0.35">
      <c r="A693" t="s">
        <v>695</v>
      </c>
      <c r="B693" s="2">
        <v>45606</v>
      </c>
      <c r="C693" s="3">
        <f t="shared" si="71"/>
        <v>232</v>
      </c>
      <c r="D693">
        <f t="shared" si="72"/>
        <v>431</v>
      </c>
      <c r="E693">
        <f t="shared" si="73"/>
        <v>14</v>
      </c>
      <c r="F693">
        <f t="shared" si="74"/>
        <v>4</v>
      </c>
      <c r="G693">
        <f t="shared" si="77"/>
        <v>1</v>
      </c>
      <c r="H693">
        <f t="shared" si="75"/>
        <v>1</v>
      </c>
      <c r="I693" s="9" t="str">
        <f t="shared" si="76"/>
        <v>411</v>
      </c>
      <c r="Q693" s="1">
        <v>0.80631948617846994</v>
      </c>
      <c r="R693" s="1">
        <v>3.6977835163232164E-2</v>
      </c>
    </row>
    <row r="694" spans="1:18" x14ac:dyDescent="0.35">
      <c r="A694" t="s">
        <v>696</v>
      </c>
      <c r="B694" s="2">
        <v>45726</v>
      </c>
      <c r="C694" s="3">
        <f t="shared" si="71"/>
        <v>112</v>
      </c>
      <c r="D694">
        <f t="shared" si="72"/>
        <v>469</v>
      </c>
      <c r="E694">
        <f t="shared" si="73"/>
        <v>15</v>
      </c>
      <c r="F694">
        <f t="shared" si="74"/>
        <v>5</v>
      </c>
      <c r="G694">
        <f t="shared" si="77"/>
        <v>1</v>
      </c>
      <c r="H694">
        <f t="shared" si="75"/>
        <v>1</v>
      </c>
      <c r="I694" s="9" t="str">
        <f t="shared" si="76"/>
        <v>511</v>
      </c>
      <c r="Q694" s="1">
        <v>0.14470359265392529</v>
      </c>
      <c r="R694" s="1">
        <v>0.35740408513479538</v>
      </c>
    </row>
    <row r="695" spans="1:18" x14ac:dyDescent="0.35">
      <c r="A695" t="s">
        <v>697</v>
      </c>
      <c r="B695" s="2">
        <v>45350</v>
      </c>
      <c r="C695" s="3">
        <f t="shared" si="71"/>
        <v>488</v>
      </c>
      <c r="D695">
        <f t="shared" si="72"/>
        <v>1225</v>
      </c>
      <c r="E695">
        <f t="shared" si="73"/>
        <v>41</v>
      </c>
      <c r="F695">
        <f t="shared" si="74"/>
        <v>1</v>
      </c>
      <c r="G695">
        <f t="shared" si="77"/>
        <v>5</v>
      </c>
      <c r="H695">
        <f t="shared" si="75"/>
        <v>5</v>
      </c>
      <c r="I695" s="9" t="str">
        <f t="shared" si="76"/>
        <v>155</v>
      </c>
      <c r="Q695" s="1">
        <v>0.67421222264175107</v>
      </c>
      <c r="R695" s="1">
        <v>0.87099257161562094</v>
      </c>
    </row>
    <row r="696" spans="1:18" x14ac:dyDescent="0.35">
      <c r="A696" t="s">
        <v>698</v>
      </c>
      <c r="B696" s="2">
        <v>45716</v>
      </c>
      <c r="C696" s="3">
        <f t="shared" si="71"/>
        <v>122</v>
      </c>
      <c r="D696">
        <f t="shared" si="72"/>
        <v>516</v>
      </c>
      <c r="E696">
        <f t="shared" si="73"/>
        <v>17</v>
      </c>
      <c r="F696">
        <f t="shared" si="74"/>
        <v>4</v>
      </c>
      <c r="G696">
        <f t="shared" si="77"/>
        <v>2</v>
      </c>
      <c r="H696">
        <f t="shared" si="75"/>
        <v>2</v>
      </c>
      <c r="I696" s="9" t="str">
        <f t="shared" si="76"/>
        <v>422</v>
      </c>
      <c r="Q696" s="1">
        <v>0.20458497686853727</v>
      </c>
      <c r="R696" s="1">
        <v>0.37768320049222415</v>
      </c>
    </row>
    <row r="697" spans="1:18" x14ac:dyDescent="0.35">
      <c r="A697" t="s">
        <v>699</v>
      </c>
      <c r="B697" s="2">
        <v>45343</v>
      </c>
      <c r="C697" s="3">
        <f t="shared" si="71"/>
        <v>495</v>
      </c>
      <c r="D697">
        <f t="shared" si="72"/>
        <v>1157</v>
      </c>
      <c r="E697">
        <f t="shared" si="73"/>
        <v>38</v>
      </c>
      <c r="F697">
        <f t="shared" si="74"/>
        <v>1</v>
      </c>
      <c r="G697">
        <f t="shared" si="77"/>
        <v>5</v>
      </c>
      <c r="H697">
        <f t="shared" si="75"/>
        <v>5</v>
      </c>
      <c r="I697" s="9" t="str">
        <f t="shared" si="76"/>
        <v>155</v>
      </c>
      <c r="Q697" s="1">
        <v>0.67418852763845838</v>
      </c>
      <c r="R697" s="1">
        <v>0.80392739907486332</v>
      </c>
    </row>
    <row r="698" spans="1:18" x14ac:dyDescent="0.35">
      <c r="A698" t="s">
        <v>700</v>
      </c>
      <c r="B698" s="2">
        <v>45636</v>
      </c>
      <c r="C698" s="3">
        <f t="shared" si="71"/>
        <v>202</v>
      </c>
      <c r="D698">
        <f t="shared" si="72"/>
        <v>648</v>
      </c>
      <c r="E698">
        <f t="shared" si="73"/>
        <v>21</v>
      </c>
      <c r="F698">
        <f t="shared" si="74"/>
        <v>4</v>
      </c>
      <c r="G698">
        <f t="shared" si="77"/>
        <v>2</v>
      </c>
      <c r="H698">
        <f t="shared" si="75"/>
        <v>2</v>
      </c>
      <c r="I698" s="9" t="str">
        <f t="shared" si="76"/>
        <v>422</v>
      </c>
      <c r="Q698" s="1">
        <v>0.62567740786112158</v>
      </c>
      <c r="R698" s="1">
        <v>0.32722369962713727</v>
      </c>
    </row>
    <row r="699" spans="1:18" x14ac:dyDescent="0.35">
      <c r="A699" t="s">
        <v>701</v>
      </c>
      <c r="B699" s="2">
        <v>45299</v>
      </c>
      <c r="C699" s="3">
        <f t="shared" si="71"/>
        <v>539</v>
      </c>
      <c r="D699">
        <f t="shared" si="72"/>
        <v>561</v>
      </c>
      <c r="E699">
        <f t="shared" si="73"/>
        <v>18</v>
      </c>
      <c r="F699">
        <f t="shared" si="74"/>
        <v>1</v>
      </c>
      <c r="G699">
        <f t="shared" si="77"/>
        <v>2</v>
      </c>
      <c r="H699">
        <f t="shared" si="75"/>
        <v>2</v>
      </c>
      <c r="I699" s="9" t="str">
        <f t="shared" si="76"/>
        <v>122</v>
      </c>
      <c r="Q699" s="1">
        <v>0.69002506154833099</v>
      </c>
      <c r="R699" s="1">
        <v>0.21408219407669393</v>
      </c>
    </row>
    <row r="700" spans="1:18" x14ac:dyDescent="0.35">
      <c r="A700" t="s">
        <v>702</v>
      </c>
      <c r="B700" s="2">
        <v>45798</v>
      </c>
      <c r="C700" s="3">
        <f t="shared" si="71"/>
        <v>40</v>
      </c>
      <c r="D700">
        <f t="shared" si="72"/>
        <v>395</v>
      </c>
      <c r="E700">
        <f t="shared" si="73"/>
        <v>13</v>
      </c>
      <c r="F700">
        <f t="shared" si="74"/>
        <v>5</v>
      </c>
      <c r="G700">
        <f t="shared" si="77"/>
        <v>1</v>
      </c>
      <c r="H700">
        <f t="shared" si="75"/>
        <v>1</v>
      </c>
      <c r="I700" s="9" t="str">
        <f t="shared" si="76"/>
        <v>511</v>
      </c>
      <c r="Q700" s="1">
        <v>0.76890300734496775</v>
      </c>
      <c r="R700" s="1">
        <v>1.749801273225815E-2</v>
      </c>
    </row>
    <row r="701" spans="1:18" x14ac:dyDescent="0.35">
      <c r="A701" t="s">
        <v>703</v>
      </c>
      <c r="B701" s="2">
        <v>45615</v>
      </c>
      <c r="C701" s="3">
        <f t="shared" si="71"/>
        <v>223</v>
      </c>
      <c r="D701">
        <f t="shared" si="72"/>
        <v>592</v>
      </c>
      <c r="E701">
        <f t="shared" si="73"/>
        <v>20</v>
      </c>
      <c r="F701">
        <f t="shared" si="74"/>
        <v>4</v>
      </c>
      <c r="G701">
        <f t="shared" si="77"/>
        <v>2</v>
      </c>
      <c r="H701">
        <f t="shared" si="75"/>
        <v>2</v>
      </c>
      <c r="I701" s="9" t="str">
        <f t="shared" si="76"/>
        <v>422</v>
      </c>
      <c r="Q701" s="1">
        <v>7.7000126960424797E-3</v>
      </c>
      <c r="R701" s="1">
        <v>0.53696524067135509</v>
      </c>
    </row>
    <row r="702" spans="1:18" x14ac:dyDescent="0.35">
      <c r="A702" t="s">
        <v>704</v>
      </c>
      <c r="B702" s="2">
        <v>45448</v>
      </c>
      <c r="C702" s="3">
        <f t="shared" si="71"/>
        <v>390</v>
      </c>
      <c r="D702">
        <f t="shared" si="72"/>
        <v>411</v>
      </c>
      <c r="E702">
        <f t="shared" si="73"/>
        <v>13</v>
      </c>
      <c r="F702">
        <f t="shared" si="74"/>
        <v>2</v>
      </c>
      <c r="G702">
        <f t="shared" si="77"/>
        <v>1</v>
      </c>
      <c r="H702">
        <f t="shared" si="75"/>
        <v>1</v>
      </c>
      <c r="I702" s="9" t="str">
        <f t="shared" si="76"/>
        <v>211</v>
      </c>
      <c r="Q702" s="1">
        <v>0.48598506882341275</v>
      </c>
      <c r="R702" s="1">
        <v>0.15494672131161213</v>
      </c>
    </row>
    <row r="703" spans="1:18" x14ac:dyDescent="0.35">
      <c r="A703" t="s">
        <v>705</v>
      </c>
      <c r="B703" s="2">
        <v>45397</v>
      </c>
      <c r="C703" s="3">
        <f t="shared" si="71"/>
        <v>441</v>
      </c>
      <c r="D703">
        <f t="shared" si="72"/>
        <v>318</v>
      </c>
      <c r="E703">
        <f t="shared" si="73"/>
        <v>10</v>
      </c>
      <c r="F703">
        <f t="shared" si="74"/>
        <v>1</v>
      </c>
      <c r="G703">
        <f t="shared" si="77"/>
        <v>1</v>
      </c>
      <c r="H703">
        <f t="shared" si="75"/>
        <v>1</v>
      </c>
      <c r="I703" s="9" t="str">
        <f t="shared" si="76"/>
        <v>111</v>
      </c>
      <c r="Q703" s="1">
        <v>0.49988925525860151</v>
      </c>
      <c r="R703" s="1">
        <v>5.7371884703549814E-2</v>
      </c>
    </row>
    <row r="704" spans="1:18" x14ac:dyDescent="0.35">
      <c r="A704" t="s">
        <v>706</v>
      </c>
      <c r="B704" s="2">
        <v>45837</v>
      </c>
      <c r="C704" s="3">
        <f t="shared" si="71"/>
        <v>1</v>
      </c>
      <c r="D704">
        <f t="shared" si="72"/>
        <v>613</v>
      </c>
      <c r="E704">
        <f t="shared" si="73"/>
        <v>20</v>
      </c>
      <c r="F704">
        <f t="shared" si="74"/>
        <v>5</v>
      </c>
      <c r="G704">
        <f t="shared" si="77"/>
        <v>2</v>
      </c>
      <c r="H704">
        <f t="shared" si="75"/>
        <v>2</v>
      </c>
      <c r="I704" s="9" t="str">
        <f t="shared" si="76"/>
        <v>522</v>
      </c>
      <c r="Q704" s="1">
        <v>0.57364655985654844</v>
      </c>
      <c r="R704" s="1">
        <v>0.31459739717425061</v>
      </c>
    </row>
    <row r="705" spans="1:18" x14ac:dyDescent="0.35">
      <c r="A705" t="s">
        <v>707</v>
      </c>
      <c r="B705" s="2">
        <v>45410</v>
      </c>
      <c r="C705" s="3">
        <f t="shared" si="71"/>
        <v>428</v>
      </c>
      <c r="D705">
        <f t="shared" si="72"/>
        <v>1449</v>
      </c>
      <c r="E705">
        <f t="shared" si="73"/>
        <v>48</v>
      </c>
      <c r="F705">
        <f t="shared" si="74"/>
        <v>1</v>
      </c>
      <c r="G705">
        <f t="shared" si="77"/>
        <v>5</v>
      </c>
      <c r="H705">
        <f t="shared" si="75"/>
        <v>5</v>
      </c>
      <c r="I705" s="9" t="str">
        <f t="shared" si="76"/>
        <v>155</v>
      </c>
      <c r="Q705" s="1">
        <v>0.88462432941397739</v>
      </c>
      <c r="R705" s="1">
        <v>0.9990729355349387</v>
      </c>
    </row>
    <row r="706" spans="1:18" x14ac:dyDescent="0.35">
      <c r="A706" t="s">
        <v>708</v>
      </c>
      <c r="B706" s="2">
        <v>45792</v>
      </c>
      <c r="C706" s="3">
        <f t="shared" si="71"/>
        <v>46</v>
      </c>
      <c r="D706">
        <f t="shared" si="72"/>
        <v>130</v>
      </c>
      <c r="E706">
        <f t="shared" si="73"/>
        <v>4</v>
      </c>
      <c r="F706">
        <f t="shared" si="74"/>
        <v>5</v>
      </c>
      <c r="G706">
        <f t="shared" si="77"/>
        <v>1</v>
      </c>
      <c r="H706">
        <f t="shared" si="75"/>
        <v>1</v>
      </c>
      <c r="I706" s="9" t="str">
        <f t="shared" si="76"/>
        <v>511</v>
      </c>
      <c r="Q706" s="1">
        <v>8.3953058231110878E-2</v>
      </c>
      <c r="R706" s="1">
        <v>5.2406095383138118E-2</v>
      </c>
    </row>
    <row r="707" spans="1:18" x14ac:dyDescent="0.35">
      <c r="A707" t="s">
        <v>709</v>
      </c>
      <c r="B707" s="2">
        <v>45507</v>
      </c>
      <c r="C707" s="3">
        <f t="shared" ref="C707:C770" si="78">$S$6-B707</f>
        <v>331</v>
      </c>
      <c r="D707">
        <f t="shared" ref="D707:D770" si="79">ROUND((R707*0.7+Q707*0.3)*(1500-40)+40,0)</f>
        <v>645</v>
      </c>
      <c r="E707">
        <f t="shared" ref="E707:E770" si="80">ROUND((R707*0.7+Q707*0.3)*(50-1)+1,0)</f>
        <v>21</v>
      </c>
      <c r="F707">
        <f t="shared" ref="F707:F770" si="81">IF(C707&lt;=$M$4,5,IF(C707&lt;=$M$9,4,IF(C707&lt;=$M$5,3,IF(C707&lt;=$M$6,2,1))))</f>
        <v>2</v>
      </c>
      <c r="G707">
        <f t="shared" si="77"/>
        <v>2</v>
      </c>
      <c r="H707">
        <f t="shared" ref="H707:H770" si="82">IF(D707&lt;=$M$24,1,IF(D707&lt;=$M$25,2,IF(D707&lt;=$M$29,3,IF(D707&lt;=$M$26,4,5))))</f>
        <v>2</v>
      </c>
      <c r="I707" s="9" t="str">
        <f t="shared" ref="I707:I770" si="83">CONCATENATE(F707,G707,H707)</f>
        <v>222</v>
      </c>
      <c r="Q707" s="1">
        <v>0.49389893717603939</v>
      </c>
      <c r="R707" s="1">
        <v>0.38027146712650017</v>
      </c>
    </row>
    <row r="708" spans="1:18" x14ac:dyDescent="0.35">
      <c r="A708" t="s">
        <v>710</v>
      </c>
      <c r="B708" s="2">
        <v>45566</v>
      </c>
      <c r="C708" s="3">
        <f t="shared" si="78"/>
        <v>272</v>
      </c>
      <c r="D708">
        <f t="shared" si="79"/>
        <v>906</v>
      </c>
      <c r="E708">
        <f t="shared" si="80"/>
        <v>30</v>
      </c>
      <c r="F708">
        <f t="shared" si="81"/>
        <v>3</v>
      </c>
      <c r="G708">
        <f t="shared" ref="G708:G771" si="84">IF(E708&lt;=$M$14,1,IF(E708&lt;=$M$15,2,IF(E708&lt;=$M$19,3,IF(E708&lt;=$M$16,4,5))))</f>
        <v>4</v>
      </c>
      <c r="H708">
        <f t="shared" si="82"/>
        <v>4</v>
      </c>
      <c r="I708" s="9" t="str">
        <f t="shared" si="83"/>
        <v>344</v>
      </c>
      <c r="Q708" s="1">
        <v>0.51035523354940382</v>
      </c>
      <c r="R708" s="1">
        <v>0.62830579230446215</v>
      </c>
    </row>
    <row r="709" spans="1:18" x14ac:dyDescent="0.35">
      <c r="A709" t="s">
        <v>711</v>
      </c>
      <c r="B709" s="2">
        <v>45712</v>
      </c>
      <c r="C709" s="3">
        <f t="shared" si="78"/>
        <v>126</v>
      </c>
      <c r="D709">
        <f t="shared" si="79"/>
        <v>267</v>
      </c>
      <c r="E709">
        <f t="shared" si="80"/>
        <v>9</v>
      </c>
      <c r="F709">
        <f t="shared" si="81"/>
        <v>4</v>
      </c>
      <c r="G709">
        <f t="shared" si="84"/>
        <v>1</v>
      </c>
      <c r="H709">
        <f t="shared" si="82"/>
        <v>1</v>
      </c>
      <c r="I709" s="9" t="str">
        <f t="shared" si="83"/>
        <v>411</v>
      </c>
      <c r="Q709" s="1">
        <v>0.1098638501476038</v>
      </c>
      <c r="R709" s="1">
        <v>0.17494169247268943</v>
      </c>
    </row>
    <row r="710" spans="1:18" x14ac:dyDescent="0.35">
      <c r="A710" t="s">
        <v>712</v>
      </c>
      <c r="B710" s="2">
        <v>45563</v>
      </c>
      <c r="C710" s="3">
        <f t="shared" si="78"/>
        <v>275</v>
      </c>
      <c r="D710">
        <f t="shared" si="79"/>
        <v>687</v>
      </c>
      <c r="E710">
        <f t="shared" si="80"/>
        <v>23</v>
      </c>
      <c r="F710">
        <f t="shared" si="81"/>
        <v>3</v>
      </c>
      <c r="G710">
        <f t="shared" si="84"/>
        <v>2</v>
      </c>
      <c r="H710">
        <f t="shared" si="82"/>
        <v>2</v>
      </c>
      <c r="I710" s="9" t="str">
        <f t="shared" si="83"/>
        <v>322</v>
      </c>
      <c r="Q710" s="1">
        <v>0.49121495098458312</v>
      </c>
      <c r="R710" s="1">
        <v>0.42214172878352263</v>
      </c>
    </row>
    <row r="711" spans="1:18" x14ac:dyDescent="0.35">
      <c r="A711" t="s">
        <v>713</v>
      </c>
      <c r="B711" s="2">
        <v>45714</v>
      </c>
      <c r="C711" s="3">
        <f t="shared" si="78"/>
        <v>124</v>
      </c>
      <c r="D711">
        <f t="shared" si="79"/>
        <v>419</v>
      </c>
      <c r="E711">
        <f t="shared" si="80"/>
        <v>14</v>
      </c>
      <c r="F711">
        <f t="shared" si="81"/>
        <v>4</v>
      </c>
      <c r="G711">
        <f t="shared" si="84"/>
        <v>1</v>
      </c>
      <c r="H711">
        <f t="shared" si="82"/>
        <v>1</v>
      </c>
      <c r="I711" s="9" t="str">
        <f t="shared" si="83"/>
        <v>411</v>
      </c>
      <c r="Q711" s="1">
        <v>0.43625208558487127</v>
      </c>
      <c r="R711" s="1">
        <v>0.18377921950856135</v>
      </c>
    </row>
    <row r="712" spans="1:18" x14ac:dyDescent="0.35">
      <c r="A712" t="s">
        <v>714</v>
      </c>
      <c r="B712" s="2">
        <v>45323</v>
      </c>
      <c r="C712" s="3">
        <f t="shared" si="78"/>
        <v>515</v>
      </c>
      <c r="D712">
        <f t="shared" si="79"/>
        <v>1017</v>
      </c>
      <c r="E712">
        <f t="shared" si="80"/>
        <v>34</v>
      </c>
      <c r="F712">
        <f t="shared" si="81"/>
        <v>1</v>
      </c>
      <c r="G712">
        <f t="shared" si="84"/>
        <v>4</v>
      </c>
      <c r="H712">
        <f t="shared" si="82"/>
        <v>4</v>
      </c>
      <c r="I712" s="9" t="str">
        <f t="shared" si="83"/>
        <v>144</v>
      </c>
      <c r="Q712" s="1">
        <v>0.88639800211369335</v>
      </c>
      <c r="R712" s="1">
        <v>0.57609719746107813</v>
      </c>
    </row>
    <row r="713" spans="1:18" x14ac:dyDescent="0.35">
      <c r="A713" t="s">
        <v>715</v>
      </c>
      <c r="B713" s="2">
        <v>45540</v>
      </c>
      <c r="C713" s="3">
        <f t="shared" si="78"/>
        <v>298</v>
      </c>
      <c r="D713">
        <f t="shared" si="79"/>
        <v>931</v>
      </c>
      <c r="E713">
        <f t="shared" si="80"/>
        <v>31</v>
      </c>
      <c r="F713">
        <f t="shared" si="81"/>
        <v>2</v>
      </c>
      <c r="G713">
        <f t="shared" si="84"/>
        <v>4</v>
      </c>
      <c r="H713">
        <f t="shared" si="82"/>
        <v>4</v>
      </c>
      <c r="I713" s="9" t="str">
        <f t="shared" si="83"/>
        <v>244</v>
      </c>
      <c r="Q713" s="1">
        <v>0.166403690670204</v>
      </c>
      <c r="R713" s="1">
        <v>0.80020199180553919</v>
      </c>
    </row>
    <row r="714" spans="1:18" x14ac:dyDescent="0.35">
      <c r="A714" t="s">
        <v>716</v>
      </c>
      <c r="B714" s="2">
        <v>45603</v>
      </c>
      <c r="C714" s="3">
        <f t="shared" si="78"/>
        <v>235</v>
      </c>
      <c r="D714">
        <f t="shared" si="79"/>
        <v>922</v>
      </c>
      <c r="E714">
        <f t="shared" si="80"/>
        <v>31</v>
      </c>
      <c r="F714">
        <f t="shared" si="81"/>
        <v>4</v>
      </c>
      <c r="G714">
        <f t="shared" si="84"/>
        <v>4</v>
      </c>
      <c r="H714">
        <f t="shared" si="82"/>
        <v>4</v>
      </c>
      <c r="I714" s="9" t="str">
        <f t="shared" si="83"/>
        <v>444</v>
      </c>
      <c r="Q714" s="1">
        <v>0.8983244681552075</v>
      </c>
      <c r="R714" s="1">
        <v>0.47760627512417952</v>
      </c>
    </row>
    <row r="715" spans="1:18" x14ac:dyDescent="0.35">
      <c r="A715" t="s">
        <v>717</v>
      </c>
      <c r="B715" s="2">
        <v>45411</v>
      </c>
      <c r="C715" s="3">
        <f t="shared" si="78"/>
        <v>427</v>
      </c>
      <c r="D715">
        <f t="shared" si="79"/>
        <v>769</v>
      </c>
      <c r="E715">
        <f t="shared" si="80"/>
        <v>25</v>
      </c>
      <c r="F715">
        <f t="shared" si="81"/>
        <v>1</v>
      </c>
      <c r="G715">
        <f t="shared" si="84"/>
        <v>2</v>
      </c>
      <c r="H715">
        <f t="shared" si="82"/>
        <v>2</v>
      </c>
      <c r="I715" s="9" t="str">
        <f t="shared" si="83"/>
        <v>122</v>
      </c>
      <c r="Q715" s="1">
        <v>0.13337874745036205</v>
      </c>
      <c r="R715" s="1">
        <v>0.65645261230459395</v>
      </c>
    </row>
    <row r="716" spans="1:18" x14ac:dyDescent="0.35">
      <c r="A716" t="s">
        <v>718</v>
      </c>
      <c r="B716" s="2">
        <v>45833</v>
      </c>
      <c r="C716" s="3">
        <f t="shared" si="78"/>
        <v>5</v>
      </c>
      <c r="D716">
        <f t="shared" si="79"/>
        <v>725</v>
      </c>
      <c r="E716">
        <f t="shared" si="80"/>
        <v>24</v>
      </c>
      <c r="F716">
        <f t="shared" si="81"/>
        <v>5</v>
      </c>
      <c r="G716">
        <f t="shared" si="84"/>
        <v>2</v>
      </c>
      <c r="H716">
        <f t="shared" si="82"/>
        <v>2</v>
      </c>
      <c r="I716" s="9" t="str">
        <f t="shared" si="83"/>
        <v>522</v>
      </c>
      <c r="Q716" s="1">
        <v>0.9956306257836971</v>
      </c>
      <c r="R716" s="1">
        <v>0.24383225499232619</v>
      </c>
    </row>
    <row r="717" spans="1:18" x14ac:dyDescent="0.35">
      <c r="A717" t="s">
        <v>719</v>
      </c>
      <c r="B717" s="2">
        <v>45547</v>
      </c>
      <c r="C717" s="3">
        <f t="shared" si="78"/>
        <v>291</v>
      </c>
      <c r="D717">
        <f t="shared" si="79"/>
        <v>881</v>
      </c>
      <c r="E717">
        <f t="shared" si="80"/>
        <v>29</v>
      </c>
      <c r="F717">
        <f t="shared" si="81"/>
        <v>2</v>
      </c>
      <c r="G717">
        <f t="shared" si="84"/>
        <v>4</v>
      </c>
      <c r="H717">
        <f t="shared" si="82"/>
        <v>4</v>
      </c>
      <c r="I717" s="9" t="str">
        <f t="shared" si="83"/>
        <v>244</v>
      </c>
      <c r="Q717" s="1">
        <v>0.12553933144013785</v>
      </c>
      <c r="R717" s="1">
        <v>0.76876021377865267</v>
      </c>
    </row>
    <row r="718" spans="1:18" x14ac:dyDescent="0.35">
      <c r="A718" t="s">
        <v>720</v>
      </c>
      <c r="B718" s="2">
        <v>45595</v>
      </c>
      <c r="C718" s="3">
        <f t="shared" si="78"/>
        <v>243</v>
      </c>
      <c r="D718">
        <f t="shared" si="79"/>
        <v>1021</v>
      </c>
      <c r="E718">
        <f t="shared" si="80"/>
        <v>34</v>
      </c>
      <c r="F718">
        <f t="shared" si="81"/>
        <v>4</v>
      </c>
      <c r="G718">
        <f t="shared" si="84"/>
        <v>4</v>
      </c>
      <c r="H718">
        <f t="shared" si="82"/>
        <v>4</v>
      </c>
      <c r="I718" s="9" t="str">
        <f t="shared" si="83"/>
        <v>444</v>
      </c>
      <c r="Q718" s="1">
        <v>0.12245326372180654</v>
      </c>
      <c r="R718" s="1">
        <v>0.9075021875172179</v>
      </c>
    </row>
    <row r="719" spans="1:18" x14ac:dyDescent="0.35">
      <c r="A719" t="s">
        <v>721</v>
      </c>
      <c r="B719" s="2">
        <v>45533</v>
      </c>
      <c r="C719" s="3">
        <f t="shared" si="78"/>
        <v>305</v>
      </c>
      <c r="D719">
        <f t="shared" si="79"/>
        <v>1382</v>
      </c>
      <c r="E719">
        <f t="shared" si="80"/>
        <v>46</v>
      </c>
      <c r="F719">
        <f t="shared" si="81"/>
        <v>2</v>
      </c>
      <c r="G719">
        <f t="shared" si="84"/>
        <v>5</v>
      </c>
      <c r="H719">
        <f t="shared" si="82"/>
        <v>5</v>
      </c>
      <c r="I719" s="9" t="str">
        <f t="shared" si="83"/>
        <v>255</v>
      </c>
      <c r="Q719" s="1">
        <v>0.77371905380399086</v>
      </c>
      <c r="R719" s="1">
        <v>0.98139582418012372</v>
      </c>
    </row>
    <row r="720" spans="1:18" x14ac:dyDescent="0.35">
      <c r="A720" t="s">
        <v>722</v>
      </c>
      <c r="B720" s="2">
        <v>45297</v>
      </c>
      <c r="C720" s="3">
        <f t="shared" si="78"/>
        <v>541</v>
      </c>
      <c r="D720">
        <f t="shared" si="79"/>
        <v>916</v>
      </c>
      <c r="E720">
        <f t="shared" si="80"/>
        <v>30</v>
      </c>
      <c r="F720">
        <f t="shared" si="81"/>
        <v>1</v>
      </c>
      <c r="G720">
        <f t="shared" si="84"/>
        <v>4</v>
      </c>
      <c r="H720">
        <f t="shared" si="82"/>
        <v>4</v>
      </c>
      <c r="I720" s="9" t="str">
        <f t="shared" si="83"/>
        <v>144</v>
      </c>
      <c r="Q720" s="1">
        <v>0.33094358473030161</v>
      </c>
      <c r="R720" s="1">
        <v>0.71491905968296465</v>
      </c>
    </row>
    <row r="721" spans="1:18" x14ac:dyDescent="0.35">
      <c r="A721" t="s">
        <v>723</v>
      </c>
      <c r="B721" s="2">
        <v>45770</v>
      </c>
      <c r="C721" s="3">
        <f t="shared" si="78"/>
        <v>68</v>
      </c>
      <c r="D721">
        <f t="shared" si="79"/>
        <v>756</v>
      </c>
      <c r="E721">
        <f t="shared" si="80"/>
        <v>25</v>
      </c>
      <c r="F721">
        <f t="shared" si="81"/>
        <v>5</v>
      </c>
      <c r="G721">
        <f t="shared" si="84"/>
        <v>2</v>
      </c>
      <c r="H721">
        <f t="shared" si="82"/>
        <v>2</v>
      </c>
      <c r="I721" s="9" t="str">
        <f t="shared" si="83"/>
        <v>522</v>
      </c>
      <c r="Q721" s="1">
        <v>0.19388031948190498</v>
      </c>
      <c r="R721" s="1">
        <v>0.61758719715537402</v>
      </c>
    </row>
    <row r="722" spans="1:18" x14ac:dyDescent="0.35">
      <c r="A722" t="s">
        <v>724</v>
      </c>
      <c r="B722" s="2">
        <v>45692</v>
      </c>
      <c r="C722" s="3">
        <f t="shared" si="78"/>
        <v>146</v>
      </c>
      <c r="D722">
        <f t="shared" si="79"/>
        <v>1126</v>
      </c>
      <c r="E722">
        <f t="shared" si="80"/>
        <v>37</v>
      </c>
      <c r="F722">
        <f t="shared" si="81"/>
        <v>4</v>
      </c>
      <c r="G722">
        <f t="shared" si="84"/>
        <v>5</v>
      </c>
      <c r="H722">
        <f t="shared" si="82"/>
        <v>5</v>
      </c>
      <c r="I722" s="9" t="str">
        <f t="shared" si="83"/>
        <v>455</v>
      </c>
      <c r="Q722" s="1">
        <v>0.27252996448354916</v>
      </c>
      <c r="R722" s="1">
        <v>0.94559828526334877</v>
      </c>
    </row>
    <row r="723" spans="1:18" x14ac:dyDescent="0.35">
      <c r="A723" t="s">
        <v>725</v>
      </c>
      <c r="B723" s="2">
        <v>45329</v>
      </c>
      <c r="C723" s="3">
        <f t="shared" si="78"/>
        <v>509</v>
      </c>
      <c r="D723">
        <f t="shared" si="79"/>
        <v>1048</v>
      </c>
      <c r="E723">
        <f t="shared" si="80"/>
        <v>35</v>
      </c>
      <c r="F723">
        <f t="shared" si="81"/>
        <v>1</v>
      </c>
      <c r="G723">
        <f t="shared" si="84"/>
        <v>4</v>
      </c>
      <c r="H723">
        <f t="shared" si="82"/>
        <v>5</v>
      </c>
      <c r="I723" s="9" t="str">
        <f t="shared" si="83"/>
        <v>145</v>
      </c>
      <c r="Q723" s="1">
        <v>9.8658897544943613E-2</v>
      </c>
      <c r="R723" s="1">
        <v>0.94449753512619661</v>
      </c>
    </row>
    <row r="724" spans="1:18" x14ac:dyDescent="0.35">
      <c r="A724" t="s">
        <v>726</v>
      </c>
      <c r="B724" s="2">
        <v>45430</v>
      </c>
      <c r="C724" s="3">
        <f t="shared" si="78"/>
        <v>408</v>
      </c>
      <c r="D724">
        <f t="shared" si="79"/>
        <v>763</v>
      </c>
      <c r="E724">
        <f t="shared" si="80"/>
        <v>25</v>
      </c>
      <c r="F724">
        <f t="shared" si="81"/>
        <v>2</v>
      </c>
      <c r="G724">
        <f t="shared" si="84"/>
        <v>2</v>
      </c>
      <c r="H724">
        <f t="shared" si="82"/>
        <v>2</v>
      </c>
      <c r="I724" s="9" t="str">
        <f t="shared" si="83"/>
        <v>222</v>
      </c>
      <c r="Q724" s="1">
        <v>0.53793658926767451</v>
      </c>
      <c r="R724" s="1">
        <v>0.47642378128131024</v>
      </c>
    </row>
    <row r="725" spans="1:18" x14ac:dyDescent="0.35">
      <c r="A725" t="s">
        <v>727</v>
      </c>
      <c r="B725" s="2">
        <v>45764</v>
      </c>
      <c r="C725" s="3">
        <f t="shared" si="78"/>
        <v>74</v>
      </c>
      <c r="D725">
        <f t="shared" si="79"/>
        <v>332</v>
      </c>
      <c r="E725">
        <f t="shared" si="80"/>
        <v>11</v>
      </c>
      <c r="F725">
        <f t="shared" si="81"/>
        <v>5</v>
      </c>
      <c r="G725">
        <f t="shared" si="84"/>
        <v>1</v>
      </c>
      <c r="H725">
        <f t="shared" si="82"/>
        <v>1</v>
      </c>
      <c r="I725" s="9" t="str">
        <f t="shared" si="83"/>
        <v>511</v>
      </c>
      <c r="Q725" s="1">
        <v>0.35430241786648597</v>
      </c>
      <c r="R725" s="1">
        <v>0.13396793709911015</v>
      </c>
    </row>
    <row r="726" spans="1:18" x14ac:dyDescent="0.35">
      <c r="A726" t="s">
        <v>728</v>
      </c>
      <c r="B726" s="2">
        <v>45565</v>
      </c>
      <c r="C726" s="3">
        <f t="shared" si="78"/>
        <v>273</v>
      </c>
      <c r="D726">
        <f t="shared" si="79"/>
        <v>953</v>
      </c>
      <c r="E726">
        <f t="shared" si="80"/>
        <v>32</v>
      </c>
      <c r="F726">
        <f t="shared" si="81"/>
        <v>3</v>
      </c>
      <c r="G726">
        <f t="shared" si="84"/>
        <v>4</v>
      </c>
      <c r="H726">
        <f t="shared" si="82"/>
        <v>4</v>
      </c>
      <c r="I726" s="9" t="str">
        <f t="shared" si="83"/>
        <v>344</v>
      </c>
      <c r="Q726" s="1">
        <v>0.12397012529329754</v>
      </c>
      <c r="R726" s="1">
        <v>0.84062424806966052</v>
      </c>
    </row>
    <row r="727" spans="1:18" x14ac:dyDescent="0.35">
      <c r="A727" t="s">
        <v>729</v>
      </c>
      <c r="B727" s="2">
        <v>45398</v>
      </c>
      <c r="C727" s="3">
        <f t="shared" si="78"/>
        <v>440</v>
      </c>
      <c r="D727">
        <f t="shared" si="79"/>
        <v>734</v>
      </c>
      <c r="E727">
        <f t="shared" si="80"/>
        <v>24</v>
      </c>
      <c r="F727">
        <f t="shared" si="81"/>
        <v>1</v>
      </c>
      <c r="G727">
        <f t="shared" si="84"/>
        <v>2</v>
      </c>
      <c r="H727">
        <f t="shared" si="82"/>
        <v>2</v>
      </c>
      <c r="I727" s="9" t="str">
        <f t="shared" si="83"/>
        <v>122</v>
      </c>
      <c r="Q727" s="1">
        <v>0.23434615505554013</v>
      </c>
      <c r="R727" s="1">
        <v>0.57904196093384153</v>
      </c>
    </row>
    <row r="728" spans="1:18" x14ac:dyDescent="0.35">
      <c r="A728" t="s">
        <v>730</v>
      </c>
      <c r="B728" s="2">
        <v>45502</v>
      </c>
      <c r="C728" s="3">
        <f t="shared" si="78"/>
        <v>336</v>
      </c>
      <c r="D728">
        <f t="shared" si="79"/>
        <v>650</v>
      </c>
      <c r="E728">
        <f t="shared" si="80"/>
        <v>21</v>
      </c>
      <c r="F728">
        <f t="shared" si="81"/>
        <v>2</v>
      </c>
      <c r="G728">
        <f t="shared" si="84"/>
        <v>2</v>
      </c>
      <c r="H728">
        <f t="shared" si="82"/>
        <v>2</v>
      </c>
      <c r="I728" s="9" t="str">
        <f t="shared" si="83"/>
        <v>222</v>
      </c>
      <c r="Q728" s="1">
        <v>0.15481159554574841</v>
      </c>
      <c r="R728" s="1">
        <v>0.5305617008296365</v>
      </c>
    </row>
    <row r="729" spans="1:18" x14ac:dyDescent="0.35">
      <c r="A729" t="s">
        <v>731</v>
      </c>
      <c r="B729" s="2">
        <v>45613</v>
      </c>
      <c r="C729" s="3">
        <f t="shared" si="78"/>
        <v>225</v>
      </c>
      <c r="D729">
        <f t="shared" si="79"/>
        <v>838</v>
      </c>
      <c r="E729">
        <f t="shared" si="80"/>
        <v>28</v>
      </c>
      <c r="F729">
        <f t="shared" si="81"/>
        <v>4</v>
      </c>
      <c r="G729">
        <f t="shared" si="84"/>
        <v>4</v>
      </c>
      <c r="H729">
        <f t="shared" si="82"/>
        <v>4</v>
      </c>
      <c r="I729" s="9" t="str">
        <f t="shared" si="83"/>
        <v>444</v>
      </c>
      <c r="Q729" s="1">
        <v>5.3584422373641916E-2</v>
      </c>
      <c r="R729" s="1">
        <v>0.75763508178586469</v>
      </c>
    </row>
    <row r="730" spans="1:18" x14ac:dyDescent="0.35">
      <c r="A730" t="s">
        <v>732</v>
      </c>
      <c r="B730" s="2">
        <v>45455</v>
      </c>
      <c r="C730" s="3">
        <f t="shared" si="78"/>
        <v>383</v>
      </c>
      <c r="D730">
        <f t="shared" si="79"/>
        <v>400</v>
      </c>
      <c r="E730">
        <f t="shared" si="80"/>
        <v>13</v>
      </c>
      <c r="F730">
        <f t="shared" si="81"/>
        <v>2</v>
      </c>
      <c r="G730">
        <f t="shared" si="84"/>
        <v>1</v>
      </c>
      <c r="H730">
        <f t="shared" si="82"/>
        <v>1</v>
      </c>
      <c r="I730" s="9" t="str">
        <f t="shared" si="83"/>
        <v>211</v>
      </c>
      <c r="Q730" s="1">
        <v>0.22712847031280869</v>
      </c>
      <c r="R730" s="1">
        <v>0.25465962233324158</v>
      </c>
    </row>
    <row r="731" spans="1:18" x14ac:dyDescent="0.35">
      <c r="A731" t="s">
        <v>733</v>
      </c>
      <c r="B731" s="2">
        <v>45543</v>
      </c>
      <c r="C731" s="3">
        <f t="shared" si="78"/>
        <v>295</v>
      </c>
      <c r="D731">
        <f t="shared" si="79"/>
        <v>1413</v>
      </c>
      <c r="E731">
        <f t="shared" si="80"/>
        <v>47</v>
      </c>
      <c r="F731">
        <f t="shared" si="81"/>
        <v>2</v>
      </c>
      <c r="G731">
        <f t="shared" si="84"/>
        <v>5</v>
      </c>
      <c r="H731">
        <f t="shared" si="82"/>
        <v>5</v>
      </c>
      <c r="I731" s="9" t="str">
        <f t="shared" si="83"/>
        <v>255</v>
      </c>
      <c r="Q731" s="1">
        <v>0.88797985720742689</v>
      </c>
      <c r="R731" s="1">
        <v>0.96310835962162933</v>
      </c>
    </row>
    <row r="732" spans="1:18" x14ac:dyDescent="0.35">
      <c r="A732" t="s">
        <v>734</v>
      </c>
      <c r="B732" s="2">
        <v>45662</v>
      </c>
      <c r="C732" s="3">
        <f t="shared" si="78"/>
        <v>176</v>
      </c>
      <c r="D732">
        <f t="shared" si="79"/>
        <v>526</v>
      </c>
      <c r="E732">
        <f t="shared" si="80"/>
        <v>17</v>
      </c>
      <c r="F732">
        <f t="shared" si="81"/>
        <v>4</v>
      </c>
      <c r="G732">
        <f t="shared" si="84"/>
        <v>2</v>
      </c>
      <c r="H732">
        <f t="shared" si="82"/>
        <v>2</v>
      </c>
      <c r="I732" s="9" t="str">
        <f t="shared" si="83"/>
        <v>422</v>
      </c>
      <c r="Q732" s="1">
        <v>0.35828118445361734</v>
      </c>
      <c r="R732" s="1">
        <v>0.32224625706214716</v>
      </c>
    </row>
    <row r="733" spans="1:18" x14ac:dyDescent="0.35">
      <c r="A733" t="s">
        <v>735</v>
      </c>
      <c r="B733" s="2">
        <v>45339</v>
      </c>
      <c r="C733" s="3">
        <f t="shared" si="78"/>
        <v>499</v>
      </c>
      <c r="D733">
        <f t="shared" si="79"/>
        <v>1049</v>
      </c>
      <c r="E733">
        <f t="shared" si="80"/>
        <v>35</v>
      </c>
      <c r="F733">
        <f t="shared" si="81"/>
        <v>1</v>
      </c>
      <c r="G733">
        <f t="shared" si="84"/>
        <v>4</v>
      </c>
      <c r="H733">
        <f t="shared" si="82"/>
        <v>5</v>
      </c>
      <c r="I733" s="9" t="str">
        <f t="shared" si="83"/>
        <v>145</v>
      </c>
      <c r="Q733" s="1">
        <v>0.57321452017168806</v>
      </c>
      <c r="R733" s="1">
        <v>0.74128056223697958</v>
      </c>
    </row>
    <row r="734" spans="1:18" x14ac:dyDescent="0.35">
      <c r="A734" t="s">
        <v>736</v>
      </c>
      <c r="B734" s="2">
        <v>45404</v>
      </c>
      <c r="C734" s="3">
        <f t="shared" si="78"/>
        <v>434</v>
      </c>
      <c r="D734">
        <f t="shared" si="79"/>
        <v>977</v>
      </c>
      <c r="E734">
        <f t="shared" si="80"/>
        <v>32</v>
      </c>
      <c r="F734">
        <f t="shared" si="81"/>
        <v>1</v>
      </c>
      <c r="G734">
        <f t="shared" si="84"/>
        <v>4</v>
      </c>
      <c r="H734">
        <f t="shared" si="82"/>
        <v>4</v>
      </c>
      <c r="I734" s="9" t="str">
        <f t="shared" si="83"/>
        <v>144</v>
      </c>
      <c r="Q734" s="1">
        <v>0.29272599841095603</v>
      </c>
      <c r="R734" s="1">
        <v>0.79182524866071713</v>
      </c>
    </row>
    <row r="735" spans="1:18" x14ac:dyDescent="0.35">
      <c r="A735" t="s">
        <v>737</v>
      </c>
      <c r="B735" s="2">
        <v>45563</v>
      </c>
      <c r="C735" s="3">
        <f t="shared" si="78"/>
        <v>275</v>
      </c>
      <c r="D735">
        <f t="shared" si="79"/>
        <v>483</v>
      </c>
      <c r="E735">
        <f t="shared" si="80"/>
        <v>16</v>
      </c>
      <c r="F735">
        <f t="shared" si="81"/>
        <v>3</v>
      </c>
      <c r="G735">
        <f t="shared" si="84"/>
        <v>1</v>
      </c>
      <c r="H735">
        <f t="shared" si="82"/>
        <v>1</v>
      </c>
      <c r="I735" s="9" t="str">
        <f t="shared" si="83"/>
        <v>311</v>
      </c>
      <c r="Q735" s="1">
        <v>0.53011627642789527</v>
      </c>
      <c r="R735" s="1">
        <v>0.20597582357419353</v>
      </c>
    </row>
    <row r="736" spans="1:18" x14ac:dyDescent="0.35">
      <c r="A736" t="s">
        <v>738</v>
      </c>
      <c r="B736" s="2">
        <v>45743</v>
      </c>
      <c r="C736" s="3">
        <f t="shared" si="78"/>
        <v>95</v>
      </c>
      <c r="D736">
        <f t="shared" si="79"/>
        <v>1314</v>
      </c>
      <c r="E736">
        <f t="shared" si="80"/>
        <v>44</v>
      </c>
      <c r="F736">
        <f t="shared" si="81"/>
        <v>5</v>
      </c>
      <c r="G736">
        <f t="shared" si="84"/>
        <v>5</v>
      </c>
      <c r="H736">
        <f t="shared" si="82"/>
        <v>5</v>
      </c>
      <c r="I736" s="9" t="str">
        <f t="shared" si="83"/>
        <v>555</v>
      </c>
      <c r="Q736" s="1">
        <v>0.78968585115386192</v>
      </c>
      <c r="R736" s="1">
        <v>0.90770170247924209</v>
      </c>
    </row>
    <row r="737" spans="1:18" x14ac:dyDescent="0.35">
      <c r="A737" t="s">
        <v>739</v>
      </c>
      <c r="B737" s="2">
        <v>45526</v>
      </c>
      <c r="C737" s="3">
        <f t="shared" si="78"/>
        <v>312</v>
      </c>
      <c r="D737">
        <f t="shared" si="79"/>
        <v>862</v>
      </c>
      <c r="E737">
        <f t="shared" si="80"/>
        <v>29</v>
      </c>
      <c r="F737">
        <f t="shared" si="81"/>
        <v>2</v>
      </c>
      <c r="G737">
        <f t="shared" si="84"/>
        <v>4</v>
      </c>
      <c r="H737">
        <f t="shared" si="82"/>
        <v>4</v>
      </c>
      <c r="I737" s="9" t="str">
        <f t="shared" si="83"/>
        <v>244</v>
      </c>
      <c r="Q737" s="1">
        <v>0.8080141239209282</v>
      </c>
      <c r="R737" s="1">
        <v>0.45766912375544688</v>
      </c>
    </row>
    <row r="738" spans="1:18" x14ac:dyDescent="0.35">
      <c r="A738" t="s">
        <v>740</v>
      </c>
      <c r="B738" s="2">
        <v>45297</v>
      </c>
      <c r="C738" s="3">
        <f t="shared" si="78"/>
        <v>541</v>
      </c>
      <c r="D738">
        <f t="shared" si="79"/>
        <v>703</v>
      </c>
      <c r="E738">
        <f t="shared" si="80"/>
        <v>23</v>
      </c>
      <c r="F738">
        <f t="shared" si="81"/>
        <v>1</v>
      </c>
      <c r="G738">
        <f t="shared" si="84"/>
        <v>2</v>
      </c>
      <c r="H738">
        <f t="shared" si="82"/>
        <v>2</v>
      </c>
      <c r="I738" s="9" t="str">
        <f t="shared" si="83"/>
        <v>122</v>
      </c>
      <c r="Q738" s="1">
        <v>0.67884872365798066</v>
      </c>
      <c r="R738" s="1">
        <v>0.35782336762164113</v>
      </c>
    </row>
    <row r="739" spans="1:18" x14ac:dyDescent="0.35">
      <c r="A739" t="s">
        <v>741</v>
      </c>
      <c r="B739" s="2">
        <v>45792</v>
      </c>
      <c r="C739" s="3">
        <f t="shared" si="78"/>
        <v>46</v>
      </c>
      <c r="D739">
        <f t="shared" si="79"/>
        <v>433</v>
      </c>
      <c r="E739">
        <f t="shared" si="80"/>
        <v>14</v>
      </c>
      <c r="F739">
        <f t="shared" si="81"/>
        <v>5</v>
      </c>
      <c r="G739">
        <f t="shared" si="84"/>
        <v>1</v>
      </c>
      <c r="H739">
        <f t="shared" si="82"/>
        <v>1</v>
      </c>
      <c r="I739" s="9" t="str">
        <f t="shared" si="83"/>
        <v>511</v>
      </c>
      <c r="Q739" s="1">
        <v>3.6286536062500652E-2</v>
      </c>
      <c r="R739" s="1">
        <v>0.36859800295180134</v>
      </c>
    </row>
    <row r="740" spans="1:18" x14ac:dyDescent="0.35">
      <c r="A740" t="s">
        <v>742</v>
      </c>
      <c r="B740" s="2">
        <v>45514</v>
      </c>
      <c r="C740" s="3">
        <f t="shared" si="78"/>
        <v>324</v>
      </c>
      <c r="D740">
        <f t="shared" si="79"/>
        <v>437</v>
      </c>
      <c r="E740">
        <f t="shared" si="80"/>
        <v>14</v>
      </c>
      <c r="F740">
        <f t="shared" si="81"/>
        <v>2</v>
      </c>
      <c r="G740">
        <f t="shared" si="84"/>
        <v>1</v>
      </c>
      <c r="H740">
        <f t="shared" si="82"/>
        <v>1</v>
      </c>
      <c r="I740" s="9" t="str">
        <f t="shared" si="83"/>
        <v>211</v>
      </c>
      <c r="Q740" s="1">
        <v>0.36401352642762652</v>
      </c>
      <c r="R740" s="1">
        <v>0.23256374629634857</v>
      </c>
    </row>
    <row r="741" spans="1:18" x14ac:dyDescent="0.35">
      <c r="A741" t="s">
        <v>743</v>
      </c>
      <c r="B741" s="2">
        <v>45805</v>
      </c>
      <c r="C741" s="3">
        <f t="shared" si="78"/>
        <v>33</v>
      </c>
      <c r="D741">
        <f t="shared" si="79"/>
        <v>1044</v>
      </c>
      <c r="E741">
        <f t="shared" si="80"/>
        <v>35</v>
      </c>
      <c r="F741">
        <f t="shared" si="81"/>
        <v>5</v>
      </c>
      <c r="G741">
        <f t="shared" si="84"/>
        <v>4</v>
      </c>
      <c r="H741">
        <f t="shared" si="82"/>
        <v>4</v>
      </c>
      <c r="I741" s="9" t="str">
        <f t="shared" si="83"/>
        <v>544</v>
      </c>
      <c r="Q741" s="1">
        <v>0.9443988362669653</v>
      </c>
      <c r="R741" s="1">
        <v>0.57771453948731477</v>
      </c>
    </row>
    <row r="742" spans="1:18" x14ac:dyDescent="0.35">
      <c r="A742" t="s">
        <v>744</v>
      </c>
      <c r="B742" s="2">
        <v>45811</v>
      </c>
      <c r="C742" s="3">
        <f t="shared" si="78"/>
        <v>27</v>
      </c>
      <c r="D742">
        <f t="shared" si="79"/>
        <v>815</v>
      </c>
      <c r="E742">
        <f t="shared" si="80"/>
        <v>27</v>
      </c>
      <c r="F742">
        <f t="shared" si="81"/>
        <v>5</v>
      </c>
      <c r="G742">
        <f t="shared" si="84"/>
        <v>4</v>
      </c>
      <c r="H742">
        <f t="shared" si="82"/>
        <v>4</v>
      </c>
      <c r="I742" s="9" t="str">
        <f t="shared" si="83"/>
        <v>544</v>
      </c>
      <c r="Q742" s="1">
        <v>0.9864020991512179</v>
      </c>
      <c r="R742" s="1">
        <v>0.33555210665629587</v>
      </c>
    </row>
    <row r="743" spans="1:18" x14ac:dyDescent="0.35">
      <c r="A743" t="s">
        <v>745</v>
      </c>
      <c r="B743" s="2">
        <v>45738</v>
      </c>
      <c r="C743" s="3">
        <f t="shared" si="78"/>
        <v>100</v>
      </c>
      <c r="D743">
        <f t="shared" si="79"/>
        <v>1062</v>
      </c>
      <c r="E743">
        <f t="shared" si="80"/>
        <v>35</v>
      </c>
      <c r="F743">
        <f t="shared" si="81"/>
        <v>5</v>
      </c>
      <c r="G743">
        <f t="shared" si="84"/>
        <v>4</v>
      </c>
      <c r="H743">
        <f t="shared" si="82"/>
        <v>5</v>
      </c>
      <c r="I743" s="9" t="str">
        <f t="shared" si="83"/>
        <v>545</v>
      </c>
      <c r="Q743" s="1">
        <v>0.65875507591343141</v>
      </c>
      <c r="R743" s="1">
        <v>0.71744839186365827</v>
      </c>
    </row>
    <row r="744" spans="1:18" x14ac:dyDescent="0.35">
      <c r="A744" t="s">
        <v>746</v>
      </c>
      <c r="B744" s="2">
        <v>45549</v>
      </c>
      <c r="C744" s="3">
        <f t="shared" si="78"/>
        <v>289</v>
      </c>
      <c r="D744">
        <f t="shared" si="79"/>
        <v>712</v>
      </c>
      <c r="E744">
        <f t="shared" si="80"/>
        <v>24</v>
      </c>
      <c r="F744">
        <f t="shared" si="81"/>
        <v>2</v>
      </c>
      <c r="G744">
        <f t="shared" si="84"/>
        <v>2</v>
      </c>
      <c r="H744">
        <f t="shared" si="82"/>
        <v>2</v>
      </c>
      <c r="I744" s="9" t="str">
        <f t="shared" si="83"/>
        <v>222</v>
      </c>
      <c r="Q744" s="1">
        <v>0.64080050575724889</v>
      </c>
      <c r="R744" s="1">
        <v>0.38313570291531918</v>
      </c>
    </row>
    <row r="745" spans="1:18" x14ac:dyDescent="0.35">
      <c r="A745" t="s">
        <v>747</v>
      </c>
      <c r="B745" s="2">
        <v>45749</v>
      </c>
      <c r="C745" s="3">
        <f t="shared" si="78"/>
        <v>89</v>
      </c>
      <c r="D745">
        <f t="shared" si="79"/>
        <v>859</v>
      </c>
      <c r="E745">
        <f t="shared" si="80"/>
        <v>28</v>
      </c>
      <c r="F745">
        <f t="shared" si="81"/>
        <v>5</v>
      </c>
      <c r="G745">
        <f t="shared" si="84"/>
        <v>4</v>
      </c>
      <c r="H745">
        <f t="shared" si="82"/>
        <v>4</v>
      </c>
      <c r="I745" s="9" t="str">
        <f t="shared" si="83"/>
        <v>544</v>
      </c>
      <c r="Q745" s="1">
        <v>0.24639139902471918</v>
      </c>
      <c r="R745" s="1">
        <v>0.69609748118552417</v>
      </c>
    </row>
    <row r="746" spans="1:18" x14ac:dyDescent="0.35">
      <c r="A746" t="s">
        <v>748</v>
      </c>
      <c r="B746" s="2">
        <v>45725</v>
      </c>
      <c r="C746" s="3">
        <f t="shared" si="78"/>
        <v>113</v>
      </c>
      <c r="D746">
        <f t="shared" si="79"/>
        <v>980</v>
      </c>
      <c r="E746">
        <f t="shared" si="80"/>
        <v>33</v>
      </c>
      <c r="F746">
        <f t="shared" si="81"/>
        <v>5</v>
      </c>
      <c r="G746">
        <f t="shared" si="84"/>
        <v>4</v>
      </c>
      <c r="H746">
        <f t="shared" si="82"/>
        <v>4</v>
      </c>
      <c r="I746" s="9" t="str">
        <f t="shared" si="83"/>
        <v>544</v>
      </c>
      <c r="Q746" s="1">
        <v>0.82068241989818813</v>
      </c>
      <c r="R746" s="1">
        <v>0.568198509825107</v>
      </c>
    </row>
    <row r="747" spans="1:18" x14ac:dyDescent="0.35">
      <c r="A747" t="s">
        <v>749</v>
      </c>
      <c r="B747" s="2">
        <v>45439</v>
      </c>
      <c r="C747" s="3">
        <f t="shared" si="78"/>
        <v>399</v>
      </c>
      <c r="D747">
        <f t="shared" si="79"/>
        <v>975</v>
      </c>
      <c r="E747">
        <f t="shared" si="80"/>
        <v>32</v>
      </c>
      <c r="F747">
        <f t="shared" si="81"/>
        <v>2</v>
      </c>
      <c r="G747">
        <f t="shared" si="84"/>
        <v>4</v>
      </c>
      <c r="H747">
        <f t="shared" si="82"/>
        <v>4</v>
      </c>
      <c r="I747" s="9" t="str">
        <f t="shared" si="83"/>
        <v>244</v>
      </c>
      <c r="Q747" s="1">
        <v>0.56084214262373044</v>
      </c>
      <c r="R747" s="1">
        <v>0.67428813523659548</v>
      </c>
    </row>
    <row r="748" spans="1:18" x14ac:dyDescent="0.35">
      <c r="A748" t="s">
        <v>750</v>
      </c>
      <c r="B748" s="2">
        <v>45400</v>
      </c>
      <c r="C748" s="3">
        <f t="shared" si="78"/>
        <v>438</v>
      </c>
      <c r="D748">
        <f t="shared" si="79"/>
        <v>1025</v>
      </c>
      <c r="E748">
        <f t="shared" si="80"/>
        <v>34</v>
      </c>
      <c r="F748">
        <f t="shared" si="81"/>
        <v>1</v>
      </c>
      <c r="G748">
        <f t="shared" si="84"/>
        <v>4</v>
      </c>
      <c r="H748">
        <f t="shared" si="82"/>
        <v>4</v>
      </c>
      <c r="I748" s="9" t="str">
        <f t="shared" si="83"/>
        <v>144</v>
      </c>
      <c r="Q748" s="1">
        <v>0.22125871485919824</v>
      </c>
      <c r="R748" s="1">
        <v>0.86943207443084247</v>
      </c>
    </row>
    <row r="749" spans="1:18" x14ac:dyDescent="0.35">
      <c r="A749" t="s">
        <v>751</v>
      </c>
      <c r="B749" s="2">
        <v>45572</v>
      </c>
      <c r="C749" s="3">
        <f t="shared" si="78"/>
        <v>266</v>
      </c>
      <c r="D749">
        <f t="shared" si="79"/>
        <v>259</v>
      </c>
      <c r="E749">
        <f t="shared" si="80"/>
        <v>8</v>
      </c>
      <c r="F749">
        <f t="shared" si="81"/>
        <v>4</v>
      </c>
      <c r="G749">
        <f t="shared" si="84"/>
        <v>1</v>
      </c>
      <c r="H749">
        <f t="shared" si="82"/>
        <v>1</v>
      </c>
      <c r="I749" s="9" t="str">
        <f t="shared" si="83"/>
        <v>411</v>
      </c>
      <c r="Q749" s="1">
        <v>4.9411171863578462E-2</v>
      </c>
      <c r="R749" s="1">
        <v>0.19316370930400351</v>
      </c>
    </row>
    <row r="750" spans="1:18" x14ac:dyDescent="0.35">
      <c r="A750" t="s">
        <v>752</v>
      </c>
      <c r="B750" s="2">
        <v>45767</v>
      </c>
      <c r="C750" s="3">
        <f t="shared" si="78"/>
        <v>71</v>
      </c>
      <c r="D750">
        <f t="shared" si="79"/>
        <v>1447</v>
      </c>
      <c r="E750">
        <f t="shared" si="80"/>
        <v>48</v>
      </c>
      <c r="F750">
        <f t="shared" si="81"/>
        <v>5</v>
      </c>
      <c r="G750">
        <f t="shared" si="84"/>
        <v>5</v>
      </c>
      <c r="H750">
        <f t="shared" si="82"/>
        <v>5</v>
      </c>
      <c r="I750" s="9" t="str">
        <f t="shared" si="83"/>
        <v>555</v>
      </c>
      <c r="Q750" s="1">
        <v>0.95035735125608356</v>
      </c>
      <c r="R750" s="1">
        <v>0.96977339994317679</v>
      </c>
    </row>
    <row r="751" spans="1:18" x14ac:dyDescent="0.35">
      <c r="A751" t="s">
        <v>753</v>
      </c>
      <c r="B751" s="2">
        <v>45375</v>
      </c>
      <c r="C751" s="3">
        <f t="shared" si="78"/>
        <v>463</v>
      </c>
      <c r="D751">
        <f t="shared" si="79"/>
        <v>1238</v>
      </c>
      <c r="E751">
        <f t="shared" si="80"/>
        <v>41</v>
      </c>
      <c r="F751">
        <f t="shared" si="81"/>
        <v>1</v>
      </c>
      <c r="G751">
        <f t="shared" si="84"/>
        <v>5</v>
      </c>
      <c r="H751">
        <f t="shared" si="82"/>
        <v>5</v>
      </c>
      <c r="I751" s="9" t="str">
        <f t="shared" si="83"/>
        <v>155</v>
      </c>
      <c r="Q751" s="1">
        <v>0.54399059895398494</v>
      </c>
      <c r="R751" s="1">
        <v>0.93862137986271843</v>
      </c>
    </row>
    <row r="752" spans="1:18" x14ac:dyDescent="0.35">
      <c r="A752" t="s">
        <v>754</v>
      </c>
      <c r="B752" s="2">
        <v>45774</v>
      </c>
      <c r="C752" s="3">
        <f t="shared" si="78"/>
        <v>64</v>
      </c>
      <c r="D752">
        <f t="shared" si="79"/>
        <v>742</v>
      </c>
      <c r="E752">
        <f t="shared" si="80"/>
        <v>25</v>
      </c>
      <c r="F752">
        <f t="shared" si="81"/>
        <v>5</v>
      </c>
      <c r="G752">
        <f t="shared" si="84"/>
        <v>2</v>
      </c>
      <c r="H752">
        <f t="shared" si="82"/>
        <v>2</v>
      </c>
      <c r="I752" s="9" t="str">
        <f t="shared" si="83"/>
        <v>522</v>
      </c>
      <c r="Q752" s="1">
        <v>0.93755465891972634</v>
      </c>
      <c r="R752" s="1">
        <v>0.28505505796841679</v>
      </c>
    </row>
    <row r="753" spans="1:18" x14ac:dyDescent="0.35">
      <c r="A753" t="s">
        <v>755</v>
      </c>
      <c r="B753" s="2">
        <v>45314</v>
      </c>
      <c r="C753" s="3">
        <f t="shared" si="78"/>
        <v>524</v>
      </c>
      <c r="D753">
        <f t="shared" si="79"/>
        <v>647</v>
      </c>
      <c r="E753">
        <f t="shared" si="80"/>
        <v>21</v>
      </c>
      <c r="F753">
        <f t="shared" si="81"/>
        <v>1</v>
      </c>
      <c r="G753">
        <f t="shared" si="84"/>
        <v>2</v>
      </c>
      <c r="H753">
        <f t="shared" si="82"/>
        <v>2</v>
      </c>
      <c r="I753" s="9" t="str">
        <f t="shared" si="83"/>
        <v>122</v>
      </c>
      <c r="Q753" s="1">
        <v>0.91002430794317291</v>
      </c>
      <c r="R753" s="1">
        <v>0.20371988265861707</v>
      </c>
    </row>
    <row r="754" spans="1:18" x14ac:dyDescent="0.35">
      <c r="A754" t="s">
        <v>756</v>
      </c>
      <c r="B754" s="2">
        <v>45559</v>
      </c>
      <c r="C754" s="3">
        <f t="shared" si="78"/>
        <v>279</v>
      </c>
      <c r="D754">
        <f t="shared" si="79"/>
        <v>716</v>
      </c>
      <c r="E754">
        <f t="shared" si="80"/>
        <v>24</v>
      </c>
      <c r="F754">
        <f t="shared" si="81"/>
        <v>2</v>
      </c>
      <c r="G754">
        <f t="shared" si="84"/>
        <v>2</v>
      </c>
      <c r="H754">
        <f t="shared" si="82"/>
        <v>2</v>
      </c>
      <c r="I754" s="9" t="str">
        <f t="shared" si="83"/>
        <v>222</v>
      </c>
      <c r="Q754" s="1">
        <v>0.29195170426927564</v>
      </c>
      <c r="R754" s="1">
        <v>0.53657965476673386</v>
      </c>
    </row>
    <row r="755" spans="1:18" x14ac:dyDescent="0.35">
      <c r="A755" t="s">
        <v>757</v>
      </c>
      <c r="B755" s="2">
        <v>45527</v>
      </c>
      <c r="C755" s="3">
        <f t="shared" si="78"/>
        <v>311</v>
      </c>
      <c r="D755">
        <f t="shared" si="79"/>
        <v>1054</v>
      </c>
      <c r="E755">
        <f t="shared" si="80"/>
        <v>35</v>
      </c>
      <c r="F755">
        <f t="shared" si="81"/>
        <v>2</v>
      </c>
      <c r="G755">
        <f t="shared" si="84"/>
        <v>4</v>
      </c>
      <c r="H755">
        <f t="shared" si="82"/>
        <v>5</v>
      </c>
      <c r="I755" s="9" t="str">
        <f t="shared" si="83"/>
        <v>245</v>
      </c>
      <c r="Q755" s="1">
        <v>2.084013492960024E-2</v>
      </c>
      <c r="R755" s="1">
        <v>0.98349481533109995</v>
      </c>
    </row>
    <row r="756" spans="1:18" x14ac:dyDescent="0.35">
      <c r="A756" t="s">
        <v>758</v>
      </c>
      <c r="B756" s="2">
        <v>45749</v>
      </c>
      <c r="C756" s="3">
        <f t="shared" si="78"/>
        <v>89</v>
      </c>
      <c r="D756">
        <f t="shared" si="79"/>
        <v>354</v>
      </c>
      <c r="E756">
        <f t="shared" si="80"/>
        <v>12</v>
      </c>
      <c r="F756">
        <f t="shared" si="81"/>
        <v>5</v>
      </c>
      <c r="G756">
        <f t="shared" si="84"/>
        <v>1</v>
      </c>
      <c r="H756">
        <f t="shared" si="82"/>
        <v>1</v>
      </c>
      <c r="I756" s="9" t="str">
        <f t="shared" si="83"/>
        <v>511</v>
      </c>
      <c r="Q756" s="1">
        <v>0.38520640215466029</v>
      </c>
      <c r="R756" s="1">
        <v>0.14229072188909742</v>
      </c>
    </row>
    <row r="757" spans="1:18" x14ac:dyDescent="0.35">
      <c r="A757" t="s">
        <v>759</v>
      </c>
      <c r="B757" s="2">
        <v>45297</v>
      </c>
      <c r="C757" s="3">
        <f t="shared" si="78"/>
        <v>541</v>
      </c>
      <c r="D757">
        <f t="shared" si="79"/>
        <v>1206</v>
      </c>
      <c r="E757">
        <f t="shared" si="80"/>
        <v>40</v>
      </c>
      <c r="F757">
        <f t="shared" si="81"/>
        <v>1</v>
      </c>
      <c r="G757">
        <f t="shared" si="84"/>
        <v>5</v>
      </c>
      <c r="H757">
        <f t="shared" si="82"/>
        <v>5</v>
      </c>
      <c r="I757" s="9" t="str">
        <f t="shared" si="83"/>
        <v>155</v>
      </c>
      <c r="Q757" s="1">
        <v>0.87297642366346462</v>
      </c>
      <c r="R757" s="1">
        <v>0.76685770896328231</v>
      </c>
    </row>
    <row r="758" spans="1:18" x14ac:dyDescent="0.35">
      <c r="A758" t="s">
        <v>760</v>
      </c>
      <c r="B758" s="2">
        <v>45331</v>
      </c>
      <c r="C758" s="3">
        <f t="shared" si="78"/>
        <v>507</v>
      </c>
      <c r="D758">
        <f t="shared" si="79"/>
        <v>1319</v>
      </c>
      <c r="E758">
        <f t="shared" si="80"/>
        <v>44</v>
      </c>
      <c r="F758">
        <f t="shared" si="81"/>
        <v>1</v>
      </c>
      <c r="G758">
        <f t="shared" si="84"/>
        <v>5</v>
      </c>
      <c r="H758">
        <f t="shared" si="82"/>
        <v>5</v>
      </c>
      <c r="I758" s="9" t="str">
        <f t="shared" si="83"/>
        <v>155</v>
      </c>
      <c r="Q758" s="1">
        <v>0.65197898063628879</v>
      </c>
      <c r="R758" s="1">
        <v>0.97193392387977873</v>
      </c>
    </row>
    <row r="759" spans="1:18" x14ac:dyDescent="0.35">
      <c r="A759" t="s">
        <v>761</v>
      </c>
      <c r="B759" s="2">
        <v>45315</v>
      </c>
      <c r="C759" s="3">
        <f t="shared" si="78"/>
        <v>523</v>
      </c>
      <c r="D759">
        <f t="shared" si="79"/>
        <v>678</v>
      </c>
      <c r="E759">
        <f t="shared" si="80"/>
        <v>22</v>
      </c>
      <c r="F759">
        <f t="shared" si="81"/>
        <v>1</v>
      </c>
      <c r="G759">
        <f t="shared" si="84"/>
        <v>2</v>
      </c>
      <c r="H759">
        <f t="shared" si="82"/>
        <v>2</v>
      </c>
      <c r="I759" s="9" t="str">
        <f t="shared" si="83"/>
        <v>122</v>
      </c>
      <c r="Q759" s="1">
        <v>0.76357281869085825</v>
      </c>
      <c r="R759" s="1">
        <v>0.2968762778097106</v>
      </c>
    </row>
    <row r="760" spans="1:18" x14ac:dyDescent="0.35">
      <c r="A760" t="s">
        <v>762</v>
      </c>
      <c r="B760" s="2">
        <v>45456</v>
      </c>
      <c r="C760" s="3">
        <f t="shared" si="78"/>
        <v>382</v>
      </c>
      <c r="D760">
        <f t="shared" si="79"/>
        <v>478</v>
      </c>
      <c r="E760">
        <f t="shared" si="80"/>
        <v>16</v>
      </c>
      <c r="F760">
        <f t="shared" si="81"/>
        <v>2</v>
      </c>
      <c r="G760">
        <f t="shared" si="84"/>
        <v>1</v>
      </c>
      <c r="H760">
        <f t="shared" si="82"/>
        <v>1</v>
      </c>
      <c r="I760" s="9" t="str">
        <f t="shared" si="83"/>
        <v>211</v>
      </c>
      <c r="Q760" s="1">
        <v>0.59694305516353219</v>
      </c>
      <c r="R760" s="1">
        <v>0.17249802121228486</v>
      </c>
    </row>
    <row r="761" spans="1:18" x14ac:dyDescent="0.35">
      <c r="A761" t="s">
        <v>763</v>
      </c>
      <c r="B761" s="2">
        <v>45661</v>
      </c>
      <c r="C761" s="3">
        <f t="shared" si="78"/>
        <v>177</v>
      </c>
      <c r="D761">
        <f t="shared" si="79"/>
        <v>1020</v>
      </c>
      <c r="E761">
        <f t="shared" si="80"/>
        <v>34</v>
      </c>
      <c r="F761">
        <f t="shared" si="81"/>
        <v>4</v>
      </c>
      <c r="G761">
        <f t="shared" si="84"/>
        <v>4</v>
      </c>
      <c r="H761">
        <f t="shared" si="82"/>
        <v>4</v>
      </c>
      <c r="I761" s="9" t="str">
        <f t="shared" si="83"/>
        <v>444</v>
      </c>
      <c r="Q761" s="1">
        <v>0.61321338726790797</v>
      </c>
      <c r="R761" s="1">
        <v>0.69569908640218603</v>
      </c>
    </row>
    <row r="762" spans="1:18" x14ac:dyDescent="0.35">
      <c r="A762" t="s">
        <v>764</v>
      </c>
      <c r="B762" s="2">
        <v>45771</v>
      </c>
      <c r="C762" s="3">
        <f t="shared" si="78"/>
        <v>67</v>
      </c>
      <c r="D762">
        <f t="shared" si="79"/>
        <v>584</v>
      </c>
      <c r="E762">
        <f t="shared" si="80"/>
        <v>19</v>
      </c>
      <c r="F762">
        <f t="shared" si="81"/>
        <v>5</v>
      </c>
      <c r="G762">
        <f t="shared" si="84"/>
        <v>2</v>
      </c>
      <c r="H762">
        <f t="shared" si="82"/>
        <v>2</v>
      </c>
      <c r="I762" s="9" t="str">
        <f t="shared" si="83"/>
        <v>522</v>
      </c>
      <c r="Q762" s="1">
        <v>0.3252116188548434</v>
      </c>
      <c r="R762" s="1">
        <v>0.39291523220395874</v>
      </c>
    </row>
    <row r="763" spans="1:18" x14ac:dyDescent="0.35">
      <c r="A763" t="s">
        <v>765</v>
      </c>
      <c r="B763" s="2">
        <v>45353</v>
      </c>
      <c r="C763" s="3">
        <f t="shared" si="78"/>
        <v>485</v>
      </c>
      <c r="D763">
        <f t="shared" si="79"/>
        <v>935</v>
      </c>
      <c r="E763">
        <f t="shared" si="80"/>
        <v>31</v>
      </c>
      <c r="F763">
        <f t="shared" si="81"/>
        <v>1</v>
      </c>
      <c r="G763">
        <f t="shared" si="84"/>
        <v>4</v>
      </c>
      <c r="H763">
        <f t="shared" si="82"/>
        <v>4</v>
      </c>
      <c r="I763" s="9" t="str">
        <f t="shared" si="83"/>
        <v>144</v>
      </c>
      <c r="Q763" s="1">
        <v>0.72820748843665883</v>
      </c>
      <c r="R763" s="1">
        <v>0.56323082040575867</v>
      </c>
    </row>
    <row r="764" spans="1:18" x14ac:dyDescent="0.35">
      <c r="A764" t="s">
        <v>766</v>
      </c>
      <c r="B764" s="2">
        <v>45358</v>
      </c>
      <c r="C764" s="3">
        <f t="shared" si="78"/>
        <v>480</v>
      </c>
      <c r="D764">
        <f t="shared" si="79"/>
        <v>436</v>
      </c>
      <c r="E764">
        <f t="shared" si="80"/>
        <v>14</v>
      </c>
      <c r="F764">
        <f t="shared" si="81"/>
        <v>1</v>
      </c>
      <c r="G764">
        <f t="shared" si="84"/>
        <v>1</v>
      </c>
      <c r="H764">
        <f t="shared" si="82"/>
        <v>1</v>
      </c>
      <c r="I764" s="9" t="str">
        <f t="shared" si="83"/>
        <v>111</v>
      </c>
      <c r="Q764" s="1">
        <v>0.17341366228960253</v>
      </c>
      <c r="R764" s="1">
        <v>0.31321599668816358</v>
      </c>
    </row>
    <row r="765" spans="1:18" x14ac:dyDescent="0.35">
      <c r="A765" t="s">
        <v>767</v>
      </c>
      <c r="B765" s="2">
        <v>45515</v>
      </c>
      <c r="C765" s="3">
        <f t="shared" si="78"/>
        <v>323</v>
      </c>
      <c r="D765">
        <f t="shared" si="79"/>
        <v>1107</v>
      </c>
      <c r="E765">
        <f t="shared" si="80"/>
        <v>37</v>
      </c>
      <c r="F765">
        <f t="shared" si="81"/>
        <v>2</v>
      </c>
      <c r="G765">
        <f t="shared" si="84"/>
        <v>5</v>
      </c>
      <c r="H765">
        <f t="shared" si="82"/>
        <v>5</v>
      </c>
      <c r="I765" s="9" t="str">
        <f t="shared" si="83"/>
        <v>255</v>
      </c>
      <c r="Q765" s="1">
        <v>0.12126780965965278</v>
      </c>
      <c r="R765" s="1">
        <v>0.99237674144599231</v>
      </c>
    </row>
    <row r="766" spans="1:18" x14ac:dyDescent="0.35">
      <c r="A766" t="s">
        <v>768</v>
      </c>
      <c r="B766" s="2">
        <v>45681</v>
      </c>
      <c r="C766" s="3">
        <f t="shared" si="78"/>
        <v>157</v>
      </c>
      <c r="D766">
        <f t="shared" si="79"/>
        <v>573</v>
      </c>
      <c r="E766">
        <f t="shared" si="80"/>
        <v>19</v>
      </c>
      <c r="F766">
        <f t="shared" si="81"/>
        <v>4</v>
      </c>
      <c r="G766">
        <f t="shared" si="84"/>
        <v>2</v>
      </c>
      <c r="H766">
        <f t="shared" si="82"/>
        <v>2</v>
      </c>
      <c r="I766" s="9" t="str">
        <f t="shared" si="83"/>
        <v>422</v>
      </c>
      <c r="Q766" s="1">
        <v>0.58994684718889268</v>
      </c>
      <c r="R766" s="1">
        <v>0.26906221798371399</v>
      </c>
    </row>
    <row r="767" spans="1:18" x14ac:dyDescent="0.35">
      <c r="A767" t="s">
        <v>769</v>
      </c>
      <c r="B767" s="2">
        <v>45528</v>
      </c>
      <c r="C767" s="3">
        <f t="shared" si="78"/>
        <v>310</v>
      </c>
      <c r="D767">
        <f t="shared" si="79"/>
        <v>331</v>
      </c>
      <c r="E767">
        <f t="shared" si="80"/>
        <v>11</v>
      </c>
      <c r="F767">
        <f t="shared" si="81"/>
        <v>2</v>
      </c>
      <c r="G767">
        <f t="shared" si="84"/>
        <v>1</v>
      </c>
      <c r="H767">
        <f t="shared" si="82"/>
        <v>1</v>
      </c>
      <c r="I767" s="9" t="str">
        <f t="shared" si="83"/>
        <v>211</v>
      </c>
      <c r="Q767" s="1">
        <v>0.37585231866407942</v>
      </c>
      <c r="R767" s="1">
        <v>0.12392233387963147</v>
      </c>
    </row>
    <row r="768" spans="1:18" x14ac:dyDescent="0.35">
      <c r="A768" t="s">
        <v>770</v>
      </c>
      <c r="B768" s="2">
        <v>45461</v>
      </c>
      <c r="C768" s="3">
        <f t="shared" si="78"/>
        <v>377</v>
      </c>
      <c r="D768">
        <f t="shared" si="79"/>
        <v>926</v>
      </c>
      <c r="E768">
        <f t="shared" si="80"/>
        <v>31</v>
      </c>
      <c r="F768">
        <f t="shared" si="81"/>
        <v>2</v>
      </c>
      <c r="G768">
        <f t="shared" si="84"/>
        <v>4</v>
      </c>
      <c r="H768">
        <f t="shared" si="82"/>
        <v>4</v>
      </c>
      <c r="I768" s="9" t="str">
        <f t="shared" si="83"/>
        <v>244</v>
      </c>
      <c r="Q768" s="1">
        <v>0.40142672143155789</v>
      </c>
      <c r="R768" s="1">
        <v>0.69502771417682552</v>
      </c>
    </row>
    <row r="769" spans="1:18" x14ac:dyDescent="0.35">
      <c r="A769" t="s">
        <v>771</v>
      </c>
      <c r="B769" s="2">
        <v>45342</v>
      </c>
      <c r="C769" s="3">
        <f t="shared" si="78"/>
        <v>496</v>
      </c>
      <c r="D769">
        <f t="shared" si="79"/>
        <v>1188</v>
      </c>
      <c r="E769">
        <f t="shared" si="80"/>
        <v>40</v>
      </c>
      <c r="F769">
        <f t="shared" si="81"/>
        <v>1</v>
      </c>
      <c r="G769">
        <f t="shared" si="84"/>
        <v>5</v>
      </c>
      <c r="H769">
        <f t="shared" si="82"/>
        <v>5</v>
      </c>
      <c r="I769" s="9" t="str">
        <f t="shared" si="83"/>
        <v>155</v>
      </c>
      <c r="Q769" s="1">
        <v>0.93374088185519089</v>
      </c>
      <c r="R769" s="1">
        <v>0.72277998914718111</v>
      </c>
    </row>
    <row r="770" spans="1:18" x14ac:dyDescent="0.35">
      <c r="A770" t="s">
        <v>772</v>
      </c>
      <c r="B770" s="2">
        <v>45424</v>
      </c>
      <c r="C770" s="3">
        <f t="shared" si="78"/>
        <v>414</v>
      </c>
      <c r="D770">
        <f t="shared" si="79"/>
        <v>716</v>
      </c>
      <c r="E770">
        <f t="shared" si="80"/>
        <v>24</v>
      </c>
      <c r="F770">
        <f t="shared" si="81"/>
        <v>1</v>
      </c>
      <c r="G770">
        <f t="shared" si="84"/>
        <v>2</v>
      </c>
      <c r="H770">
        <f t="shared" si="82"/>
        <v>2</v>
      </c>
      <c r="I770" s="9" t="str">
        <f t="shared" si="83"/>
        <v>122</v>
      </c>
      <c r="Q770" s="1">
        <v>2.1059252164225217E-2</v>
      </c>
      <c r="R770" s="1">
        <v>0.65208929327296739</v>
      </c>
    </row>
    <row r="771" spans="1:18" x14ac:dyDescent="0.35">
      <c r="A771" t="s">
        <v>773</v>
      </c>
      <c r="B771" s="2">
        <v>45341</v>
      </c>
      <c r="C771" s="3">
        <f t="shared" ref="C771:C834" si="85">$S$6-B771</f>
        <v>497</v>
      </c>
      <c r="D771">
        <f t="shared" ref="D771:D834" si="86">ROUND((R771*0.7+Q771*0.3)*(1500-40)+40,0)</f>
        <v>990</v>
      </c>
      <c r="E771">
        <f t="shared" ref="E771:E834" si="87">ROUND((R771*0.7+Q771*0.3)*(50-1)+1,0)</f>
        <v>33</v>
      </c>
      <c r="F771">
        <f t="shared" ref="F771:F834" si="88">IF(C771&lt;=$M$4,5,IF(C771&lt;=$M$9,4,IF(C771&lt;=$M$5,3,IF(C771&lt;=$M$6,2,1))))</f>
        <v>1</v>
      </c>
      <c r="G771">
        <f t="shared" si="84"/>
        <v>4</v>
      </c>
      <c r="H771">
        <f t="shared" ref="H771:H834" si="89">IF(D771&lt;=$M$24,1,IF(D771&lt;=$M$25,2,IF(D771&lt;=$M$29,3,IF(D771&lt;=$M$26,4,5))))</f>
        <v>4</v>
      </c>
      <c r="I771" s="9" t="str">
        <f t="shared" ref="I771:I834" si="90">CONCATENATE(F771,G771,H771)</f>
        <v>144</v>
      </c>
      <c r="Q771" s="1">
        <v>0.76784520939048972</v>
      </c>
      <c r="R771" s="1">
        <v>0.60041029419661485</v>
      </c>
    </row>
    <row r="772" spans="1:18" x14ac:dyDescent="0.35">
      <c r="A772" t="s">
        <v>774</v>
      </c>
      <c r="B772" s="2">
        <v>45808</v>
      </c>
      <c r="C772" s="3">
        <f t="shared" si="85"/>
        <v>30</v>
      </c>
      <c r="D772">
        <f t="shared" si="86"/>
        <v>1291</v>
      </c>
      <c r="E772">
        <f t="shared" si="87"/>
        <v>43</v>
      </c>
      <c r="F772">
        <f t="shared" si="88"/>
        <v>5</v>
      </c>
      <c r="G772">
        <f t="shared" ref="G772:G835" si="91">IF(E772&lt;=$M$14,1,IF(E772&lt;=$M$15,2,IF(E772&lt;=$M$19,3,IF(E772&lt;=$M$16,4,5))))</f>
        <v>5</v>
      </c>
      <c r="H772">
        <f t="shared" si="89"/>
        <v>5</v>
      </c>
      <c r="I772" s="9" t="str">
        <f t="shared" si="90"/>
        <v>555</v>
      </c>
      <c r="Q772" s="1">
        <v>0.94243910199331327</v>
      </c>
      <c r="R772" s="1">
        <v>0.819818744645749</v>
      </c>
    </row>
    <row r="773" spans="1:18" x14ac:dyDescent="0.35">
      <c r="A773" t="s">
        <v>775</v>
      </c>
      <c r="B773" s="2">
        <v>45496</v>
      </c>
      <c r="C773" s="3">
        <f t="shared" si="85"/>
        <v>342</v>
      </c>
      <c r="D773">
        <f t="shared" si="86"/>
        <v>1052</v>
      </c>
      <c r="E773">
        <f t="shared" si="87"/>
        <v>35</v>
      </c>
      <c r="F773">
        <f t="shared" si="88"/>
        <v>2</v>
      </c>
      <c r="G773">
        <f t="shared" si="91"/>
        <v>4</v>
      </c>
      <c r="H773">
        <f t="shared" si="89"/>
        <v>5</v>
      </c>
      <c r="I773" s="9" t="str">
        <f t="shared" si="90"/>
        <v>245</v>
      </c>
      <c r="Q773" s="1">
        <v>0.59666604134716172</v>
      </c>
      <c r="R773" s="1">
        <v>0.73434158380253378</v>
      </c>
    </row>
    <row r="774" spans="1:18" x14ac:dyDescent="0.35">
      <c r="A774" t="s">
        <v>776</v>
      </c>
      <c r="B774" s="2">
        <v>45674</v>
      </c>
      <c r="C774" s="3">
        <f t="shared" si="85"/>
        <v>164</v>
      </c>
      <c r="D774">
        <f t="shared" si="86"/>
        <v>402</v>
      </c>
      <c r="E774">
        <f t="shared" si="87"/>
        <v>13</v>
      </c>
      <c r="F774">
        <f t="shared" si="88"/>
        <v>4</v>
      </c>
      <c r="G774">
        <f t="shared" si="91"/>
        <v>1</v>
      </c>
      <c r="H774">
        <f t="shared" si="89"/>
        <v>1</v>
      </c>
      <c r="I774" s="9" t="str">
        <f t="shared" si="90"/>
        <v>411</v>
      </c>
      <c r="Q774" s="1">
        <v>0.13083034222154177</v>
      </c>
      <c r="R774" s="1">
        <v>0.29779555734214136</v>
      </c>
    </row>
    <row r="775" spans="1:18" x14ac:dyDescent="0.35">
      <c r="A775" t="s">
        <v>777</v>
      </c>
      <c r="B775" s="2">
        <v>45507</v>
      </c>
      <c r="C775" s="3">
        <f t="shared" si="85"/>
        <v>331</v>
      </c>
      <c r="D775">
        <f t="shared" si="86"/>
        <v>768</v>
      </c>
      <c r="E775">
        <f t="shared" si="87"/>
        <v>25</v>
      </c>
      <c r="F775">
        <f t="shared" si="88"/>
        <v>2</v>
      </c>
      <c r="G775">
        <f t="shared" si="91"/>
        <v>2</v>
      </c>
      <c r="H775">
        <f t="shared" si="89"/>
        <v>2</v>
      </c>
      <c r="I775" s="9" t="str">
        <f t="shared" si="90"/>
        <v>222</v>
      </c>
      <c r="Q775" s="1">
        <v>0.89116281902028349</v>
      </c>
      <c r="R775" s="1">
        <v>0.33083700779703151</v>
      </c>
    </row>
    <row r="776" spans="1:18" x14ac:dyDescent="0.35">
      <c r="A776" t="s">
        <v>778</v>
      </c>
      <c r="B776" s="2">
        <v>45352</v>
      </c>
      <c r="C776" s="3">
        <f t="shared" si="85"/>
        <v>486</v>
      </c>
      <c r="D776">
        <f t="shared" si="86"/>
        <v>241</v>
      </c>
      <c r="E776">
        <f t="shared" si="87"/>
        <v>8</v>
      </c>
      <c r="F776">
        <f t="shared" si="88"/>
        <v>1</v>
      </c>
      <c r="G776">
        <f t="shared" si="91"/>
        <v>1</v>
      </c>
      <c r="H776">
        <f t="shared" si="89"/>
        <v>1</v>
      </c>
      <c r="I776" s="9" t="str">
        <f t="shared" si="90"/>
        <v>111</v>
      </c>
      <c r="Q776" s="1">
        <v>0.35396299282342902</v>
      </c>
      <c r="R776" s="1">
        <v>4.4512493310232548E-2</v>
      </c>
    </row>
    <row r="777" spans="1:18" x14ac:dyDescent="0.35">
      <c r="A777" t="s">
        <v>779</v>
      </c>
      <c r="B777" s="2">
        <v>45351</v>
      </c>
      <c r="C777" s="3">
        <f t="shared" si="85"/>
        <v>487</v>
      </c>
      <c r="D777">
        <f t="shared" si="86"/>
        <v>780</v>
      </c>
      <c r="E777">
        <f t="shared" si="87"/>
        <v>26</v>
      </c>
      <c r="F777">
        <f t="shared" si="88"/>
        <v>1</v>
      </c>
      <c r="G777">
        <f t="shared" si="91"/>
        <v>2</v>
      </c>
      <c r="H777">
        <f t="shared" si="89"/>
        <v>2</v>
      </c>
      <c r="I777" s="9" t="str">
        <f t="shared" si="90"/>
        <v>122</v>
      </c>
      <c r="Q777" s="1">
        <v>0.64784187665307169</v>
      </c>
      <c r="R777" s="1">
        <v>0.44669347989938257</v>
      </c>
    </row>
    <row r="778" spans="1:18" x14ac:dyDescent="0.35">
      <c r="A778" t="s">
        <v>780</v>
      </c>
      <c r="B778" s="2">
        <v>45430</v>
      </c>
      <c r="C778" s="3">
        <f t="shared" si="85"/>
        <v>408</v>
      </c>
      <c r="D778">
        <f t="shared" si="86"/>
        <v>254</v>
      </c>
      <c r="E778">
        <f t="shared" si="87"/>
        <v>8</v>
      </c>
      <c r="F778">
        <f t="shared" si="88"/>
        <v>2</v>
      </c>
      <c r="G778">
        <f t="shared" si="91"/>
        <v>1</v>
      </c>
      <c r="H778">
        <f t="shared" si="89"/>
        <v>1</v>
      </c>
      <c r="I778" s="9" t="str">
        <f t="shared" si="90"/>
        <v>211</v>
      </c>
      <c r="Q778" s="1">
        <v>0.25688702676486097</v>
      </c>
      <c r="R778" s="1">
        <v>9.9294124057180522E-2</v>
      </c>
    </row>
    <row r="779" spans="1:18" x14ac:dyDescent="0.35">
      <c r="A779" t="s">
        <v>781</v>
      </c>
      <c r="B779" s="2">
        <v>45573</v>
      </c>
      <c r="C779" s="3">
        <f t="shared" si="85"/>
        <v>265</v>
      </c>
      <c r="D779">
        <f t="shared" si="86"/>
        <v>559</v>
      </c>
      <c r="E779">
        <f t="shared" si="87"/>
        <v>18</v>
      </c>
      <c r="F779">
        <f t="shared" si="88"/>
        <v>4</v>
      </c>
      <c r="G779">
        <f t="shared" si="91"/>
        <v>2</v>
      </c>
      <c r="H779">
        <f t="shared" si="89"/>
        <v>2</v>
      </c>
      <c r="I779" s="9" t="str">
        <f t="shared" si="90"/>
        <v>422</v>
      </c>
      <c r="Q779" s="1">
        <v>0.55106987621713721</v>
      </c>
      <c r="R779" s="1">
        <v>0.27195185211458417</v>
      </c>
    </row>
    <row r="780" spans="1:18" x14ac:dyDescent="0.35">
      <c r="A780" t="s">
        <v>782</v>
      </c>
      <c r="B780" s="2">
        <v>45522</v>
      </c>
      <c r="C780" s="3">
        <f t="shared" si="85"/>
        <v>316</v>
      </c>
      <c r="D780">
        <f t="shared" si="86"/>
        <v>1202</v>
      </c>
      <c r="E780">
        <f t="shared" si="87"/>
        <v>40</v>
      </c>
      <c r="F780">
        <f t="shared" si="88"/>
        <v>2</v>
      </c>
      <c r="G780">
        <f t="shared" si="91"/>
        <v>5</v>
      </c>
      <c r="H780">
        <f t="shared" si="89"/>
        <v>5</v>
      </c>
      <c r="I780" s="9" t="str">
        <f t="shared" si="90"/>
        <v>255</v>
      </c>
      <c r="Q780" s="1">
        <v>0.52431179856239707</v>
      </c>
      <c r="R780" s="1">
        <v>0.91204094832093152</v>
      </c>
    </row>
    <row r="781" spans="1:18" x14ac:dyDescent="0.35">
      <c r="A781" t="s">
        <v>783</v>
      </c>
      <c r="B781" s="2">
        <v>45759</v>
      </c>
      <c r="C781" s="3">
        <f t="shared" si="85"/>
        <v>79</v>
      </c>
      <c r="D781">
        <f t="shared" si="86"/>
        <v>1083</v>
      </c>
      <c r="E781">
        <f t="shared" si="87"/>
        <v>36</v>
      </c>
      <c r="F781">
        <f t="shared" si="88"/>
        <v>5</v>
      </c>
      <c r="G781">
        <f t="shared" si="91"/>
        <v>5</v>
      </c>
      <c r="H781">
        <f t="shared" si="89"/>
        <v>5</v>
      </c>
      <c r="I781" s="9" t="str">
        <f t="shared" si="90"/>
        <v>555</v>
      </c>
      <c r="Q781" s="1">
        <v>0.56230741021082709</v>
      </c>
      <c r="R781" s="1">
        <v>0.77966613403488416</v>
      </c>
    </row>
    <row r="782" spans="1:18" x14ac:dyDescent="0.35">
      <c r="A782" t="s">
        <v>784</v>
      </c>
      <c r="B782" s="2">
        <v>45337</v>
      </c>
      <c r="C782" s="3">
        <f t="shared" si="85"/>
        <v>501</v>
      </c>
      <c r="D782">
        <f t="shared" si="86"/>
        <v>499</v>
      </c>
      <c r="E782">
        <f t="shared" si="87"/>
        <v>16</v>
      </c>
      <c r="F782">
        <f t="shared" si="88"/>
        <v>1</v>
      </c>
      <c r="G782">
        <f t="shared" si="91"/>
        <v>1</v>
      </c>
      <c r="H782">
        <f t="shared" si="89"/>
        <v>1</v>
      </c>
      <c r="I782" s="9" t="str">
        <f t="shared" si="90"/>
        <v>111</v>
      </c>
      <c r="Q782" s="1">
        <v>0.52350667013229502</v>
      </c>
      <c r="R782" s="1">
        <v>0.22430053651781967</v>
      </c>
    </row>
    <row r="783" spans="1:18" x14ac:dyDescent="0.35">
      <c r="A783" t="s">
        <v>785</v>
      </c>
      <c r="B783" s="2">
        <v>45569</v>
      </c>
      <c r="C783" s="3">
        <f t="shared" si="85"/>
        <v>269</v>
      </c>
      <c r="D783">
        <f t="shared" si="86"/>
        <v>1290</v>
      </c>
      <c r="E783">
        <f t="shared" si="87"/>
        <v>43</v>
      </c>
      <c r="F783">
        <f t="shared" si="88"/>
        <v>4</v>
      </c>
      <c r="G783">
        <f t="shared" si="91"/>
        <v>5</v>
      </c>
      <c r="H783">
        <f t="shared" si="89"/>
        <v>5</v>
      </c>
      <c r="I783" s="9" t="str">
        <f t="shared" si="90"/>
        <v>455</v>
      </c>
      <c r="Q783" s="1">
        <v>0.90510135411129189</v>
      </c>
      <c r="R783" s="1">
        <v>0.83503490251682999</v>
      </c>
    </row>
    <row r="784" spans="1:18" x14ac:dyDescent="0.35">
      <c r="A784" t="s">
        <v>786</v>
      </c>
      <c r="B784" s="2">
        <v>45640</v>
      </c>
      <c r="C784" s="3">
        <f t="shared" si="85"/>
        <v>198</v>
      </c>
      <c r="D784">
        <f t="shared" si="86"/>
        <v>476</v>
      </c>
      <c r="E784">
        <f t="shared" si="87"/>
        <v>16</v>
      </c>
      <c r="F784">
        <f t="shared" si="88"/>
        <v>4</v>
      </c>
      <c r="G784">
        <f t="shared" si="91"/>
        <v>1</v>
      </c>
      <c r="H784">
        <f t="shared" si="89"/>
        <v>1</v>
      </c>
      <c r="I784" s="9" t="str">
        <f t="shared" si="90"/>
        <v>411</v>
      </c>
      <c r="Q784" s="1">
        <v>0.31173090129114189</v>
      </c>
      <c r="R784" s="1">
        <v>0.29287010332299157</v>
      </c>
    </row>
    <row r="785" spans="1:18" x14ac:dyDescent="0.35">
      <c r="A785" t="s">
        <v>787</v>
      </c>
      <c r="B785" s="2">
        <v>45355</v>
      </c>
      <c r="C785" s="3">
        <f t="shared" si="85"/>
        <v>483</v>
      </c>
      <c r="D785">
        <f t="shared" si="86"/>
        <v>784</v>
      </c>
      <c r="E785">
        <f t="shared" si="87"/>
        <v>26</v>
      </c>
      <c r="F785">
        <f t="shared" si="88"/>
        <v>1</v>
      </c>
      <c r="G785">
        <f t="shared" si="91"/>
        <v>2</v>
      </c>
      <c r="H785">
        <f t="shared" si="89"/>
        <v>4</v>
      </c>
      <c r="I785" s="9" t="str">
        <f t="shared" si="90"/>
        <v>124</v>
      </c>
      <c r="Q785" s="1">
        <v>0.99082078319691247</v>
      </c>
      <c r="R785" s="1">
        <v>0.30325450761317319</v>
      </c>
    </row>
    <row r="786" spans="1:18" x14ac:dyDescent="0.35">
      <c r="A786" t="s">
        <v>788</v>
      </c>
      <c r="B786" s="2">
        <v>45781</v>
      </c>
      <c r="C786" s="3">
        <f t="shared" si="85"/>
        <v>57</v>
      </c>
      <c r="D786">
        <f t="shared" si="86"/>
        <v>1009</v>
      </c>
      <c r="E786">
        <f t="shared" si="87"/>
        <v>34</v>
      </c>
      <c r="F786">
        <f t="shared" si="88"/>
        <v>5</v>
      </c>
      <c r="G786">
        <f t="shared" si="91"/>
        <v>4</v>
      </c>
      <c r="H786">
        <f t="shared" si="89"/>
        <v>4</v>
      </c>
      <c r="I786" s="9" t="str">
        <f t="shared" si="90"/>
        <v>544</v>
      </c>
      <c r="Q786" s="1">
        <v>0.41315377572565504</v>
      </c>
      <c r="R786" s="1">
        <v>0.77061875735117269</v>
      </c>
    </row>
    <row r="787" spans="1:18" x14ac:dyDescent="0.35">
      <c r="A787" t="s">
        <v>789</v>
      </c>
      <c r="B787" s="2">
        <v>45375</v>
      </c>
      <c r="C787" s="3">
        <f t="shared" si="85"/>
        <v>463</v>
      </c>
      <c r="D787">
        <f t="shared" si="86"/>
        <v>1180</v>
      </c>
      <c r="E787">
        <f t="shared" si="87"/>
        <v>39</v>
      </c>
      <c r="F787">
        <f t="shared" si="88"/>
        <v>1</v>
      </c>
      <c r="G787">
        <f t="shared" si="91"/>
        <v>5</v>
      </c>
      <c r="H787">
        <f t="shared" si="89"/>
        <v>5</v>
      </c>
      <c r="I787" s="9" t="str">
        <f t="shared" si="90"/>
        <v>155</v>
      </c>
      <c r="Q787" s="1">
        <v>0.81625003004225394</v>
      </c>
      <c r="R787" s="1">
        <v>0.76542833932404541</v>
      </c>
    </row>
    <row r="788" spans="1:18" x14ac:dyDescent="0.35">
      <c r="A788" t="s">
        <v>790</v>
      </c>
      <c r="B788" s="2">
        <v>45301</v>
      </c>
      <c r="C788" s="3">
        <f t="shared" si="85"/>
        <v>537</v>
      </c>
      <c r="D788">
        <f t="shared" si="86"/>
        <v>841</v>
      </c>
      <c r="E788">
        <f t="shared" si="87"/>
        <v>28</v>
      </c>
      <c r="F788">
        <f t="shared" si="88"/>
        <v>1</v>
      </c>
      <c r="G788">
        <f t="shared" si="91"/>
        <v>4</v>
      </c>
      <c r="H788">
        <f t="shared" si="89"/>
        <v>4</v>
      </c>
      <c r="I788" s="9" t="str">
        <f t="shared" si="90"/>
        <v>144</v>
      </c>
      <c r="Q788" s="1">
        <v>0.212346429876343</v>
      </c>
      <c r="R788" s="1">
        <v>0.69303654593546249</v>
      </c>
    </row>
    <row r="789" spans="1:18" x14ac:dyDescent="0.35">
      <c r="A789" t="s">
        <v>791</v>
      </c>
      <c r="B789" s="2">
        <v>45388</v>
      </c>
      <c r="C789" s="3">
        <f t="shared" si="85"/>
        <v>450</v>
      </c>
      <c r="D789">
        <f t="shared" si="86"/>
        <v>589</v>
      </c>
      <c r="E789">
        <f t="shared" si="87"/>
        <v>19</v>
      </c>
      <c r="F789">
        <f t="shared" si="88"/>
        <v>1</v>
      </c>
      <c r="G789">
        <f t="shared" si="91"/>
        <v>2</v>
      </c>
      <c r="H789">
        <f t="shared" si="89"/>
        <v>2</v>
      </c>
      <c r="I789" s="9" t="str">
        <f t="shared" si="90"/>
        <v>122</v>
      </c>
      <c r="Q789" s="1">
        <v>0.21599192796230704</v>
      </c>
      <c r="R789" s="1">
        <v>0.44470587159240216</v>
      </c>
    </row>
    <row r="790" spans="1:18" x14ac:dyDescent="0.35">
      <c r="A790" t="s">
        <v>792</v>
      </c>
      <c r="B790" s="2">
        <v>45552</v>
      </c>
      <c r="C790" s="3">
        <f t="shared" si="85"/>
        <v>286</v>
      </c>
      <c r="D790">
        <f t="shared" si="86"/>
        <v>712</v>
      </c>
      <c r="E790">
        <f t="shared" si="87"/>
        <v>24</v>
      </c>
      <c r="F790">
        <f t="shared" si="88"/>
        <v>2</v>
      </c>
      <c r="G790">
        <f t="shared" si="91"/>
        <v>2</v>
      </c>
      <c r="H790">
        <f t="shared" si="89"/>
        <v>2</v>
      </c>
      <c r="I790" s="9" t="str">
        <f t="shared" si="90"/>
        <v>222</v>
      </c>
      <c r="Q790" s="1">
        <v>0.33432320681923455</v>
      </c>
      <c r="R790" s="1">
        <v>0.51417115140134861</v>
      </c>
    </row>
    <row r="791" spans="1:18" x14ac:dyDescent="0.35">
      <c r="A791" t="s">
        <v>793</v>
      </c>
      <c r="B791" s="2">
        <v>45446</v>
      </c>
      <c r="C791" s="3">
        <f t="shared" si="85"/>
        <v>392</v>
      </c>
      <c r="D791">
        <f t="shared" si="86"/>
        <v>1208</v>
      </c>
      <c r="E791">
        <f t="shared" si="87"/>
        <v>40</v>
      </c>
      <c r="F791">
        <f t="shared" si="88"/>
        <v>2</v>
      </c>
      <c r="G791">
        <f t="shared" si="91"/>
        <v>5</v>
      </c>
      <c r="H791">
        <f t="shared" si="89"/>
        <v>5</v>
      </c>
      <c r="I791" s="9" t="str">
        <f t="shared" si="90"/>
        <v>255</v>
      </c>
      <c r="Q791" s="1">
        <v>0.81000166827685627</v>
      </c>
      <c r="R791" s="1">
        <v>0.7959593318830035</v>
      </c>
    </row>
    <row r="792" spans="1:18" x14ac:dyDescent="0.35">
      <c r="A792" t="s">
        <v>794</v>
      </c>
      <c r="B792" s="2">
        <v>45480</v>
      </c>
      <c r="C792" s="3">
        <f t="shared" si="85"/>
        <v>358</v>
      </c>
      <c r="D792">
        <f t="shared" si="86"/>
        <v>1212</v>
      </c>
      <c r="E792">
        <f t="shared" si="87"/>
        <v>40</v>
      </c>
      <c r="F792">
        <f t="shared" si="88"/>
        <v>2</v>
      </c>
      <c r="G792">
        <f t="shared" si="91"/>
        <v>5</v>
      </c>
      <c r="H792">
        <f t="shared" si="89"/>
        <v>5</v>
      </c>
      <c r="I792" s="9" t="str">
        <f t="shared" si="90"/>
        <v>255</v>
      </c>
      <c r="Q792" s="1">
        <v>0.56352331264625044</v>
      </c>
      <c r="R792" s="1">
        <v>0.90569155558793135</v>
      </c>
    </row>
    <row r="793" spans="1:18" x14ac:dyDescent="0.35">
      <c r="A793" t="s">
        <v>795</v>
      </c>
      <c r="B793" s="2">
        <v>45741</v>
      </c>
      <c r="C793" s="3">
        <f t="shared" si="85"/>
        <v>97</v>
      </c>
      <c r="D793">
        <f t="shared" si="86"/>
        <v>958</v>
      </c>
      <c r="E793">
        <f t="shared" si="87"/>
        <v>32</v>
      </c>
      <c r="F793">
        <f t="shared" si="88"/>
        <v>5</v>
      </c>
      <c r="G793">
        <f t="shared" si="91"/>
        <v>4</v>
      </c>
      <c r="H793">
        <f t="shared" si="89"/>
        <v>4</v>
      </c>
      <c r="I793" s="9" t="str">
        <f t="shared" si="90"/>
        <v>544</v>
      </c>
      <c r="Q793" s="1">
        <v>0.27487098136438026</v>
      </c>
      <c r="R793" s="1">
        <v>0.7803082143967548</v>
      </c>
    </row>
    <row r="794" spans="1:18" x14ac:dyDescent="0.35">
      <c r="A794" t="s">
        <v>796</v>
      </c>
      <c r="B794" s="2">
        <v>45631</v>
      </c>
      <c r="C794" s="3">
        <f t="shared" si="85"/>
        <v>207</v>
      </c>
      <c r="D794">
        <f t="shared" si="86"/>
        <v>1366</v>
      </c>
      <c r="E794">
        <f t="shared" si="87"/>
        <v>46</v>
      </c>
      <c r="F794">
        <f t="shared" si="88"/>
        <v>4</v>
      </c>
      <c r="G794">
        <f t="shared" si="91"/>
        <v>5</v>
      </c>
      <c r="H794">
        <f t="shared" si="89"/>
        <v>5</v>
      </c>
      <c r="I794" s="9" t="str">
        <f t="shared" si="90"/>
        <v>455</v>
      </c>
      <c r="Q794" s="1">
        <v>0.99342618407372107</v>
      </c>
      <c r="R794" s="1">
        <v>0.87182314758633361</v>
      </c>
    </row>
    <row r="795" spans="1:18" x14ac:dyDescent="0.35">
      <c r="A795" t="s">
        <v>797</v>
      </c>
      <c r="B795" s="2">
        <v>45319</v>
      </c>
      <c r="C795" s="3">
        <f t="shared" si="85"/>
        <v>519</v>
      </c>
      <c r="D795">
        <f t="shared" si="86"/>
        <v>441</v>
      </c>
      <c r="E795">
        <f t="shared" si="87"/>
        <v>14</v>
      </c>
      <c r="F795">
        <f t="shared" si="88"/>
        <v>1</v>
      </c>
      <c r="G795">
        <f t="shared" si="91"/>
        <v>1</v>
      </c>
      <c r="H795">
        <f t="shared" si="89"/>
        <v>1</v>
      </c>
      <c r="I795" s="9" t="str">
        <f t="shared" si="90"/>
        <v>111</v>
      </c>
      <c r="Q795" s="1">
        <v>0.63941542964516718</v>
      </c>
      <c r="R795" s="1">
        <v>0.11800684998624111</v>
      </c>
    </row>
    <row r="796" spans="1:18" x14ac:dyDescent="0.35">
      <c r="A796" t="s">
        <v>798</v>
      </c>
      <c r="B796" s="2">
        <v>45760</v>
      </c>
      <c r="C796" s="3">
        <f t="shared" si="85"/>
        <v>78</v>
      </c>
      <c r="D796">
        <f t="shared" si="86"/>
        <v>748</v>
      </c>
      <c r="E796">
        <f t="shared" si="87"/>
        <v>25</v>
      </c>
      <c r="F796">
        <f t="shared" si="88"/>
        <v>5</v>
      </c>
      <c r="G796">
        <f t="shared" si="91"/>
        <v>2</v>
      </c>
      <c r="H796">
        <f t="shared" si="89"/>
        <v>2</v>
      </c>
      <c r="I796" s="9" t="str">
        <f t="shared" si="90"/>
        <v>522</v>
      </c>
      <c r="Q796" s="1">
        <v>0.32451052161533045</v>
      </c>
      <c r="R796" s="1">
        <v>0.5536018223061403</v>
      </c>
    </row>
    <row r="797" spans="1:18" x14ac:dyDescent="0.35">
      <c r="A797" t="s">
        <v>799</v>
      </c>
      <c r="B797" s="2">
        <v>45528</v>
      </c>
      <c r="C797" s="3">
        <f t="shared" si="85"/>
        <v>310</v>
      </c>
      <c r="D797">
        <f t="shared" si="86"/>
        <v>1032</v>
      </c>
      <c r="E797">
        <f t="shared" si="87"/>
        <v>34</v>
      </c>
      <c r="F797">
        <f t="shared" si="88"/>
        <v>2</v>
      </c>
      <c r="G797">
        <f t="shared" si="91"/>
        <v>4</v>
      </c>
      <c r="H797">
        <f t="shared" si="89"/>
        <v>4</v>
      </c>
      <c r="I797" s="9" t="str">
        <f t="shared" si="90"/>
        <v>244</v>
      </c>
      <c r="Q797" s="1">
        <v>0.55593725173426101</v>
      </c>
      <c r="R797" s="1">
        <v>0.73235738153419794</v>
      </c>
    </row>
    <row r="798" spans="1:18" x14ac:dyDescent="0.35">
      <c r="A798" t="s">
        <v>800</v>
      </c>
      <c r="B798" s="2">
        <v>45669</v>
      </c>
      <c r="C798" s="3">
        <f t="shared" si="85"/>
        <v>169</v>
      </c>
      <c r="D798">
        <f t="shared" si="86"/>
        <v>747</v>
      </c>
      <c r="E798">
        <f t="shared" si="87"/>
        <v>25</v>
      </c>
      <c r="F798">
        <f t="shared" si="88"/>
        <v>4</v>
      </c>
      <c r="G798">
        <f t="shared" si="91"/>
        <v>2</v>
      </c>
      <c r="H798">
        <f t="shared" si="89"/>
        <v>2</v>
      </c>
      <c r="I798" s="9" t="str">
        <f t="shared" si="90"/>
        <v>422</v>
      </c>
      <c r="Q798" s="1">
        <v>0.76758951762233618</v>
      </c>
      <c r="R798" s="1">
        <v>0.36269955593807979</v>
      </c>
    </row>
    <row r="799" spans="1:18" x14ac:dyDescent="0.35">
      <c r="A799" t="s">
        <v>801</v>
      </c>
      <c r="B799" s="2">
        <v>45564</v>
      </c>
      <c r="C799" s="3">
        <f t="shared" si="85"/>
        <v>274</v>
      </c>
      <c r="D799">
        <f t="shared" si="86"/>
        <v>1134</v>
      </c>
      <c r="E799">
        <f t="shared" si="87"/>
        <v>38</v>
      </c>
      <c r="F799">
        <f t="shared" si="88"/>
        <v>3</v>
      </c>
      <c r="G799">
        <f t="shared" si="91"/>
        <v>5</v>
      </c>
      <c r="H799">
        <f t="shared" si="89"/>
        <v>5</v>
      </c>
      <c r="I799" s="9" t="str">
        <f t="shared" si="90"/>
        <v>355</v>
      </c>
      <c r="Q799" s="1">
        <v>0.99192111984987597</v>
      </c>
      <c r="R799" s="1">
        <v>0.64552991397608883</v>
      </c>
    </row>
    <row r="800" spans="1:18" x14ac:dyDescent="0.35">
      <c r="A800" t="s">
        <v>802</v>
      </c>
      <c r="B800" s="2">
        <v>45462</v>
      </c>
      <c r="C800" s="3">
        <f t="shared" si="85"/>
        <v>376</v>
      </c>
      <c r="D800">
        <f t="shared" si="86"/>
        <v>954</v>
      </c>
      <c r="E800">
        <f t="shared" si="87"/>
        <v>32</v>
      </c>
      <c r="F800">
        <f t="shared" si="88"/>
        <v>2</v>
      </c>
      <c r="G800">
        <f t="shared" si="91"/>
        <v>4</v>
      </c>
      <c r="H800">
        <f t="shared" si="89"/>
        <v>4</v>
      </c>
      <c r="I800" s="9" t="str">
        <f t="shared" si="90"/>
        <v>244</v>
      </c>
      <c r="Q800" s="1">
        <v>0.58853334559271298</v>
      </c>
      <c r="R800" s="1">
        <v>0.64249495838700699</v>
      </c>
    </row>
    <row r="801" spans="1:18" x14ac:dyDescent="0.35">
      <c r="A801" t="s">
        <v>803</v>
      </c>
      <c r="B801" s="2">
        <v>45736</v>
      </c>
      <c r="C801" s="3">
        <f t="shared" si="85"/>
        <v>102</v>
      </c>
      <c r="D801">
        <f t="shared" si="86"/>
        <v>584</v>
      </c>
      <c r="E801">
        <f t="shared" si="87"/>
        <v>19</v>
      </c>
      <c r="F801">
        <f t="shared" si="88"/>
        <v>5</v>
      </c>
      <c r="G801">
        <f t="shared" si="91"/>
        <v>2</v>
      </c>
      <c r="H801">
        <f t="shared" si="89"/>
        <v>2</v>
      </c>
      <c r="I801" s="9" t="str">
        <f t="shared" si="90"/>
        <v>522</v>
      </c>
      <c r="Q801" s="1">
        <v>0.91934031069364619</v>
      </c>
      <c r="R801" s="1">
        <v>0.13787145589466188</v>
      </c>
    </row>
    <row r="802" spans="1:18" x14ac:dyDescent="0.35">
      <c r="A802" t="s">
        <v>804</v>
      </c>
      <c r="B802" s="2">
        <v>45524</v>
      </c>
      <c r="C802" s="3">
        <f t="shared" si="85"/>
        <v>314</v>
      </c>
      <c r="D802">
        <f t="shared" si="86"/>
        <v>487</v>
      </c>
      <c r="E802">
        <f t="shared" si="87"/>
        <v>16</v>
      </c>
      <c r="F802">
        <f t="shared" si="88"/>
        <v>2</v>
      </c>
      <c r="G802">
        <f t="shared" si="91"/>
        <v>1</v>
      </c>
      <c r="H802">
        <f t="shared" si="89"/>
        <v>1</v>
      </c>
      <c r="I802" s="9" t="str">
        <f t="shared" si="90"/>
        <v>211</v>
      </c>
      <c r="Q802" s="1">
        <v>0.17612923320228657</v>
      </c>
      <c r="R802" s="1">
        <v>0.36211410351642637</v>
      </c>
    </row>
    <row r="803" spans="1:18" x14ac:dyDescent="0.35">
      <c r="A803" t="s">
        <v>805</v>
      </c>
      <c r="B803" s="2">
        <v>45814</v>
      </c>
      <c r="C803" s="3">
        <f t="shared" si="85"/>
        <v>24</v>
      </c>
      <c r="D803">
        <f t="shared" si="86"/>
        <v>1051</v>
      </c>
      <c r="E803">
        <f t="shared" si="87"/>
        <v>35</v>
      </c>
      <c r="F803">
        <f t="shared" si="88"/>
        <v>5</v>
      </c>
      <c r="G803">
        <f t="shared" si="91"/>
        <v>4</v>
      </c>
      <c r="H803">
        <f t="shared" si="89"/>
        <v>5</v>
      </c>
      <c r="I803" s="9" t="str">
        <f t="shared" si="90"/>
        <v>545</v>
      </c>
      <c r="Q803" s="1">
        <v>0.26658367655160053</v>
      </c>
      <c r="R803" s="1">
        <v>0.874795170246502</v>
      </c>
    </row>
    <row r="804" spans="1:18" x14ac:dyDescent="0.35">
      <c r="A804" t="s">
        <v>806</v>
      </c>
      <c r="B804" s="2">
        <v>45680</v>
      </c>
      <c r="C804" s="3">
        <f t="shared" si="85"/>
        <v>158</v>
      </c>
      <c r="D804">
        <f t="shared" si="86"/>
        <v>878</v>
      </c>
      <c r="E804">
        <f t="shared" si="87"/>
        <v>29</v>
      </c>
      <c r="F804">
        <f t="shared" si="88"/>
        <v>4</v>
      </c>
      <c r="G804">
        <f t="shared" si="91"/>
        <v>4</v>
      </c>
      <c r="H804">
        <f t="shared" si="89"/>
        <v>4</v>
      </c>
      <c r="I804" s="9" t="str">
        <f t="shared" si="90"/>
        <v>444</v>
      </c>
      <c r="Q804" s="1">
        <v>0.64066666554834029</v>
      </c>
      <c r="R804" s="1">
        <v>0.54495789990745924</v>
      </c>
    </row>
    <row r="805" spans="1:18" x14ac:dyDescent="0.35">
      <c r="A805" t="s">
        <v>807</v>
      </c>
      <c r="B805" s="2">
        <v>45760</v>
      </c>
      <c r="C805" s="3">
        <f t="shared" si="85"/>
        <v>78</v>
      </c>
      <c r="D805">
        <f t="shared" si="86"/>
        <v>460</v>
      </c>
      <c r="E805">
        <f t="shared" si="87"/>
        <v>15</v>
      </c>
      <c r="F805">
        <f t="shared" si="88"/>
        <v>5</v>
      </c>
      <c r="G805">
        <f t="shared" si="91"/>
        <v>1</v>
      </c>
      <c r="H805">
        <f t="shared" si="89"/>
        <v>1</v>
      </c>
      <c r="I805" s="9" t="str">
        <f t="shared" si="90"/>
        <v>511</v>
      </c>
      <c r="Q805" s="1">
        <v>3.5242905679380487E-2</v>
      </c>
      <c r="R805" s="1">
        <v>0.39589726599060082</v>
      </c>
    </row>
    <row r="806" spans="1:18" x14ac:dyDescent="0.35">
      <c r="A806" t="s">
        <v>808</v>
      </c>
      <c r="B806" s="2">
        <v>45567</v>
      </c>
      <c r="C806" s="3">
        <f t="shared" si="85"/>
        <v>271</v>
      </c>
      <c r="D806">
        <f t="shared" si="86"/>
        <v>960</v>
      </c>
      <c r="E806">
        <f t="shared" si="87"/>
        <v>32</v>
      </c>
      <c r="F806">
        <f t="shared" si="88"/>
        <v>4</v>
      </c>
      <c r="G806">
        <f t="shared" si="91"/>
        <v>4</v>
      </c>
      <c r="H806">
        <f t="shared" si="89"/>
        <v>4</v>
      </c>
      <c r="I806" s="9" t="str">
        <f t="shared" si="90"/>
        <v>444</v>
      </c>
      <c r="Q806" s="1">
        <v>0.29029227989200723</v>
      </c>
      <c r="R806" s="1">
        <v>0.77533379600835006</v>
      </c>
    </row>
    <row r="807" spans="1:18" x14ac:dyDescent="0.35">
      <c r="A807" t="s">
        <v>809</v>
      </c>
      <c r="B807" s="2">
        <v>45552</v>
      </c>
      <c r="C807" s="3">
        <f t="shared" si="85"/>
        <v>286</v>
      </c>
      <c r="D807">
        <f t="shared" si="86"/>
        <v>1293</v>
      </c>
      <c r="E807">
        <f t="shared" si="87"/>
        <v>43</v>
      </c>
      <c r="F807">
        <f t="shared" si="88"/>
        <v>2</v>
      </c>
      <c r="G807">
        <f t="shared" si="91"/>
        <v>5</v>
      </c>
      <c r="H807">
        <f t="shared" si="89"/>
        <v>5</v>
      </c>
      <c r="I807" s="9" t="str">
        <f t="shared" si="90"/>
        <v>255</v>
      </c>
      <c r="Q807" s="1">
        <v>0.67989821341989731</v>
      </c>
      <c r="R807" s="1">
        <v>0.9344188774986032</v>
      </c>
    </row>
    <row r="808" spans="1:18" x14ac:dyDescent="0.35">
      <c r="A808" t="s">
        <v>810</v>
      </c>
      <c r="B808" s="2">
        <v>45476</v>
      </c>
      <c r="C808" s="3">
        <f t="shared" si="85"/>
        <v>362</v>
      </c>
      <c r="D808">
        <f t="shared" si="86"/>
        <v>1029</v>
      </c>
      <c r="E808">
        <f t="shared" si="87"/>
        <v>34</v>
      </c>
      <c r="F808">
        <f t="shared" si="88"/>
        <v>2</v>
      </c>
      <c r="G808">
        <f t="shared" si="91"/>
        <v>4</v>
      </c>
      <c r="H808">
        <f t="shared" si="89"/>
        <v>4</v>
      </c>
      <c r="I808" s="9" t="str">
        <f t="shared" si="90"/>
        <v>244</v>
      </c>
      <c r="Q808" s="1">
        <v>0.29894627365490467</v>
      </c>
      <c r="R808" s="1">
        <v>0.83927811388607376</v>
      </c>
    </row>
    <row r="809" spans="1:18" x14ac:dyDescent="0.35">
      <c r="A809" t="s">
        <v>811</v>
      </c>
      <c r="B809" s="2">
        <v>45603</v>
      </c>
      <c r="C809" s="3">
        <f t="shared" si="85"/>
        <v>235</v>
      </c>
      <c r="D809">
        <f t="shared" si="86"/>
        <v>425</v>
      </c>
      <c r="E809">
        <f t="shared" si="87"/>
        <v>14</v>
      </c>
      <c r="F809">
        <f t="shared" si="88"/>
        <v>4</v>
      </c>
      <c r="G809">
        <f t="shared" si="91"/>
        <v>1</v>
      </c>
      <c r="H809">
        <f t="shared" si="89"/>
        <v>1</v>
      </c>
      <c r="I809" s="9" t="str">
        <f t="shared" si="90"/>
        <v>411</v>
      </c>
      <c r="Q809" s="1">
        <v>0.58774717400997201</v>
      </c>
      <c r="R809" s="1">
        <v>0.12501840196084657</v>
      </c>
    </row>
    <row r="810" spans="1:18" x14ac:dyDescent="0.35">
      <c r="A810" t="s">
        <v>812</v>
      </c>
      <c r="B810" s="2">
        <v>45667</v>
      </c>
      <c r="C810" s="3">
        <f t="shared" si="85"/>
        <v>171</v>
      </c>
      <c r="D810">
        <f t="shared" si="86"/>
        <v>758</v>
      </c>
      <c r="E810">
        <f t="shared" si="87"/>
        <v>25</v>
      </c>
      <c r="F810">
        <f t="shared" si="88"/>
        <v>4</v>
      </c>
      <c r="G810">
        <f t="shared" si="91"/>
        <v>2</v>
      </c>
      <c r="H810">
        <f t="shared" si="89"/>
        <v>2</v>
      </c>
      <c r="I810" s="9" t="str">
        <f t="shared" si="90"/>
        <v>422</v>
      </c>
      <c r="Q810" s="1">
        <v>0.44105535082422531</v>
      </c>
      <c r="R810" s="1">
        <v>0.51314722588454931</v>
      </c>
    </row>
    <row r="811" spans="1:18" x14ac:dyDescent="0.35">
      <c r="A811" t="s">
        <v>813</v>
      </c>
      <c r="B811" s="2">
        <v>45827</v>
      </c>
      <c r="C811" s="3">
        <f t="shared" si="85"/>
        <v>11</v>
      </c>
      <c r="D811">
        <f t="shared" si="86"/>
        <v>399</v>
      </c>
      <c r="E811">
        <f t="shared" si="87"/>
        <v>13</v>
      </c>
      <c r="F811">
        <f t="shared" si="88"/>
        <v>5</v>
      </c>
      <c r="G811">
        <f t="shared" si="91"/>
        <v>1</v>
      </c>
      <c r="H811">
        <f t="shared" si="89"/>
        <v>1</v>
      </c>
      <c r="I811" s="9" t="str">
        <f t="shared" si="90"/>
        <v>511</v>
      </c>
      <c r="Q811" s="1">
        <v>0.39063776305585152</v>
      </c>
      <c r="R811" s="1">
        <v>0.18361211314677861</v>
      </c>
    </row>
    <row r="812" spans="1:18" x14ac:dyDescent="0.35">
      <c r="A812" t="s">
        <v>814</v>
      </c>
      <c r="B812" s="2">
        <v>45624</v>
      </c>
      <c r="C812" s="3">
        <f t="shared" si="85"/>
        <v>214</v>
      </c>
      <c r="D812">
        <f t="shared" si="86"/>
        <v>1023</v>
      </c>
      <c r="E812">
        <f t="shared" si="87"/>
        <v>34</v>
      </c>
      <c r="F812">
        <f t="shared" si="88"/>
        <v>4</v>
      </c>
      <c r="G812">
        <f t="shared" si="91"/>
        <v>4</v>
      </c>
      <c r="H812">
        <f t="shared" si="89"/>
        <v>4</v>
      </c>
      <c r="I812" s="9" t="str">
        <f t="shared" si="90"/>
        <v>444</v>
      </c>
      <c r="Q812" s="1">
        <v>0.15223841077417555</v>
      </c>
      <c r="R812" s="1">
        <v>0.89631745699269927</v>
      </c>
    </row>
    <row r="813" spans="1:18" x14ac:dyDescent="0.35">
      <c r="A813" t="s">
        <v>815</v>
      </c>
      <c r="B813" s="2">
        <v>45368</v>
      </c>
      <c r="C813" s="3">
        <f t="shared" si="85"/>
        <v>470</v>
      </c>
      <c r="D813">
        <f t="shared" si="86"/>
        <v>1128</v>
      </c>
      <c r="E813">
        <f t="shared" si="87"/>
        <v>38</v>
      </c>
      <c r="F813">
        <f t="shared" si="88"/>
        <v>1</v>
      </c>
      <c r="G813">
        <f t="shared" si="91"/>
        <v>5</v>
      </c>
      <c r="H813">
        <f t="shared" si="89"/>
        <v>5</v>
      </c>
      <c r="I813" s="9" t="str">
        <f t="shared" si="90"/>
        <v>155</v>
      </c>
      <c r="Q813" s="1">
        <v>0.43244633146918388</v>
      </c>
      <c r="R813" s="1">
        <v>0.87912408948570409</v>
      </c>
    </row>
    <row r="814" spans="1:18" x14ac:dyDescent="0.35">
      <c r="A814" t="s">
        <v>816</v>
      </c>
      <c r="B814" s="2">
        <v>45838</v>
      </c>
      <c r="C814" s="3">
        <f t="shared" si="85"/>
        <v>0</v>
      </c>
      <c r="D814">
        <f t="shared" si="86"/>
        <v>526</v>
      </c>
      <c r="E814">
        <f t="shared" si="87"/>
        <v>17</v>
      </c>
      <c r="F814">
        <f t="shared" si="88"/>
        <v>5</v>
      </c>
      <c r="G814">
        <f t="shared" si="91"/>
        <v>2</v>
      </c>
      <c r="H814">
        <f t="shared" si="89"/>
        <v>2</v>
      </c>
      <c r="I814" s="9" t="str">
        <f t="shared" si="90"/>
        <v>522</v>
      </c>
      <c r="Q814" s="1">
        <v>0.22080507545706696</v>
      </c>
      <c r="R814" s="1">
        <v>0.38090392228229397</v>
      </c>
    </row>
    <row r="815" spans="1:18" x14ac:dyDescent="0.35">
      <c r="A815" t="s">
        <v>817</v>
      </c>
      <c r="B815" s="2">
        <v>45387</v>
      </c>
      <c r="C815" s="3">
        <f t="shared" si="85"/>
        <v>451</v>
      </c>
      <c r="D815">
        <f t="shared" si="86"/>
        <v>1364</v>
      </c>
      <c r="E815">
        <f t="shared" si="87"/>
        <v>45</v>
      </c>
      <c r="F815">
        <f t="shared" si="88"/>
        <v>1</v>
      </c>
      <c r="G815">
        <f t="shared" si="91"/>
        <v>5</v>
      </c>
      <c r="H815">
        <f t="shared" si="89"/>
        <v>5</v>
      </c>
      <c r="I815" s="9" t="str">
        <f t="shared" si="90"/>
        <v>155</v>
      </c>
      <c r="Q815" s="1">
        <v>0.92622457435358541</v>
      </c>
      <c r="R815" s="1">
        <v>0.89885489198932311</v>
      </c>
    </row>
    <row r="816" spans="1:18" x14ac:dyDescent="0.35">
      <c r="A816" t="s">
        <v>818</v>
      </c>
      <c r="B816" s="2">
        <v>45833</v>
      </c>
      <c r="C816" s="3">
        <f t="shared" si="85"/>
        <v>5</v>
      </c>
      <c r="D816">
        <f t="shared" si="86"/>
        <v>326</v>
      </c>
      <c r="E816">
        <f t="shared" si="87"/>
        <v>11</v>
      </c>
      <c r="F816">
        <f t="shared" si="88"/>
        <v>5</v>
      </c>
      <c r="G816">
        <f t="shared" si="91"/>
        <v>1</v>
      </c>
      <c r="H816">
        <f t="shared" si="89"/>
        <v>1</v>
      </c>
      <c r="I816" s="9" t="str">
        <f t="shared" si="90"/>
        <v>511</v>
      </c>
      <c r="Q816" s="1">
        <v>8.5375050237516237E-2</v>
      </c>
      <c r="R816" s="1">
        <v>0.24280737534857555</v>
      </c>
    </row>
    <row r="817" spans="1:18" x14ac:dyDescent="0.35">
      <c r="A817" t="s">
        <v>819</v>
      </c>
      <c r="B817" s="2">
        <v>45530</v>
      </c>
      <c r="C817" s="3">
        <f t="shared" si="85"/>
        <v>308</v>
      </c>
      <c r="D817">
        <f t="shared" si="86"/>
        <v>570</v>
      </c>
      <c r="E817">
        <f t="shared" si="87"/>
        <v>19</v>
      </c>
      <c r="F817">
        <f t="shared" si="88"/>
        <v>2</v>
      </c>
      <c r="G817">
        <f t="shared" si="91"/>
        <v>2</v>
      </c>
      <c r="H817">
        <f t="shared" si="89"/>
        <v>2</v>
      </c>
      <c r="I817" s="9" t="str">
        <f t="shared" si="90"/>
        <v>222</v>
      </c>
      <c r="Q817" s="1">
        <v>0.42531543106874092</v>
      </c>
      <c r="R817" s="1">
        <v>0.33640385844854592</v>
      </c>
    </row>
    <row r="818" spans="1:18" x14ac:dyDescent="0.35">
      <c r="A818" t="s">
        <v>820</v>
      </c>
      <c r="B818" s="2">
        <v>45534</v>
      </c>
      <c r="C818" s="3">
        <f t="shared" si="85"/>
        <v>304</v>
      </c>
      <c r="D818">
        <f t="shared" si="86"/>
        <v>990</v>
      </c>
      <c r="E818">
        <f t="shared" si="87"/>
        <v>33</v>
      </c>
      <c r="F818">
        <f t="shared" si="88"/>
        <v>2</v>
      </c>
      <c r="G818">
        <f t="shared" si="91"/>
        <v>4</v>
      </c>
      <c r="H818">
        <f t="shared" si="89"/>
        <v>4</v>
      </c>
      <c r="I818" s="9" t="str">
        <f t="shared" si="90"/>
        <v>244</v>
      </c>
      <c r="Q818" s="1">
        <v>0.64668735680373501</v>
      </c>
      <c r="R818" s="1">
        <v>0.65246581084573219</v>
      </c>
    </row>
    <row r="819" spans="1:18" x14ac:dyDescent="0.35">
      <c r="A819" t="s">
        <v>821</v>
      </c>
      <c r="B819" s="2">
        <v>45730</v>
      </c>
      <c r="C819" s="3">
        <f t="shared" si="85"/>
        <v>108</v>
      </c>
      <c r="D819">
        <f t="shared" si="86"/>
        <v>1214</v>
      </c>
      <c r="E819">
        <f t="shared" si="87"/>
        <v>40</v>
      </c>
      <c r="F819">
        <f t="shared" si="88"/>
        <v>5</v>
      </c>
      <c r="G819">
        <f t="shared" si="91"/>
        <v>5</v>
      </c>
      <c r="H819">
        <f t="shared" si="89"/>
        <v>5</v>
      </c>
      <c r="I819" s="9" t="str">
        <f t="shared" si="90"/>
        <v>555</v>
      </c>
      <c r="Q819" s="1">
        <v>0.66550409041715686</v>
      </c>
      <c r="R819" s="1">
        <v>0.8634270219918434</v>
      </c>
    </row>
    <row r="820" spans="1:18" x14ac:dyDescent="0.35">
      <c r="A820" t="s">
        <v>822</v>
      </c>
      <c r="B820" s="2">
        <v>45584</v>
      </c>
      <c r="C820" s="3">
        <f t="shared" si="85"/>
        <v>254</v>
      </c>
      <c r="D820">
        <f t="shared" si="86"/>
        <v>1089</v>
      </c>
      <c r="E820">
        <f t="shared" si="87"/>
        <v>36</v>
      </c>
      <c r="F820">
        <f t="shared" si="88"/>
        <v>4</v>
      </c>
      <c r="G820">
        <f t="shared" si="91"/>
        <v>5</v>
      </c>
      <c r="H820">
        <f t="shared" si="89"/>
        <v>5</v>
      </c>
      <c r="I820" s="9" t="str">
        <f t="shared" si="90"/>
        <v>455</v>
      </c>
      <c r="Q820" s="1">
        <v>0.16148121076527011</v>
      </c>
      <c r="R820" s="1">
        <v>0.95736485572051178</v>
      </c>
    </row>
    <row r="821" spans="1:18" x14ac:dyDescent="0.35">
      <c r="A821" t="s">
        <v>823</v>
      </c>
      <c r="B821" s="2">
        <v>45743</v>
      </c>
      <c r="C821" s="3">
        <f t="shared" si="85"/>
        <v>95</v>
      </c>
      <c r="D821">
        <f t="shared" si="86"/>
        <v>498</v>
      </c>
      <c r="E821">
        <f t="shared" si="87"/>
        <v>16</v>
      </c>
      <c r="F821">
        <f t="shared" si="88"/>
        <v>5</v>
      </c>
      <c r="G821">
        <f t="shared" si="91"/>
        <v>1</v>
      </c>
      <c r="H821">
        <f t="shared" si="89"/>
        <v>1</v>
      </c>
      <c r="I821" s="9" t="str">
        <f t="shared" si="90"/>
        <v>511</v>
      </c>
      <c r="Q821" s="1">
        <v>7.740937379035373E-2</v>
      </c>
      <c r="R821" s="1">
        <v>0.41450142497029274</v>
      </c>
    </row>
    <row r="822" spans="1:18" x14ac:dyDescent="0.35">
      <c r="A822" t="s">
        <v>824</v>
      </c>
      <c r="B822" s="2">
        <v>45560</v>
      </c>
      <c r="C822" s="3">
        <f t="shared" si="85"/>
        <v>278</v>
      </c>
      <c r="D822">
        <f t="shared" si="86"/>
        <v>1134</v>
      </c>
      <c r="E822">
        <f t="shared" si="87"/>
        <v>38</v>
      </c>
      <c r="F822">
        <f t="shared" si="88"/>
        <v>2</v>
      </c>
      <c r="G822">
        <f t="shared" si="91"/>
        <v>5</v>
      </c>
      <c r="H822">
        <f t="shared" si="89"/>
        <v>5</v>
      </c>
      <c r="I822" s="9" t="str">
        <f t="shared" si="90"/>
        <v>255</v>
      </c>
      <c r="Q822" s="1">
        <v>0.46696906999202004</v>
      </c>
      <c r="R822" s="1">
        <v>0.87060957519339</v>
      </c>
    </row>
    <row r="823" spans="1:18" x14ac:dyDescent="0.35">
      <c r="A823" t="s">
        <v>825</v>
      </c>
      <c r="B823" s="2">
        <v>45351</v>
      </c>
      <c r="C823" s="3">
        <f t="shared" si="85"/>
        <v>487</v>
      </c>
      <c r="D823">
        <f t="shared" si="86"/>
        <v>847</v>
      </c>
      <c r="E823">
        <f t="shared" si="87"/>
        <v>28</v>
      </c>
      <c r="F823">
        <f t="shared" si="88"/>
        <v>1</v>
      </c>
      <c r="G823">
        <f t="shared" si="91"/>
        <v>4</v>
      </c>
      <c r="H823">
        <f t="shared" si="89"/>
        <v>4</v>
      </c>
      <c r="I823" s="9" t="str">
        <f t="shared" si="90"/>
        <v>144</v>
      </c>
      <c r="Q823" s="1">
        <v>0.97117967889275081</v>
      </c>
      <c r="R823" s="1">
        <v>0.37325678511554661</v>
      </c>
    </row>
    <row r="824" spans="1:18" x14ac:dyDescent="0.35">
      <c r="A824" t="s">
        <v>826</v>
      </c>
      <c r="B824" s="2">
        <v>45377</v>
      </c>
      <c r="C824" s="3">
        <f t="shared" si="85"/>
        <v>461</v>
      </c>
      <c r="D824">
        <f t="shared" si="86"/>
        <v>642</v>
      </c>
      <c r="E824">
        <f t="shared" si="87"/>
        <v>21</v>
      </c>
      <c r="F824">
        <f t="shared" si="88"/>
        <v>1</v>
      </c>
      <c r="G824">
        <f t="shared" si="91"/>
        <v>2</v>
      </c>
      <c r="H824">
        <f t="shared" si="89"/>
        <v>2</v>
      </c>
      <c r="I824" s="9" t="str">
        <f t="shared" si="90"/>
        <v>122</v>
      </c>
      <c r="Q824" s="1">
        <v>0.43973817295351547</v>
      </c>
      <c r="R824" s="1">
        <v>0.40102739299936185</v>
      </c>
    </row>
    <row r="825" spans="1:18" x14ac:dyDescent="0.35">
      <c r="A825" t="s">
        <v>827</v>
      </c>
      <c r="B825" s="2">
        <v>45422</v>
      </c>
      <c r="C825" s="3">
        <f t="shared" si="85"/>
        <v>416</v>
      </c>
      <c r="D825">
        <f t="shared" si="86"/>
        <v>499</v>
      </c>
      <c r="E825">
        <f t="shared" si="87"/>
        <v>16</v>
      </c>
      <c r="F825">
        <f t="shared" si="88"/>
        <v>1</v>
      </c>
      <c r="G825">
        <f t="shared" si="91"/>
        <v>1</v>
      </c>
      <c r="H825">
        <f t="shared" si="89"/>
        <v>1</v>
      </c>
      <c r="I825" s="9" t="str">
        <f t="shared" si="90"/>
        <v>111</v>
      </c>
      <c r="Q825" s="1">
        <v>0.33121132227319772</v>
      </c>
      <c r="R825" s="1">
        <v>0.30700655598280957</v>
      </c>
    </row>
    <row r="826" spans="1:18" x14ac:dyDescent="0.35">
      <c r="A826" t="s">
        <v>828</v>
      </c>
      <c r="B826" s="2">
        <v>45300</v>
      </c>
      <c r="C826" s="3">
        <f t="shared" si="85"/>
        <v>538</v>
      </c>
      <c r="D826">
        <f t="shared" si="86"/>
        <v>261</v>
      </c>
      <c r="E826">
        <f t="shared" si="87"/>
        <v>8</v>
      </c>
      <c r="F826">
        <f t="shared" si="88"/>
        <v>1</v>
      </c>
      <c r="G826">
        <f t="shared" si="91"/>
        <v>1</v>
      </c>
      <c r="H826">
        <f t="shared" si="89"/>
        <v>1</v>
      </c>
      <c r="I826" s="9" t="str">
        <f t="shared" si="90"/>
        <v>111</v>
      </c>
      <c r="Q826" s="1">
        <v>0.3332485816663</v>
      </c>
      <c r="R826" s="1">
        <v>7.3616234098612954E-2</v>
      </c>
    </row>
    <row r="827" spans="1:18" x14ac:dyDescent="0.35">
      <c r="A827" t="s">
        <v>829</v>
      </c>
      <c r="B827" s="2">
        <v>45363</v>
      </c>
      <c r="C827" s="3">
        <f t="shared" si="85"/>
        <v>475</v>
      </c>
      <c r="D827">
        <f t="shared" si="86"/>
        <v>951</v>
      </c>
      <c r="E827">
        <f t="shared" si="87"/>
        <v>32</v>
      </c>
      <c r="F827">
        <f t="shared" si="88"/>
        <v>1</v>
      </c>
      <c r="G827">
        <f t="shared" si="91"/>
        <v>4</v>
      </c>
      <c r="H827">
        <f t="shared" si="89"/>
        <v>4</v>
      </c>
      <c r="I827" s="9" t="str">
        <f t="shared" si="90"/>
        <v>144</v>
      </c>
      <c r="Q827" s="1">
        <v>0.16816149013085524</v>
      </c>
      <c r="R827" s="1">
        <v>0.81904745024899239</v>
      </c>
    </row>
    <row r="828" spans="1:18" x14ac:dyDescent="0.35">
      <c r="A828" t="s">
        <v>830</v>
      </c>
      <c r="B828" s="2">
        <v>45691</v>
      </c>
      <c r="C828" s="3">
        <f t="shared" si="85"/>
        <v>147</v>
      </c>
      <c r="D828">
        <f t="shared" si="86"/>
        <v>168</v>
      </c>
      <c r="E828">
        <f t="shared" si="87"/>
        <v>5</v>
      </c>
      <c r="F828">
        <f t="shared" si="88"/>
        <v>4</v>
      </c>
      <c r="G828">
        <f t="shared" si="91"/>
        <v>1</v>
      </c>
      <c r="H828">
        <f t="shared" si="89"/>
        <v>1</v>
      </c>
      <c r="I828" s="9" t="str">
        <f t="shared" si="90"/>
        <v>411</v>
      </c>
      <c r="Q828" s="1">
        <v>1.2980888184043415E-2</v>
      </c>
      <c r="R828" s="1">
        <v>0.11964492065900878</v>
      </c>
    </row>
    <row r="829" spans="1:18" x14ac:dyDescent="0.35">
      <c r="A829" t="s">
        <v>831</v>
      </c>
      <c r="B829" s="2">
        <v>45297</v>
      </c>
      <c r="C829" s="3">
        <f t="shared" si="85"/>
        <v>541</v>
      </c>
      <c r="D829">
        <f t="shared" si="86"/>
        <v>248</v>
      </c>
      <c r="E829">
        <f t="shared" si="87"/>
        <v>8</v>
      </c>
      <c r="F829">
        <f t="shared" si="88"/>
        <v>1</v>
      </c>
      <c r="G829">
        <f t="shared" si="91"/>
        <v>1</v>
      </c>
      <c r="H829">
        <f t="shared" si="89"/>
        <v>1</v>
      </c>
      <c r="I829" s="9" t="str">
        <f t="shared" si="90"/>
        <v>111</v>
      </c>
      <c r="Q829" s="1">
        <v>0.37532949305801222</v>
      </c>
      <c r="R829" s="1">
        <v>4.2538130908472027E-2</v>
      </c>
    </row>
    <row r="830" spans="1:18" x14ac:dyDescent="0.35">
      <c r="A830" t="s">
        <v>832</v>
      </c>
      <c r="B830" s="2">
        <v>45766</v>
      </c>
      <c r="C830" s="3">
        <f t="shared" si="85"/>
        <v>72</v>
      </c>
      <c r="D830">
        <f t="shared" si="86"/>
        <v>529</v>
      </c>
      <c r="E830">
        <f t="shared" si="87"/>
        <v>17</v>
      </c>
      <c r="F830">
        <f t="shared" si="88"/>
        <v>5</v>
      </c>
      <c r="G830">
        <f t="shared" si="91"/>
        <v>2</v>
      </c>
      <c r="H830">
        <f t="shared" si="89"/>
        <v>2</v>
      </c>
      <c r="I830" s="9" t="str">
        <f t="shared" si="90"/>
        <v>522</v>
      </c>
      <c r="Q830" s="1">
        <v>0.22687260945792165</v>
      </c>
      <c r="R830" s="1">
        <v>0.3809063155684822</v>
      </c>
    </row>
    <row r="831" spans="1:18" x14ac:dyDescent="0.35">
      <c r="A831" t="s">
        <v>833</v>
      </c>
      <c r="B831" s="2">
        <v>45704</v>
      </c>
      <c r="C831" s="3">
        <f t="shared" si="85"/>
        <v>134</v>
      </c>
      <c r="D831">
        <f t="shared" si="86"/>
        <v>591</v>
      </c>
      <c r="E831">
        <f t="shared" si="87"/>
        <v>20</v>
      </c>
      <c r="F831">
        <f t="shared" si="88"/>
        <v>4</v>
      </c>
      <c r="G831">
        <f t="shared" si="91"/>
        <v>2</v>
      </c>
      <c r="H831">
        <f t="shared" si="89"/>
        <v>2</v>
      </c>
      <c r="I831" s="9" t="str">
        <f t="shared" si="90"/>
        <v>422</v>
      </c>
      <c r="Q831" s="1">
        <v>0.49014483862673475</v>
      </c>
      <c r="R831" s="1">
        <v>0.32951500478586393</v>
      </c>
    </row>
    <row r="832" spans="1:18" x14ac:dyDescent="0.35">
      <c r="A832" t="s">
        <v>834</v>
      </c>
      <c r="B832" s="2">
        <v>45566</v>
      </c>
      <c r="C832" s="3">
        <f t="shared" si="85"/>
        <v>272</v>
      </c>
      <c r="D832">
        <f t="shared" si="86"/>
        <v>388</v>
      </c>
      <c r="E832">
        <f t="shared" si="87"/>
        <v>13</v>
      </c>
      <c r="F832">
        <f t="shared" si="88"/>
        <v>3</v>
      </c>
      <c r="G832">
        <f t="shared" si="91"/>
        <v>1</v>
      </c>
      <c r="H832">
        <f t="shared" si="89"/>
        <v>1</v>
      </c>
      <c r="I832" s="9" t="str">
        <f t="shared" si="90"/>
        <v>311</v>
      </c>
      <c r="Q832" s="1">
        <v>0.52903868343597349</v>
      </c>
      <c r="R832" s="1">
        <v>0.11420222610590369</v>
      </c>
    </row>
    <row r="833" spans="1:18" x14ac:dyDescent="0.35">
      <c r="A833" t="s">
        <v>835</v>
      </c>
      <c r="B833" s="2">
        <v>45512</v>
      </c>
      <c r="C833" s="3">
        <f t="shared" si="85"/>
        <v>326</v>
      </c>
      <c r="D833">
        <f t="shared" si="86"/>
        <v>684</v>
      </c>
      <c r="E833">
        <f t="shared" si="87"/>
        <v>23</v>
      </c>
      <c r="F833">
        <f t="shared" si="88"/>
        <v>2</v>
      </c>
      <c r="G833">
        <f t="shared" si="91"/>
        <v>2</v>
      </c>
      <c r="H833">
        <f t="shared" si="89"/>
        <v>2</v>
      </c>
      <c r="I833" s="9" t="str">
        <f t="shared" si="90"/>
        <v>222</v>
      </c>
      <c r="Q833" s="1">
        <v>0.43193861977348025</v>
      </c>
      <c r="R833" s="1">
        <v>0.44528569454670119</v>
      </c>
    </row>
    <row r="834" spans="1:18" x14ac:dyDescent="0.35">
      <c r="A834" t="s">
        <v>836</v>
      </c>
      <c r="B834" s="2">
        <v>45491</v>
      </c>
      <c r="C834" s="3">
        <f t="shared" si="85"/>
        <v>347</v>
      </c>
      <c r="D834">
        <f t="shared" si="86"/>
        <v>390</v>
      </c>
      <c r="E834">
        <f t="shared" si="87"/>
        <v>13</v>
      </c>
      <c r="F834">
        <f t="shared" si="88"/>
        <v>2</v>
      </c>
      <c r="G834">
        <f t="shared" si="91"/>
        <v>1</v>
      </c>
      <c r="H834">
        <f t="shared" si="89"/>
        <v>1</v>
      </c>
      <c r="I834" s="9" t="str">
        <f t="shared" si="90"/>
        <v>211</v>
      </c>
      <c r="Q834" s="1">
        <v>0.32548056446664386</v>
      </c>
      <c r="R834" s="1">
        <v>0.20281441786191357</v>
      </c>
    </row>
    <row r="835" spans="1:18" x14ac:dyDescent="0.35">
      <c r="A835" t="s">
        <v>837</v>
      </c>
      <c r="B835" s="2">
        <v>45318</v>
      </c>
      <c r="C835" s="3">
        <f t="shared" ref="C835:C898" si="92">$S$6-B835</f>
        <v>520</v>
      </c>
      <c r="D835">
        <f t="shared" ref="D835:D898" si="93">ROUND((R835*0.7+Q835*0.3)*(1500-40)+40,0)</f>
        <v>1044</v>
      </c>
      <c r="E835">
        <f t="shared" ref="E835:E898" si="94">ROUND((R835*0.7+Q835*0.3)*(50-1)+1,0)</f>
        <v>35</v>
      </c>
      <c r="F835">
        <f t="shared" ref="F835:F898" si="95">IF(C835&lt;=$M$4,5,IF(C835&lt;=$M$9,4,IF(C835&lt;=$M$5,3,IF(C835&lt;=$M$6,2,1))))</f>
        <v>1</v>
      </c>
      <c r="G835">
        <f t="shared" si="91"/>
        <v>4</v>
      </c>
      <c r="H835">
        <f t="shared" ref="H835:H898" si="96">IF(D835&lt;=$M$24,1,IF(D835&lt;=$M$25,2,IF(D835&lt;=$M$29,3,IF(D835&lt;=$M$26,4,5))))</f>
        <v>4</v>
      </c>
      <c r="I835" s="9" t="str">
        <f t="shared" ref="I835:I898" si="97">CONCATENATE(F835,G835,H835)</f>
        <v>144</v>
      </c>
      <c r="Q835" s="1">
        <v>0.2951936024846098</v>
      </c>
      <c r="R835" s="1">
        <v>0.85572034181479817</v>
      </c>
    </row>
    <row r="836" spans="1:18" x14ac:dyDescent="0.35">
      <c r="A836" t="s">
        <v>838</v>
      </c>
      <c r="B836" s="2">
        <v>45646</v>
      </c>
      <c r="C836" s="3">
        <f t="shared" si="92"/>
        <v>192</v>
      </c>
      <c r="D836">
        <f t="shared" si="93"/>
        <v>153</v>
      </c>
      <c r="E836">
        <f t="shared" si="94"/>
        <v>5</v>
      </c>
      <c r="F836">
        <f t="shared" si="95"/>
        <v>4</v>
      </c>
      <c r="G836">
        <f t="shared" ref="G836:G899" si="98">IF(E836&lt;=$M$14,1,IF(E836&lt;=$M$15,2,IF(E836&lt;=$M$19,3,IF(E836&lt;=$M$16,4,5))))</f>
        <v>1</v>
      </c>
      <c r="H836">
        <f t="shared" si="96"/>
        <v>1</v>
      </c>
      <c r="I836" s="9" t="str">
        <f t="shared" si="97"/>
        <v>411</v>
      </c>
      <c r="Q836" s="1">
        <v>0.16260605147227725</v>
      </c>
      <c r="R836" s="1">
        <v>4.042484983425787E-2</v>
      </c>
    </row>
    <row r="837" spans="1:18" x14ac:dyDescent="0.35">
      <c r="A837" t="s">
        <v>839</v>
      </c>
      <c r="B837" s="2">
        <v>45792</v>
      </c>
      <c r="C837" s="3">
        <f t="shared" si="92"/>
        <v>46</v>
      </c>
      <c r="D837">
        <f t="shared" si="93"/>
        <v>482</v>
      </c>
      <c r="E837">
        <f t="shared" si="94"/>
        <v>16</v>
      </c>
      <c r="F837">
        <f t="shared" si="95"/>
        <v>5</v>
      </c>
      <c r="G837">
        <f t="shared" si="98"/>
        <v>1</v>
      </c>
      <c r="H837">
        <f t="shared" si="96"/>
        <v>1</v>
      </c>
      <c r="I837" s="9" t="str">
        <f t="shared" si="97"/>
        <v>511</v>
      </c>
      <c r="Q837" s="1">
        <v>0.13619789614794919</v>
      </c>
      <c r="R837" s="1">
        <v>0.37373581751737783</v>
      </c>
    </row>
    <row r="838" spans="1:18" x14ac:dyDescent="0.35">
      <c r="A838" t="s">
        <v>840</v>
      </c>
      <c r="B838" s="2">
        <v>45595</v>
      </c>
      <c r="C838" s="3">
        <f t="shared" si="92"/>
        <v>243</v>
      </c>
      <c r="D838">
        <f t="shared" si="93"/>
        <v>557</v>
      </c>
      <c r="E838">
        <f t="shared" si="94"/>
        <v>18</v>
      </c>
      <c r="F838">
        <f t="shared" si="95"/>
        <v>4</v>
      </c>
      <c r="G838">
        <f t="shared" si="98"/>
        <v>2</v>
      </c>
      <c r="H838">
        <f t="shared" si="96"/>
        <v>2</v>
      </c>
      <c r="I838" s="9" t="str">
        <f t="shared" si="97"/>
        <v>422</v>
      </c>
      <c r="Q838" s="1">
        <v>0.91316367179191171</v>
      </c>
      <c r="R838" s="1">
        <v>0.11446280333274816</v>
      </c>
    </row>
    <row r="839" spans="1:18" x14ac:dyDescent="0.35">
      <c r="A839" t="s">
        <v>841</v>
      </c>
      <c r="B839" s="2">
        <v>45428</v>
      </c>
      <c r="C839" s="3">
        <f t="shared" si="92"/>
        <v>410</v>
      </c>
      <c r="D839">
        <f t="shared" si="93"/>
        <v>655</v>
      </c>
      <c r="E839">
        <f t="shared" si="94"/>
        <v>22</v>
      </c>
      <c r="F839">
        <f t="shared" si="95"/>
        <v>1</v>
      </c>
      <c r="G839">
        <f t="shared" si="98"/>
        <v>2</v>
      </c>
      <c r="H839">
        <f t="shared" si="96"/>
        <v>2</v>
      </c>
      <c r="I839" s="9" t="str">
        <f t="shared" si="97"/>
        <v>122</v>
      </c>
      <c r="Q839" s="1">
        <v>0.41248347601903834</v>
      </c>
      <c r="R839" s="1">
        <v>0.42475092297107497</v>
      </c>
    </row>
    <row r="840" spans="1:18" x14ac:dyDescent="0.35">
      <c r="A840" t="s">
        <v>842</v>
      </c>
      <c r="B840" s="2">
        <v>45793</v>
      </c>
      <c r="C840" s="3">
        <f t="shared" si="92"/>
        <v>45</v>
      </c>
      <c r="D840">
        <f t="shared" si="93"/>
        <v>1092</v>
      </c>
      <c r="E840">
        <f t="shared" si="94"/>
        <v>36</v>
      </c>
      <c r="F840">
        <f t="shared" si="95"/>
        <v>5</v>
      </c>
      <c r="G840">
        <f t="shared" si="98"/>
        <v>5</v>
      </c>
      <c r="H840">
        <f t="shared" si="96"/>
        <v>5</v>
      </c>
      <c r="I840" s="9" t="str">
        <f t="shared" si="97"/>
        <v>555</v>
      </c>
      <c r="Q840" s="1">
        <v>0.81060904967923586</v>
      </c>
      <c r="R840" s="1">
        <v>0.68165662134408156</v>
      </c>
    </row>
    <row r="841" spans="1:18" x14ac:dyDescent="0.35">
      <c r="A841" t="s">
        <v>843</v>
      </c>
      <c r="B841" s="2">
        <v>45600</v>
      </c>
      <c r="C841" s="3">
        <f t="shared" si="92"/>
        <v>238</v>
      </c>
      <c r="D841">
        <f t="shared" si="93"/>
        <v>738</v>
      </c>
      <c r="E841">
        <f t="shared" si="94"/>
        <v>24</v>
      </c>
      <c r="F841">
        <f t="shared" si="95"/>
        <v>4</v>
      </c>
      <c r="G841">
        <f t="shared" si="98"/>
        <v>2</v>
      </c>
      <c r="H841">
        <f t="shared" si="96"/>
        <v>2</v>
      </c>
      <c r="I841" s="9" t="str">
        <f t="shared" si="97"/>
        <v>422</v>
      </c>
      <c r="Q841" s="1">
        <v>0.49695478194231335</v>
      </c>
      <c r="R841" s="1">
        <v>0.47018231679910838</v>
      </c>
    </row>
    <row r="842" spans="1:18" x14ac:dyDescent="0.35">
      <c r="A842" t="s">
        <v>844</v>
      </c>
      <c r="B842" s="2">
        <v>45804</v>
      </c>
      <c r="C842" s="3">
        <f t="shared" si="92"/>
        <v>34</v>
      </c>
      <c r="D842">
        <f t="shared" si="93"/>
        <v>396</v>
      </c>
      <c r="E842">
        <f t="shared" si="94"/>
        <v>13</v>
      </c>
      <c r="F842">
        <f t="shared" si="95"/>
        <v>5</v>
      </c>
      <c r="G842">
        <f t="shared" si="98"/>
        <v>1</v>
      </c>
      <c r="H842">
        <f t="shared" si="96"/>
        <v>1</v>
      </c>
      <c r="I842" s="9" t="str">
        <f t="shared" si="97"/>
        <v>511</v>
      </c>
      <c r="Q842" s="1">
        <v>0.32716099958173483</v>
      </c>
      <c r="R842" s="1">
        <v>0.20796754510334114</v>
      </c>
    </row>
    <row r="843" spans="1:18" x14ac:dyDescent="0.35">
      <c r="A843" t="s">
        <v>845</v>
      </c>
      <c r="B843" s="2">
        <v>45822</v>
      </c>
      <c r="C843" s="3">
        <f t="shared" si="92"/>
        <v>16</v>
      </c>
      <c r="D843">
        <f t="shared" si="93"/>
        <v>1334</v>
      </c>
      <c r="E843">
        <f t="shared" si="94"/>
        <v>44</v>
      </c>
      <c r="F843">
        <f t="shared" si="95"/>
        <v>5</v>
      </c>
      <c r="G843">
        <f t="shared" si="98"/>
        <v>5</v>
      </c>
      <c r="H843">
        <f t="shared" si="96"/>
        <v>5</v>
      </c>
      <c r="I843" s="9" t="str">
        <f t="shared" si="97"/>
        <v>555</v>
      </c>
      <c r="Q843" s="1">
        <v>0.70802113076639894</v>
      </c>
      <c r="R843" s="1">
        <v>0.96251680760726099</v>
      </c>
    </row>
    <row r="844" spans="1:18" x14ac:dyDescent="0.35">
      <c r="A844" t="s">
        <v>846</v>
      </c>
      <c r="B844" s="2">
        <v>45515</v>
      </c>
      <c r="C844" s="3">
        <f t="shared" si="92"/>
        <v>323</v>
      </c>
      <c r="D844">
        <f t="shared" si="93"/>
        <v>927</v>
      </c>
      <c r="E844">
        <f t="shared" si="94"/>
        <v>31</v>
      </c>
      <c r="F844">
        <f t="shared" si="95"/>
        <v>2</v>
      </c>
      <c r="G844">
        <f t="shared" si="98"/>
        <v>4</v>
      </c>
      <c r="H844">
        <f t="shared" si="96"/>
        <v>4</v>
      </c>
      <c r="I844" s="9" t="str">
        <f t="shared" si="97"/>
        <v>244</v>
      </c>
      <c r="Q844" s="1">
        <v>0.1611704152439053</v>
      </c>
      <c r="R844" s="1">
        <v>0.79842185491445272</v>
      </c>
    </row>
    <row r="845" spans="1:18" x14ac:dyDescent="0.35">
      <c r="A845" t="s">
        <v>847</v>
      </c>
      <c r="B845" s="2">
        <v>45375</v>
      </c>
      <c r="C845" s="3">
        <f t="shared" si="92"/>
        <v>463</v>
      </c>
      <c r="D845">
        <f t="shared" si="93"/>
        <v>1441</v>
      </c>
      <c r="E845">
        <f t="shared" si="94"/>
        <v>48</v>
      </c>
      <c r="F845">
        <f t="shared" si="95"/>
        <v>1</v>
      </c>
      <c r="G845">
        <f t="shared" si="98"/>
        <v>5</v>
      </c>
      <c r="H845">
        <f t="shared" si="96"/>
        <v>5</v>
      </c>
      <c r="I845" s="9" t="str">
        <f t="shared" si="97"/>
        <v>155</v>
      </c>
      <c r="Q845" s="1">
        <v>0.92714652191341385</v>
      </c>
      <c r="R845" s="1">
        <v>0.97390337606237321</v>
      </c>
    </row>
    <row r="846" spans="1:18" x14ac:dyDescent="0.35">
      <c r="A846" t="s">
        <v>848</v>
      </c>
      <c r="B846" s="2">
        <v>45393</v>
      </c>
      <c r="C846" s="3">
        <f t="shared" si="92"/>
        <v>445</v>
      </c>
      <c r="D846">
        <f t="shared" si="93"/>
        <v>1324</v>
      </c>
      <c r="E846">
        <f t="shared" si="94"/>
        <v>44</v>
      </c>
      <c r="F846">
        <f t="shared" si="95"/>
        <v>1</v>
      </c>
      <c r="G846">
        <f t="shared" si="98"/>
        <v>5</v>
      </c>
      <c r="H846">
        <f t="shared" si="96"/>
        <v>5</v>
      </c>
      <c r="I846" s="9" t="str">
        <f t="shared" si="97"/>
        <v>155</v>
      </c>
      <c r="Q846" s="1">
        <v>0.74850113651674099</v>
      </c>
      <c r="R846" s="1">
        <v>0.93573066504719893</v>
      </c>
    </row>
    <row r="847" spans="1:18" x14ac:dyDescent="0.35">
      <c r="A847" t="s">
        <v>849</v>
      </c>
      <c r="B847" s="2">
        <v>45602</v>
      </c>
      <c r="C847" s="3">
        <f t="shared" si="92"/>
        <v>236</v>
      </c>
      <c r="D847">
        <f t="shared" si="93"/>
        <v>1348</v>
      </c>
      <c r="E847">
        <f t="shared" si="94"/>
        <v>45</v>
      </c>
      <c r="F847">
        <f t="shared" si="95"/>
        <v>4</v>
      </c>
      <c r="G847">
        <f t="shared" si="98"/>
        <v>5</v>
      </c>
      <c r="H847">
        <f t="shared" si="96"/>
        <v>5</v>
      </c>
      <c r="I847" s="9" t="str">
        <f t="shared" si="97"/>
        <v>455</v>
      </c>
      <c r="Q847" s="1">
        <v>0.71340744910090548</v>
      </c>
      <c r="R847" s="1">
        <v>0.97425210807208462</v>
      </c>
    </row>
    <row r="848" spans="1:18" x14ac:dyDescent="0.35">
      <c r="A848" t="s">
        <v>850</v>
      </c>
      <c r="B848" s="2">
        <v>45774</v>
      </c>
      <c r="C848" s="3">
        <f t="shared" si="92"/>
        <v>64</v>
      </c>
      <c r="D848">
        <f t="shared" si="93"/>
        <v>1164</v>
      </c>
      <c r="E848">
        <f t="shared" si="94"/>
        <v>39</v>
      </c>
      <c r="F848">
        <f t="shared" si="95"/>
        <v>5</v>
      </c>
      <c r="G848">
        <f t="shared" si="98"/>
        <v>5</v>
      </c>
      <c r="H848">
        <f t="shared" si="96"/>
        <v>5</v>
      </c>
      <c r="I848" s="9" t="str">
        <f t="shared" si="97"/>
        <v>555</v>
      </c>
      <c r="Q848" s="1">
        <v>0.36023127378352238</v>
      </c>
      <c r="R848" s="1">
        <v>0.94579739332297263</v>
      </c>
    </row>
    <row r="849" spans="1:18" x14ac:dyDescent="0.35">
      <c r="A849" t="s">
        <v>851</v>
      </c>
      <c r="B849" s="2">
        <v>45530</v>
      </c>
      <c r="C849" s="3">
        <f t="shared" si="92"/>
        <v>308</v>
      </c>
      <c r="D849">
        <f t="shared" si="93"/>
        <v>267</v>
      </c>
      <c r="E849">
        <f t="shared" si="94"/>
        <v>9</v>
      </c>
      <c r="F849">
        <f t="shared" si="95"/>
        <v>2</v>
      </c>
      <c r="G849">
        <f t="shared" si="98"/>
        <v>1</v>
      </c>
      <c r="H849">
        <f t="shared" si="96"/>
        <v>1</v>
      </c>
      <c r="I849" s="9" t="str">
        <f t="shared" si="97"/>
        <v>211</v>
      </c>
      <c r="Q849" s="1">
        <v>0.13738601343946677</v>
      </c>
      <c r="R849" s="1">
        <v>0.16336674383659355</v>
      </c>
    </row>
    <row r="850" spans="1:18" x14ac:dyDescent="0.35">
      <c r="A850" t="s">
        <v>852</v>
      </c>
      <c r="B850" s="2">
        <v>45789</v>
      </c>
      <c r="C850" s="3">
        <f t="shared" si="92"/>
        <v>49</v>
      </c>
      <c r="D850">
        <f t="shared" si="93"/>
        <v>1004</v>
      </c>
      <c r="E850">
        <f t="shared" si="94"/>
        <v>33</v>
      </c>
      <c r="F850">
        <f t="shared" si="95"/>
        <v>5</v>
      </c>
      <c r="G850">
        <f t="shared" si="98"/>
        <v>4</v>
      </c>
      <c r="H850">
        <f t="shared" si="96"/>
        <v>4</v>
      </c>
      <c r="I850" s="9" t="str">
        <f t="shared" si="97"/>
        <v>544</v>
      </c>
      <c r="Q850" s="1">
        <v>0.91256416783041605</v>
      </c>
      <c r="R850" s="1">
        <v>0.55239210887602974</v>
      </c>
    </row>
    <row r="851" spans="1:18" x14ac:dyDescent="0.35">
      <c r="A851" t="s">
        <v>853</v>
      </c>
      <c r="B851" s="2">
        <v>45389</v>
      </c>
      <c r="C851" s="3">
        <f t="shared" si="92"/>
        <v>449</v>
      </c>
      <c r="D851">
        <f t="shared" si="93"/>
        <v>883</v>
      </c>
      <c r="E851">
        <f t="shared" si="94"/>
        <v>29</v>
      </c>
      <c r="F851">
        <f t="shared" si="95"/>
        <v>1</v>
      </c>
      <c r="G851">
        <f t="shared" si="98"/>
        <v>4</v>
      </c>
      <c r="H851">
        <f t="shared" si="96"/>
        <v>4</v>
      </c>
      <c r="I851" s="9" t="str">
        <f t="shared" si="97"/>
        <v>144</v>
      </c>
      <c r="Q851" s="1">
        <v>0.8812090077747039</v>
      </c>
      <c r="R851" s="1">
        <v>0.44674022426620374</v>
      </c>
    </row>
    <row r="852" spans="1:18" x14ac:dyDescent="0.35">
      <c r="A852" t="s">
        <v>854</v>
      </c>
      <c r="B852" s="2">
        <v>45734</v>
      </c>
      <c r="C852" s="3">
        <f t="shared" si="92"/>
        <v>104</v>
      </c>
      <c r="D852">
        <f t="shared" si="93"/>
        <v>964</v>
      </c>
      <c r="E852">
        <f t="shared" si="94"/>
        <v>32</v>
      </c>
      <c r="F852">
        <f t="shared" si="95"/>
        <v>5</v>
      </c>
      <c r="G852">
        <f t="shared" si="98"/>
        <v>4</v>
      </c>
      <c r="H852">
        <f t="shared" si="96"/>
        <v>4</v>
      </c>
      <c r="I852" s="9" t="str">
        <f t="shared" si="97"/>
        <v>544</v>
      </c>
      <c r="Q852" s="1">
        <v>0.20576152189130137</v>
      </c>
      <c r="R852" s="1">
        <v>0.81567821683097774</v>
      </c>
    </row>
    <row r="853" spans="1:18" x14ac:dyDescent="0.35">
      <c r="A853" t="s">
        <v>855</v>
      </c>
      <c r="B853" s="2">
        <v>45777</v>
      </c>
      <c r="C853" s="3">
        <f t="shared" si="92"/>
        <v>61</v>
      </c>
      <c r="D853">
        <f t="shared" si="93"/>
        <v>1217</v>
      </c>
      <c r="E853">
        <f t="shared" si="94"/>
        <v>40</v>
      </c>
      <c r="F853">
        <f t="shared" si="95"/>
        <v>5</v>
      </c>
      <c r="G853">
        <f t="shared" si="98"/>
        <v>5</v>
      </c>
      <c r="H853">
        <f t="shared" si="96"/>
        <v>5</v>
      </c>
      <c r="I853" s="9" t="str">
        <f t="shared" si="97"/>
        <v>555</v>
      </c>
      <c r="Q853" s="1">
        <v>0.525394577997079</v>
      </c>
      <c r="R853" s="1">
        <v>0.92625132815758204</v>
      </c>
    </row>
    <row r="854" spans="1:18" x14ac:dyDescent="0.35">
      <c r="A854" t="s">
        <v>856</v>
      </c>
      <c r="B854" s="2">
        <v>45622</v>
      </c>
      <c r="C854" s="3">
        <f t="shared" si="92"/>
        <v>216</v>
      </c>
      <c r="D854">
        <f t="shared" si="93"/>
        <v>807</v>
      </c>
      <c r="E854">
        <f t="shared" si="94"/>
        <v>27</v>
      </c>
      <c r="F854">
        <f t="shared" si="95"/>
        <v>4</v>
      </c>
      <c r="G854">
        <f t="shared" si="98"/>
        <v>4</v>
      </c>
      <c r="H854">
        <f t="shared" si="96"/>
        <v>4</v>
      </c>
      <c r="I854" s="9" t="str">
        <f t="shared" si="97"/>
        <v>444</v>
      </c>
      <c r="Q854" s="1">
        <v>0.64930202358117395</v>
      </c>
      <c r="R854" s="1">
        <v>0.47234800088005513</v>
      </c>
    </row>
    <row r="855" spans="1:18" x14ac:dyDescent="0.35">
      <c r="A855" t="s">
        <v>857</v>
      </c>
      <c r="B855" s="2">
        <v>45457</v>
      </c>
      <c r="C855" s="3">
        <f t="shared" si="92"/>
        <v>381</v>
      </c>
      <c r="D855">
        <f t="shared" si="93"/>
        <v>928</v>
      </c>
      <c r="E855">
        <f t="shared" si="94"/>
        <v>31</v>
      </c>
      <c r="F855">
        <f t="shared" si="95"/>
        <v>2</v>
      </c>
      <c r="G855">
        <f t="shared" si="98"/>
        <v>4</v>
      </c>
      <c r="H855">
        <f t="shared" si="96"/>
        <v>4</v>
      </c>
      <c r="I855" s="9" t="str">
        <f t="shared" si="97"/>
        <v>244</v>
      </c>
      <c r="Q855" s="1">
        <v>0.74875261367827917</v>
      </c>
      <c r="R855" s="1">
        <v>0.54792562845050685</v>
      </c>
    </row>
    <row r="856" spans="1:18" x14ac:dyDescent="0.35">
      <c r="A856" t="s">
        <v>858</v>
      </c>
      <c r="B856" s="2">
        <v>45428</v>
      </c>
      <c r="C856" s="3">
        <f t="shared" si="92"/>
        <v>410</v>
      </c>
      <c r="D856">
        <f t="shared" si="93"/>
        <v>794</v>
      </c>
      <c r="E856">
        <f t="shared" si="94"/>
        <v>26</v>
      </c>
      <c r="F856">
        <f t="shared" si="95"/>
        <v>1</v>
      </c>
      <c r="G856">
        <f t="shared" si="98"/>
        <v>2</v>
      </c>
      <c r="H856">
        <f t="shared" si="96"/>
        <v>4</v>
      </c>
      <c r="I856" s="9" t="str">
        <f t="shared" si="97"/>
        <v>124</v>
      </c>
      <c r="Q856" s="1">
        <v>0.55380135170081235</v>
      </c>
      <c r="R856" s="1">
        <v>0.50017166255447487</v>
      </c>
    </row>
    <row r="857" spans="1:18" x14ac:dyDescent="0.35">
      <c r="A857" t="s">
        <v>859</v>
      </c>
      <c r="B857" s="2">
        <v>45771</v>
      </c>
      <c r="C857" s="3">
        <f t="shared" si="92"/>
        <v>67</v>
      </c>
      <c r="D857">
        <f t="shared" si="93"/>
        <v>1368</v>
      </c>
      <c r="E857">
        <f t="shared" si="94"/>
        <v>46</v>
      </c>
      <c r="F857">
        <f t="shared" si="95"/>
        <v>5</v>
      </c>
      <c r="G857">
        <f t="shared" si="98"/>
        <v>5</v>
      </c>
      <c r="H857">
        <f t="shared" si="96"/>
        <v>5</v>
      </c>
      <c r="I857" s="9" t="str">
        <f t="shared" si="97"/>
        <v>555</v>
      </c>
      <c r="Q857" s="1">
        <v>0.8286487787139929</v>
      </c>
      <c r="R857" s="1">
        <v>0.94388063595222127</v>
      </c>
    </row>
    <row r="858" spans="1:18" x14ac:dyDescent="0.35">
      <c r="A858" t="s">
        <v>860</v>
      </c>
      <c r="B858" s="2">
        <v>45816</v>
      </c>
      <c r="C858" s="3">
        <f t="shared" si="92"/>
        <v>22</v>
      </c>
      <c r="D858">
        <f t="shared" si="93"/>
        <v>1254</v>
      </c>
      <c r="E858">
        <f t="shared" si="94"/>
        <v>42</v>
      </c>
      <c r="F858">
        <f t="shared" si="95"/>
        <v>5</v>
      </c>
      <c r="G858">
        <f t="shared" si="98"/>
        <v>5</v>
      </c>
      <c r="H858">
        <f t="shared" si="96"/>
        <v>5</v>
      </c>
      <c r="I858" s="9" t="str">
        <f t="shared" si="97"/>
        <v>555</v>
      </c>
      <c r="Q858" s="1">
        <v>0.58644921507328585</v>
      </c>
      <c r="R858" s="1">
        <v>0.93668110961955753</v>
      </c>
    </row>
    <row r="859" spans="1:18" x14ac:dyDescent="0.35">
      <c r="A859" t="s">
        <v>861</v>
      </c>
      <c r="B859" s="2">
        <v>45523</v>
      </c>
      <c r="C859" s="3">
        <f t="shared" si="92"/>
        <v>315</v>
      </c>
      <c r="D859">
        <f t="shared" si="93"/>
        <v>1093</v>
      </c>
      <c r="E859">
        <f t="shared" si="94"/>
        <v>36</v>
      </c>
      <c r="F859">
        <f t="shared" si="95"/>
        <v>2</v>
      </c>
      <c r="G859">
        <f t="shared" si="98"/>
        <v>5</v>
      </c>
      <c r="H859">
        <f t="shared" si="96"/>
        <v>5</v>
      </c>
      <c r="I859" s="9" t="str">
        <f t="shared" si="97"/>
        <v>255</v>
      </c>
      <c r="Q859" s="1">
        <v>0.77786466261621334</v>
      </c>
      <c r="R859" s="1">
        <v>0.69661182310209246</v>
      </c>
    </row>
    <row r="860" spans="1:18" x14ac:dyDescent="0.35">
      <c r="A860" t="s">
        <v>862</v>
      </c>
      <c r="B860" s="2">
        <v>45761</v>
      </c>
      <c r="C860" s="3">
        <f t="shared" si="92"/>
        <v>77</v>
      </c>
      <c r="D860">
        <f t="shared" si="93"/>
        <v>485</v>
      </c>
      <c r="E860">
        <f t="shared" si="94"/>
        <v>16</v>
      </c>
      <c r="F860">
        <f t="shared" si="95"/>
        <v>5</v>
      </c>
      <c r="G860">
        <f t="shared" si="98"/>
        <v>1</v>
      </c>
      <c r="H860">
        <f t="shared" si="96"/>
        <v>1</v>
      </c>
      <c r="I860" s="9" t="str">
        <f t="shared" si="97"/>
        <v>511</v>
      </c>
      <c r="Q860" s="1">
        <v>0.22736966203660802</v>
      </c>
      <c r="R860" s="1">
        <v>0.33778873339201609</v>
      </c>
    </row>
    <row r="861" spans="1:18" x14ac:dyDescent="0.35">
      <c r="A861" t="s">
        <v>863</v>
      </c>
      <c r="B861" s="2">
        <v>45838</v>
      </c>
      <c r="C861" s="3">
        <f t="shared" si="92"/>
        <v>0</v>
      </c>
      <c r="D861">
        <f t="shared" si="93"/>
        <v>572</v>
      </c>
      <c r="E861">
        <f t="shared" si="94"/>
        <v>19</v>
      </c>
      <c r="F861">
        <f t="shared" si="95"/>
        <v>5</v>
      </c>
      <c r="G861">
        <f t="shared" si="98"/>
        <v>2</v>
      </c>
      <c r="H861">
        <f t="shared" si="96"/>
        <v>2</v>
      </c>
      <c r="I861" s="9" t="str">
        <f t="shared" si="97"/>
        <v>522</v>
      </c>
      <c r="Q861" s="1">
        <v>0.89516082420536058</v>
      </c>
      <c r="R861" s="1">
        <v>0.13709535355734981</v>
      </c>
    </row>
    <row r="862" spans="1:18" x14ac:dyDescent="0.35">
      <c r="A862" t="s">
        <v>864</v>
      </c>
      <c r="B862" s="2">
        <v>45646</v>
      </c>
      <c r="C862" s="3">
        <f t="shared" si="92"/>
        <v>192</v>
      </c>
      <c r="D862">
        <f t="shared" si="93"/>
        <v>604</v>
      </c>
      <c r="E862">
        <f t="shared" si="94"/>
        <v>20</v>
      </c>
      <c r="F862">
        <f t="shared" si="95"/>
        <v>4</v>
      </c>
      <c r="G862">
        <f t="shared" si="98"/>
        <v>2</v>
      </c>
      <c r="H862">
        <f t="shared" si="96"/>
        <v>2</v>
      </c>
      <c r="I862" s="9" t="str">
        <f t="shared" si="97"/>
        <v>422</v>
      </c>
      <c r="Q862" s="1">
        <v>0.27180571010797949</v>
      </c>
      <c r="R862" s="1">
        <v>0.43526788352158885</v>
      </c>
    </row>
    <row r="863" spans="1:18" x14ac:dyDescent="0.35">
      <c r="A863" t="s">
        <v>865</v>
      </c>
      <c r="B863" s="2">
        <v>45571</v>
      </c>
      <c r="C863" s="3">
        <f t="shared" si="92"/>
        <v>267</v>
      </c>
      <c r="D863">
        <f t="shared" si="93"/>
        <v>995</v>
      </c>
      <c r="E863">
        <f t="shared" si="94"/>
        <v>33</v>
      </c>
      <c r="F863">
        <f t="shared" si="95"/>
        <v>4</v>
      </c>
      <c r="G863">
        <f t="shared" si="98"/>
        <v>4</v>
      </c>
      <c r="H863">
        <f t="shared" si="96"/>
        <v>4</v>
      </c>
      <c r="I863" s="9" t="str">
        <f t="shared" si="97"/>
        <v>444</v>
      </c>
      <c r="Q863" s="1">
        <v>0.30361325750206403</v>
      </c>
      <c r="R863" s="1">
        <v>0.8043082985441401</v>
      </c>
    </row>
    <row r="864" spans="1:18" x14ac:dyDescent="0.35">
      <c r="A864" t="s">
        <v>866</v>
      </c>
      <c r="B864" s="2">
        <v>45639</v>
      </c>
      <c r="C864" s="3">
        <f t="shared" si="92"/>
        <v>199</v>
      </c>
      <c r="D864">
        <f t="shared" si="93"/>
        <v>744</v>
      </c>
      <c r="E864">
        <f t="shared" si="94"/>
        <v>25</v>
      </c>
      <c r="F864">
        <f t="shared" si="95"/>
        <v>4</v>
      </c>
      <c r="G864">
        <f t="shared" si="98"/>
        <v>2</v>
      </c>
      <c r="H864">
        <f t="shared" si="96"/>
        <v>2</v>
      </c>
      <c r="I864" s="9" t="str">
        <f t="shared" si="97"/>
        <v>422</v>
      </c>
      <c r="Q864" s="1">
        <v>0.56432073276395134</v>
      </c>
      <c r="R864" s="1">
        <v>0.44680790998100905</v>
      </c>
    </row>
    <row r="865" spans="1:18" x14ac:dyDescent="0.35">
      <c r="A865" t="s">
        <v>867</v>
      </c>
      <c r="B865" s="2">
        <v>45528</v>
      </c>
      <c r="C865" s="3">
        <f t="shared" si="92"/>
        <v>310</v>
      </c>
      <c r="D865">
        <f t="shared" si="93"/>
        <v>1122</v>
      </c>
      <c r="E865">
        <f t="shared" si="94"/>
        <v>37</v>
      </c>
      <c r="F865">
        <f t="shared" si="95"/>
        <v>2</v>
      </c>
      <c r="G865">
        <f t="shared" si="98"/>
        <v>5</v>
      </c>
      <c r="H865">
        <f t="shared" si="96"/>
        <v>5</v>
      </c>
      <c r="I865" s="9" t="str">
        <f t="shared" si="97"/>
        <v>255</v>
      </c>
      <c r="Q865" s="1">
        <v>0.46413813445862462</v>
      </c>
      <c r="R865" s="1">
        <v>0.85951874010197349</v>
      </c>
    </row>
    <row r="866" spans="1:18" x14ac:dyDescent="0.35">
      <c r="A866" t="s">
        <v>868</v>
      </c>
      <c r="B866" s="2">
        <v>45320</v>
      </c>
      <c r="C866" s="3">
        <f t="shared" si="92"/>
        <v>518</v>
      </c>
      <c r="D866">
        <f t="shared" si="93"/>
        <v>246</v>
      </c>
      <c r="E866">
        <f t="shared" si="94"/>
        <v>8</v>
      </c>
      <c r="F866">
        <f t="shared" si="95"/>
        <v>1</v>
      </c>
      <c r="G866">
        <f t="shared" si="98"/>
        <v>1</v>
      </c>
      <c r="H866">
        <f t="shared" si="96"/>
        <v>1</v>
      </c>
      <c r="I866" s="9" t="str">
        <f t="shared" si="97"/>
        <v>111</v>
      </c>
      <c r="Q866" s="1">
        <v>1.8023245100691754E-2</v>
      </c>
      <c r="R866" s="1">
        <v>0.1938294899716192</v>
      </c>
    </row>
    <row r="867" spans="1:18" x14ac:dyDescent="0.35">
      <c r="A867" t="s">
        <v>869</v>
      </c>
      <c r="B867" s="2">
        <v>45615</v>
      </c>
      <c r="C867" s="3">
        <f t="shared" si="92"/>
        <v>223</v>
      </c>
      <c r="D867">
        <f t="shared" si="93"/>
        <v>1278</v>
      </c>
      <c r="E867">
        <f t="shared" si="94"/>
        <v>43</v>
      </c>
      <c r="F867">
        <f t="shared" si="95"/>
        <v>4</v>
      </c>
      <c r="G867">
        <f t="shared" si="98"/>
        <v>5</v>
      </c>
      <c r="H867">
        <f t="shared" si="96"/>
        <v>5</v>
      </c>
      <c r="I867" s="9" t="str">
        <f t="shared" si="97"/>
        <v>455</v>
      </c>
      <c r="Q867" s="1">
        <v>0.54277521233569648</v>
      </c>
      <c r="R867" s="1">
        <v>0.97858166241149924</v>
      </c>
    </row>
    <row r="868" spans="1:18" x14ac:dyDescent="0.35">
      <c r="A868" t="s">
        <v>870</v>
      </c>
      <c r="B868" s="2">
        <v>45833</v>
      </c>
      <c r="C868" s="3">
        <f t="shared" si="92"/>
        <v>5</v>
      </c>
      <c r="D868">
        <f t="shared" si="93"/>
        <v>287</v>
      </c>
      <c r="E868">
        <f t="shared" si="94"/>
        <v>9</v>
      </c>
      <c r="F868">
        <f t="shared" si="95"/>
        <v>5</v>
      </c>
      <c r="G868">
        <f t="shared" si="98"/>
        <v>1</v>
      </c>
      <c r="H868">
        <f t="shared" si="96"/>
        <v>1</v>
      </c>
      <c r="I868" s="9" t="str">
        <f t="shared" si="97"/>
        <v>511</v>
      </c>
      <c r="Q868" s="1">
        <v>0.42329513963291931</v>
      </c>
      <c r="R868" s="1">
        <v>6.0111910990635287E-2</v>
      </c>
    </row>
    <row r="869" spans="1:18" x14ac:dyDescent="0.35">
      <c r="A869" t="s">
        <v>871</v>
      </c>
      <c r="B869" s="2">
        <v>45643</v>
      </c>
      <c r="C869" s="3">
        <f t="shared" si="92"/>
        <v>195</v>
      </c>
      <c r="D869">
        <f t="shared" si="93"/>
        <v>359</v>
      </c>
      <c r="E869">
        <f t="shared" si="94"/>
        <v>12</v>
      </c>
      <c r="F869">
        <f t="shared" si="95"/>
        <v>4</v>
      </c>
      <c r="G869">
        <f t="shared" si="98"/>
        <v>1</v>
      </c>
      <c r="H869">
        <f t="shared" si="96"/>
        <v>1</v>
      </c>
      <c r="I869" s="9" t="str">
        <f t="shared" si="97"/>
        <v>411</v>
      </c>
      <c r="Q869" s="1">
        <v>4.993850243945952E-2</v>
      </c>
      <c r="R869" s="1">
        <v>0.29094170125701979</v>
      </c>
    </row>
    <row r="870" spans="1:18" x14ac:dyDescent="0.35">
      <c r="A870" t="s">
        <v>872</v>
      </c>
      <c r="B870" s="2">
        <v>45621</v>
      </c>
      <c r="C870" s="3">
        <f t="shared" si="92"/>
        <v>217</v>
      </c>
      <c r="D870">
        <f t="shared" si="93"/>
        <v>659</v>
      </c>
      <c r="E870">
        <f t="shared" si="94"/>
        <v>22</v>
      </c>
      <c r="F870">
        <f t="shared" si="95"/>
        <v>4</v>
      </c>
      <c r="G870">
        <f t="shared" si="98"/>
        <v>2</v>
      </c>
      <c r="H870">
        <f t="shared" si="96"/>
        <v>2</v>
      </c>
      <c r="I870" s="9" t="str">
        <f t="shared" si="97"/>
        <v>422</v>
      </c>
      <c r="Q870" s="1">
        <v>0.81873209451315898</v>
      </c>
      <c r="R870" s="1">
        <v>0.2546065864069762</v>
      </c>
    </row>
    <row r="871" spans="1:18" x14ac:dyDescent="0.35">
      <c r="A871" t="s">
        <v>873</v>
      </c>
      <c r="B871" s="2">
        <v>45406</v>
      </c>
      <c r="C871" s="3">
        <f t="shared" si="92"/>
        <v>432</v>
      </c>
      <c r="D871">
        <f t="shared" si="93"/>
        <v>390</v>
      </c>
      <c r="E871">
        <f t="shared" si="94"/>
        <v>13</v>
      </c>
      <c r="F871">
        <f t="shared" si="95"/>
        <v>1</v>
      </c>
      <c r="G871">
        <f t="shared" si="98"/>
        <v>1</v>
      </c>
      <c r="H871">
        <f t="shared" si="96"/>
        <v>1</v>
      </c>
      <c r="I871" s="9" t="str">
        <f t="shared" si="97"/>
        <v>111</v>
      </c>
      <c r="Q871" s="1">
        <v>0.19842698537887171</v>
      </c>
      <c r="R871" s="1">
        <v>0.25726363076551217</v>
      </c>
    </row>
    <row r="872" spans="1:18" x14ac:dyDescent="0.35">
      <c r="A872" t="s">
        <v>874</v>
      </c>
      <c r="B872" s="2">
        <v>45306</v>
      </c>
      <c r="C872" s="3">
        <f t="shared" si="92"/>
        <v>532</v>
      </c>
      <c r="D872">
        <f t="shared" si="93"/>
        <v>339</v>
      </c>
      <c r="E872">
        <f t="shared" si="94"/>
        <v>11</v>
      </c>
      <c r="F872">
        <f t="shared" si="95"/>
        <v>1</v>
      </c>
      <c r="G872">
        <f t="shared" si="98"/>
        <v>1</v>
      </c>
      <c r="H872">
        <f t="shared" si="96"/>
        <v>1</v>
      </c>
      <c r="I872" s="9" t="str">
        <f t="shared" si="97"/>
        <v>111</v>
      </c>
      <c r="Q872" s="1">
        <v>0.25884657531133271</v>
      </c>
      <c r="R872" s="1">
        <v>0.1816064903365805</v>
      </c>
    </row>
    <row r="873" spans="1:18" x14ac:dyDescent="0.35">
      <c r="A873" t="s">
        <v>875</v>
      </c>
      <c r="B873" s="2">
        <v>45520</v>
      </c>
      <c r="C873" s="3">
        <f t="shared" si="92"/>
        <v>318</v>
      </c>
      <c r="D873">
        <f t="shared" si="93"/>
        <v>754</v>
      </c>
      <c r="E873">
        <f t="shared" si="94"/>
        <v>25</v>
      </c>
      <c r="F873">
        <f t="shared" si="95"/>
        <v>2</v>
      </c>
      <c r="G873">
        <f t="shared" si="98"/>
        <v>2</v>
      </c>
      <c r="H873">
        <f t="shared" si="96"/>
        <v>2</v>
      </c>
      <c r="I873" s="9" t="str">
        <f t="shared" si="97"/>
        <v>222</v>
      </c>
      <c r="Q873" s="1">
        <v>0.67699043964401684</v>
      </c>
      <c r="R873" s="1">
        <v>0.40820006577801449</v>
      </c>
    </row>
    <row r="874" spans="1:18" x14ac:dyDescent="0.35">
      <c r="A874" t="s">
        <v>876</v>
      </c>
      <c r="B874" s="2">
        <v>45390</v>
      </c>
      <c r="C874" s="3">
        <f t="shared" si="92"/>
        <v>448</v>
      </c>
      <c r="D874">
        <f t="shared" si="93"/>
        <v>1080</v>
      </c>
      <c r="E874">
        <f t="shared" si="94"/>
        <v>36</v>
      </c>
      <c r="F874">
        <f t="shared" si="95"/>
        <v>1</v>
      </c>
      <c r="G874">
        <f t="shared" si="98"/>
        <v>5</v>
      </c>
      <c r="H874">
        <f t="shared" si="96"/>
        <v>5</v>
      </c>
      <c r="I874" s="9" t="str">
        <f t="shared" si="97"/>
        <v>155</v>
      </c>
      <c r="Q874" s="1">
        <v>8.3502063872835652E-2</v>
      </c>
      <c r="R874" s="1">
        <v>0.98183418292314262</v>
      </c>
    </row>
    <row r="875" spans="1:18" x14ac:dyDescent="0.35">
      <c r="A875" t="s">
        <v>877</v>
      </c>
      <c r="B875" s="2">
        <v>45777</v>
      </c>
      <c r="C875" s="3">
        <f t="shared" si="92"/>
        <v>61</v>
      </c>
      <c r="D875">
        <f t="shared" si="93"/>
        <v>703</v>
      </c>
      <c r="E875">
        <f t="shared" si="94"/>
        <v>23</v>
      </c>
      <c r="F875">
        <f t="shared" si="95"/>
        <v>5</v>
      </c>
      <c r="G875">
        <f t="shared" si="98"/>
        <v>2</v>
      </c>
      <c r="H875">
        <f t="shared" si="96"/>
        <v>2</v>
      </c>
      <c r="I875" s="9" t="str">
        <f t="shared" si="97"/>
        <v>522</v>
      </c>
      <c r="Q875" s="1">
        <v>0.73316777557876034</v>
      </c>
      <c r="R875" s="1">
        <v>0.33439297777415777</v>
      </c>
    </row>
    <row r="876" spans="1:18" x14ac:dyDescent="0.35">
      <c r="A876" t="s">
        <v>878</v>
      </c>
      <c r="B876" s="2">
        <v>45711</v>
      </c>
      <c r="C876" s="3">
        <f t="shared" si="92"/>
        <v>127</v>
      </c>
      <c r="D876">
        <f t="shared" si="93"/>
        <v>1032</v>
      </c>
      <c r="E876">
        <f t="shared" si="94"/>
        <v>34</v>
      </c>
      <c r="F876">
        <f t="shared" si="95"/>
        <v>4</v>
      </c>
      <c r="G876">
        <f t="shared" si="98"/>
        <v>4</v>
      </c>
      <c r="H876">
        <f t="shared" si="96"/>
        <v>4</v>
      </c>
      <c r="I876" s="9" t="str">
        <f t="shared" si="97"/>
        <v>444</v>
      </c>
      <c r="Q876" s="1">
        <v>0.36161034592695329</v>
      </c>
      <c r="R876" s="1">
        <v>0.81557083426067734</v>
      </c>
    </row>
    <row r="877" spans="1:18" x14ac:dyDescent="0.35">
      <c r="A877" t="s">
        <v>879</v>
      </c>
      <c r="B877" s="2">
        <v>45658</v>
      </c>
      <c r="C877" s="3">
        <f t="shared" si="92"/>
        <v>180</v>
      </c>
      <c r="D877">
        <f t="shared" si="93"/>
        <v>457</v>
      </c>
      <c r="E877">
        <f t="shared" si="94"/>
        <v>15</v>
      </c>
      <c r="F877">
        <f t="shared" si="95"/>
        <v>4</v>
      </c>
      <c r="G877">
        <f t="shared" si="98"/>
        <v>1</v>
      </c>
      <c r="H877">
        <f t="shared" si="96"/>
        <v>1</v>
      </c>
      <c r="I877" s="9" t="str">
        <f t="shared" si="97"/>
        <v>411</v>
      </c>
      <c r="Q877" s="1">
        <v>0.8021262652776725</v>
      </c>
      <c r="R877" s="1">
        <v>6.4626580110444865E-2</v>
      </c>
    </row>
    <row r="878" spans="1:18" x14ac:dyDescent="0.35">
      <c r="A878" t="s">
        <v>880</v>
      </c>
      <c r="B878" s="2">
        <v>45789</v>
      </c>
      <c r="C878" s="3">
        <f t="shared" si="92"/>
        <v>49</v>
      </c>
      <c r="D878">
        <f t="shared" si="93"/>
        <v>378</v>
      </c>
      <c r="E878">
        <f t="shared" si="94"/>
        <v>12</v>
      </c>
      <c r="F878">
        <f t="shared" si="95"/>
        <v>5</v>
      </c>
      <c r="G878">
        <f t="shared" si="98"/>
        <v>1</v>
      </c>
      <c r="H878">
        <f t="shared" si="96"/>
        <v>1</v>
      </c>
      <c r="I878" s="9" t="str">
        <f t="shared" si="97"/>
        <v>511</v>
      </c>
      <c r="Q878" s="1">
        <v>0.12963692913365343</v>
      </c>
      <c r="R878" s="1">
        <v>0.27540375633192959</v>
      </c>
    </row>
    <row r="879" spans="1:18" x14ac:dyDescent="0.35">
      <c r="A879" t="s">
        <v>881</v>
      </c>
      <c r="B879" s="2">
        <v>45644</v>
      </c>
      <c r="C879" s="3">
        <f t="shared" si="92"/>
        <v>194</v>
      </c>
      <c r="D879">
        <f t="shared" si="93"/>
        <v>251</v>
      </c>
      <c r="E879">
        <f t="shared" si="94"/>
        <v>8</v>
      </c>
      <c r="F879">
        <f t="shared" si="95"/>
        <v>4</v>
      </c>
      <c r="G879">
        <f t="shared" si="98"/>
        <v>1</v>
      </c>
      <c r="H879">
        <f t="shared" si="96"/>
        <v>1</v>
      </c>
      <c r="I879" s="9" t="str">
        <f t="shared" si="97"/>
        <v>411</v>
      </c>
      <c r="Q879" s="1">
        <v>0.45471654669937933</v>
      </c>
      <c r="R879" s="1">
        <v>1.1439993989948438E-2</v>
      </c>
    </row>
    <row r="880" spans="1:18" x14ac:dyDescent="0.35">
      <c r="A880" t="s">
        <v>882</v>
      </c>
      <c r="B880" s="2">
        <v>45441</v>
      </c>
      <c r="C880" s="3">
        <f t="shared" si="92"/>
        <v>397</v>
      </c>
      <c r="D880">
        <f t="shared" si="93"/>
        <v>620</v>
      </c>
      <c r="E880">
        <f t="shared" si="94"/>
        <v>20</v>
      </c>
      <c r="F880">
        <f t="shared" si="95"/>
        <v>2</v>
      </c>
      <c r="G880">
        <f t="shared" si="98"/>
        <v>2</v>
      </c>
      <c r="H880">
        <f t="shared" si="96"/>
        <v>2</v>
      </c>
      <c r="I880" s="9" t="str">
        <f t="shared" si="97"/>
        <v>222</v>
      </c>
      <c r="Q880" s="1">
        <v>0.34378808764742885</v>
      </c>
      <c r="R880" s="1">
        <v>0.41985474154614777</v>
      </c>
    </row>
    <row r="881" spans="1:18" x14ac:dyDescent="0.35">
      <c r="A881" t="s">
        <v>883</v>
      </c>
      <c r="B881" s="2">
        <v>45345</v>
      </c>
      <c r="C881" s="3">
        <f t="shared" si="92"/>
        <v>493</v>
      </c>
      <c r="D881">
        <f t="shared" si="93"/>
        <v>469</v>
      </c>
      <c r="E881">
        <f t="shared" si="94"/>
        <v>15</v>
      </c>
      <c r="F881">
        <f t="shared" si="95"/>
        <v>1</v>
      </c>
      <c r="G881">
        <f t="shared" si="98"/>
        <v>1</v>
      </c>
      <c r="H881">
        <f t="shared" si="96"/>
        <v>1</v>
      </c>
      <c r="I881" s="9" t="str">
        <f t="shared" si="97"/>
        <v>111</v>
      </c>
      <c r="Q881" s="1">
        <v>0.49400041390036042</v>
      </c>
      <c r="R881" s="1">
        <v>0.20805872739600628</v>
      </c>
    </row>
    <row r="882" spans="1:18" x14ac:dyDescent="0.35">
      <c r="A882" t="s">
        <v>884</v>
      </c>
      <c r="B882" s="2">
        <v>45797</v>
      </c>
      <c r="C882" s="3">
        <f t="shared" si="92"/>
        <v>41</v>
      </c>
      <c r="D882">
        <f t="shared" si="93"/>
        <v>240</v>
      </c>
      <c r="E882">
        <f t="shared" si="94"/>
        <v>8</v>
      </c>
      <c r="F882">
        <f t="shared" si="95"/>
        <v>5</v>
      </c>
      <c r="G882">
        <f t="shared" si="98"/>
        <v>1</v>
      </c>
      <c r="H882">
        <f t="shared" si="96"/>
        <v>1</v>
      </c>
      <c r="I882" s="9" t="str">
        <f t="shared" si="97"/>
        <v>511</v>
      </c>
      <c r="Q882" s="1">
        <v>2.8691491942999248E-2</v>
      </c>
      <c r="R882" s="1">
        <v>0.18294683437356241</v>
      </c>
    </row>
    <row r="883" spans="1:18" x14ac:dyDescent="0.35">
      <c r="A883" t="s">
        <v>885</v>
      </c>
      <c r="B883" s="2">
        <v>45666</v>
      </c>
      <c r="C883" s="3">
        <f t="shared" si="92"/>
        <v>172</v>
      </c>
      <c r="D883">
        <f t="shared" si="93"/>
        <v>1097</v>
      </c>
      <c r="E883">
        <f t="shared" si="94"/>
        <v>36</v>
      </c>
      <c r="F883">
        <f t="shared" si="95"/>
        <v>4</v>
      </c>
      <c r="G883">
        <f t="shared" si="98"/>
        <v>5</v>
      </c>
      <c r="H883">
        <f t="shared" si="96"/>
        <v>5</v>
      </c>
      <c r="I883" s="9" t="str">
        <f t="shared" si="97"/>
        <v>455</v>
      </c>
      <c r="Q883" s="1">
        <v>8.5298720394618388E-2</v>
      </c>
      <c r="R883" s="1">
        <v>0.9973879329929316</v>
      </c>
    </row>
    <row r="884" spans="1:18" x14ac:dyDescent="0.35">
      <c r="A884" t="s">
        <v>886</v>
      </c>
      <c r="B884" s="2">
        <v>45632</v>
      </c>
      <c r="C884" s="3">
        <f t="shared" si="92"/>
        <v>206</v>
      </c>
      <c r="D884">
        <f t="shared" si="93"/>
        <v>562</v>
      </c>
      <c r="E884">
        <f t="shared" si="94"/>
        <v>19</v>
      </c>
      <c r="F884">
        <f t="shared" si="95"/>
        <v>4</v>
      </c>
      <c r="G884">
        <f t="shared" si="98"/>
        <v>2</v>
      </c>
      <c r="H884">
        <f t="shared" si="96"/>
        <v>2</v>
      </c>
      <c r="I884" s="9" t="str">
        <f t="shared" si="97"/>
        <v>422</v>
      </c>
      <c r="Q884" s="1">
        <v>0.84556957682957801</v>
      </c>
      <c r="R884" s="1">
        <v>0.14868088915068434</v>
      </c>
    </row>
    <row r="885" spans="1:18" x14ac:dyDescent="0.35">
      <c r="A885" t="s">
        <v>887</v>
      </c>
      <c r="B885" s="2">
        <v>45517</v>
      </c>
      <c r="C885" s="3">
        <f t="shared" si="92"/>
        <v>321</v>
      </c>
      <c r="D885">
        <f t="shared" si="93"/>
        <v>1347</v>
      </c>
      <c r="E885">
        <f t="shared" si="94"/>
        <v>45</v>
      </c>
      <c r="F885">
        <f t="shared" si="95"/>
        <v>2</v>
      </c>
      <c r="G885">
        <f t="shared" si="98"/>
        <v>5</v>
      </c>
      <c r="H885">
        <f t="shared" si="96"/>
        <v>5</v>
      </c>
      <c r="I885" s="9" t="str">
        <f t="shared" si="97"/>
        <v>255</v>
      </c>
      <c r="Q885" s="1">
        <v>0.68465405522239609</v>
      </c>
      <c r="R885" s="1">
        <v>0.98585643688042379</v>
      </c>
    </row>
    <row r="886" spans="1:18" x14ac:dyDescent="0.35">
      <c r="A886" t="s">
        <v>888</v>
      </c>
      <c r="B886" s="2">
        <v>45474</v>
      </c>
      <c r="C886" s="3">
        <f t="shared" si="92"/>
        <v>364</v>
      </c>
      <c r="D886">
        <f t="shared" si="93"/>
        <v>931</v>
      </c>
      <c r="E886">
        <f t="shared" si="94"/>
        <v>31</v>
      </c>
      <c r="F886">
        <f t="shared" si="95"/>
        <v>2</v>
      </c>
      <c r="G886">
        <f t="shared" si="98"/>
        <v>4</v>
      </c>
      <c r="H886">
        <f t="shared" si="96"/>
        <v>4</v>
      </c>
      <c r="I886" s="9" t="str">
        <f t="shared" si="97"/>
        <v>244</v>
      </c>
      <c r="Q886" s="1">
        <v>0.65645382462628521</v>
      </c>
      <c r="R886" s="1">
        <v>0.59001993576953493</v>
      </c>
    </row>
    <row r="887" spans="1:18" x14ac:dyDescent="0.35">
      <c r="A887" t="s">
        <v>889</v>
      </c>
      <c r="B887" s="2">
        <v>45390</v>
      </c>
      <c r="C887" s="3">
        <f t="shared" si="92"/>
        <v>448</v>
      </c>
      <c r="D887">
        <f t="shared" si="93"/>
        <v>1092</v>
      </c>
      <c r="E887">
        <f t="shared" si="94"/>
        <v>36</v>
      </c>
      <c r="F887">
        <f t="shared" si="95"/>
        <v>1</v>
      </c>
      <c r="G887">
        <f t="shared" si="98"/>
        <v>5</v>
      </c>
      <c r="H887">
        <f t="shared" si="96"/>
        <v>5</v>
      </c>
      <c r="I887" s="9" t="str">
        <f t="shared" si="97"/>
        <v>155</v>
      </c>
      <c r="Q887" s="1">
        <v>0.52019157001341654</v>
      </c>
      <c r="R887" s="1">
        <v>0.80648711940120876</v>
      </c>
    </row>
    <row r="888" spans="1:18" x14ac:dyDescent="0.35">
      <c r="A888" t="s">
        <v>890</v>
      </c>
      <c r="B888" s="2">
        <v>45323</v>
      </c>
      <c r="C888" s="3">
        <f t="shared" si="92"/>
        <v>515</v>
      </c>
      <c r="D888">
        <f t="shared" si="93"/>
        <v>1088</v>
      </c>
      <c r="E888">
        <f t="shared" si="94"/>
        <v>36</v>
      </c>
      <c r="F888">
        <f t="shared" si="95"/>
        <v>1</v>
      </c>
      <c r="G888">
        <f t="shared" si="98"/>
        <v>5</v>
      </c>
      <c r="H888">
        <f t="shared" si="96"/>
        <v>5</v>
      </c>
      <c r="I888" s="9" t="str">
        <f t="shared" si="97"/>
        <v>155</v>
      </c>
      <c r="Q888" s="1">
        <v>0.63650215037345659</v>
      </c>
      <c r="R888" s="1">
        <v>0.75238454180038261</v>
      </c>
    </row>
    <row r="889" spans="1:18" x14ac:dyDescent="0.35">
      <c r="A889" t="s">
        <v>891</v>
      </c>
      <c r="B889" s="2">
        <v>45590</v>
      </c>
      <c r="C889" s="3">
        <f t="shared" si="92"/>
        <v>248</v>
      </c>
      <c r="D889">
        <f t="shared" si="93"/>
        <v>969</v>
      </c>
      <c r="E889">
        <f t="shared" si="94"/>
        <v>32</v>
      </c>
      <c r="F889">
        <f t="shared" si="95"/>
        <v>4</v>
      </c>
      <c r="G889">
        <f t="shared" si="98"/>
        <v>4</v>
      </c>
      <c r="H889">
        <f t="shared" si="96"/>
        <v>4</v>
      </c>
      <c r="I889" s="9" t="str">
        <f t="shared" si="97"/>
        <v>444</v>
      </c>
      <c r="Q889" s="1">
        <v>0.35325421440681548</v>
      </c>
      <c r="R889" s="1">
        <v>0.75734075356707087</v>
      </c>
    </row>
    <row r="890" spans="1:18" x14ac:dyDescent="0.35">
      <c r="A890" t="s">
        <v>892</v>
      </c>
      <c r="B890" s="2">
        <v>45480</v>
      </c>
      <c r="C890" s="3">
        <f t="shared" si="92"/>
        <v>358</v>
      </c>
      <c r="D890">
        <f t="shared" si="93"/>
        <v>619</v>
      </c>
      <c r="E890">
        <f t="shared" si="94"/>
        <v>20</v>
      </c>
      <c r="F890">
        <f t="shared" si="95"/>
        <v>2</v>
      </c>
      <c r="G890">
        <f t="shared" si="98"/>
        <v>2</v>
      </c>
      <c r="H890">
        <f t="shared" si="96"/>
        <v>2</v>
      </c>
      <c r="I890" s="9" t="str">
        <f t="shared" si="97"/>
        <v>222</v>
      </c>
      <c r="Q890" s="1">
        <v>0.11584314464041401</v>
      </c>
      <c r="R890" s="1">
        <v>0.51670019697682334</v>
      </c>
    </row>
    <row r="891" spans="1:18" x14ac:dyDescent="0.35">
      <c r="A891" t="s">
        <v>893</v>
      </c>
      <c r="B891" s="2">
        <v>45661</v>
      </c>
      <c r="C891" s="3">
        <f t="shared" si="92"/>
        <v>177</v>
      </c>
      <c r="D891">
        <f t="shared" si="93"/>
        <v>936</v>
      </c>
      <c r="E891">
        <f t="shared" si="94"/>
        <v>31</v>
      </c>
      <c r="F891">
        <f t="shared" si="95"/>
        <v>4</v>
      </c>
      <c r="G891">
        <f t="shared" si="98"/>
        <v>4</v>
      </c>
      <c r="H891">
        <f t="shared" si="96"/>
        <v>4</v>
      </c>
      <c r="I891" s="9" t="str">
        <f t="shared" si="97"/>
        <v>444</v>
      </c>
      <c r="Q891" s="1">
        <v>0.44887281379758848</v>
      </c>
      <c r="R891" s="1">
        <v>0.68477945946740537</v>
      </c>
    </row>
    <row r="892" spans="1:18" x14ac:dyDescent="0.35">
      <c r="A892" t="s">
        <v>894</v>
      </c>
      <c r="B892" s="2">
        <v>45731</v>
      </c>
      <c r="C892" s="3">
        <f t="shared" si="92"/>
        <v>107</v>
      </c>
      <c r="D892">
        <f t="shared" si="93"/>
        <v>266</v>
      </c>
      <c r="E892">
        <f t="shared" si="94"/>
        <v>9</v>
      </c>
      <c r="F892">
        <f t="shared" si="95"/>
        <v>5</v>
      </c>
      <c r="G892">
        <f t="shared" si="98"/>
        <v>1</v>
      </c>
      <c r="H892">
        <f t="shared" si="96"/>
        <v>1</v>
      </c>
      <c r="I892" s="9" t="str">
        <f t="shared" si="97"/>
        <v>511</v>
      </c>
      <c r="Q892" s="1">
        <v>0.31125603476849706</v>
      </c>
      <c r="R892" s="1">
        <v>8.8164742142300634E-2</v>
      </c>
    </row>
    <row r="893" spans="1:18" x14ac:dyDescent="0.35">
      <c r="A893" t="s">
        <v>895</v>
      </c>
      <c r="B893" s="2">
        <v>45712</v>
      </c>
      <c r="C893" s="3">
        <f t="shared" si="92"/>
        <v>126</v>
      </c>
      <c r="D893">
        <f t="shared" si="93"/>
        <v>535</v>
      </c>
      <c r="E893">
        <f t="shared" si="94"/>
        <v>18</v>
      </c>
      <c r="F893">
        <f t="shared" si="95"/>
        <v>4</v>
      </c>
      <c r="G893">
        <f t="shared" si="98"/>
        <v>2</v>
      </c>
      <c r="H893">
        <f t="shared" si="96"/>
        <v>2</v>
      </c>
      <c r="I893" s="9" t="str">
        <f t="shared" si="97"/>
        <v>422</v>
      </c>
      <c r="Q893" s="1">
        <v>0.57895316580741785</v>
      </c>
      <c r="R893" s="1">
        <v>0.23601237684460263</v>
      </c>
    </row>
    <row r="894" spans="1:18" x14ac:dyDescent="0.35">
      <c r="A894" t="s">
        <v>896</v>
      </c>
      <c r="B894" s="2">
        <v>45383</v>
      </c>
      <c r="C894" s="3">
        <f t="shared" si="92"/>
        <v>455</v>
      </c>
      <c r="D894">
        <f t="shared" si="93"/>
        <v>879</v>
      </c>
      <c r="E894">
        <f t="shared" si="94"/>
        <v>29</v>
      </c>
      <c r="F894">
        <f t="shared" si="95"/>
        <v>1</v>
      </c>
      <c r="G894">
        <f t="shared" si="98"/>
        <v>4</v>
      </c>
      <c r="H894">
        <f t="shared" si="96"/>
        <v>4</v>
      </c>
      <c r="I894" s="9" t="str">
        <f t="shared" si="97"/>
        <v>144</v>
      </c>
      <c r="Q894" s="1">
        <v>0.5827245856953811</v>
      </c>
      <c r="R894" s="1">
        <v>0.57111128607508799</v>
      </c>
    </row>
    <row r="895" spans="1:18" x14ac:dyDescent="0.35">
      <c r="A895" t="s">
        <v>897</v>
      </c>
      <c r="B895" s="2">
        <v>45494</v>
      </c>
      <c r="C895" s="3">
        <f t="shared" si="92"/>
        <v>344</v>
      </c>
      <c r="D895">
        <f t="shared" si="93"/>
        <v>268</v>
      </c>
      <c r="E895">
        <f t="shared" si="94"/>
        <v>9</v>
      </c>
      <c r="F895">
        <f t="shared" si="95"/>
        <v>2</v>
      </c>
      <c r="G895">
        <f t="shared" si="98"/>
        <v>1</v>
      </c>
      <c r="H895">
        <f t="shared" si="96"/>
        <v>1</v>
      </c>
      <c r="I895" s="9" t="str">
        <f t="shared" si="97"/>
        <v>211</v>
      </c>
      <c r="Q895" s="1">
        <v>3.4611502922625936E-2</v>
      </c>
      <c r="R895" s="1">
        <v>0.20874312546410745</v>
      </c>
    </row>
    <row r="896" spans="1:18" x14ac:dyDescent="0.35">
      <c r="A896" t="s">
        <v>898</v>
      </c>
      <c r="B896" s="2">
        <v>45648</v>
      </c>
      <c r="C896" s="3">
        <f t="shared" si="92"/>
        <v>190</v>
      </c>
      <c r="D896">
        <f t="shared" si="93"/>
        <v>1102</v>
      </c>
      <c r="E896">
        <f t="shared" si="94"/>
        <v>37</v>
      </c>
      <c r="F896">
        <f t="shared" si="95"/>
        <v>4</v>
      </c>
      <c r="G896">
        <f t="shared" si="98"/>
        <v>5</v>
      </c>
      <c r="H896">
        <f t="shared" si="96"/>
        <v>5</v>
      </c>
      <c r="I896" s="9" t="str">
        <f t="shared" si="97"/>
        <v>455</v>
      </c>
      <c r="Q896" s="1">
        <v>0.11379831255994033</v>
      </c>
      <c r="R896" s="1">
        <v>0.98994893458223887</v>
      </c>
    </row>
    <row r="897" spans="1:18" x14ac:dyDescent="0.35">
      <c r="A897" t="s">
        <v>899</v>
      </c>
      <c r="B897" s="2">
        <v>45400</v>
      </c>
      <c r="C897" s="3">
        <f t="shared" si="92"/>
        <v>438</v>
      </c>
      <c r="D897">
        <f t="shared" si="93"/>
        <v>554</v>
      </c>
      <c r="E897">
        <f t="shared" si="94"/>
        <v>18</v>
      </c>
      <c r="F897">
        <f t="shared" si="95"/>
        <v>1</v>
      </c>
      <c r="G897">
        <f t="shared" si="98"/>
        <v>2</v>
      </c>
      <c r="H897">
        <f t="shared" si="96"/>
        <v>2</v>
      </c>
      <c r="I897" s="9" t="str">
        <f t="shared" si="97"/>
        <v>122</v>
      </c>
      <c r="Q897" s="1">
        <v>0.68907327349900682</v>
      </c>
      <c r="R897" s="1">
        <v>0.2079263839090939</v>
      </c>
    </row>
    <row r="898" spans="1:18" x14ac:dyDescent="0.35">
      <c r="A898" t="s">
        <v>900</v>
      </c>
      <c r="B898" s="2">
        <v>45425</v>
      </c>
      <c r="C898" s="3">
        <f t="shared" si="92"/>
        <v>413</v>
      </c>
      <c r="D898">
        <f t="shared" si="93"/>
        <v>857</v>
      </c>
      <c r="E898">
        <f t="shared" si="94"/>
        <v>28</v>
      </c>
      <c r="F898">
        <f t="shared" si="95"/>
        <v>1</v>
      </c>
      <c r="G898">
        <f t="shared" si="98"/>
        <v>4</v>
      </c>
      <c r="H898">
        <f t="shared" si="96"/>
        <v>4</v>
      </c>
      <c r="I898" s="9" t="str">
        <f t="shared" si="97"/>
        <v>144</v>
      </c>
      <c r="Q898" s="1">
        <v>0.29380211450468863</v>
      </c>
      <c r="R898" s="1">
        <v>0.67325240481568316</v>
      </c>
    </row>
    <row r="899" spans="1:18" x14ac:dyDescent="0.35">
      <c r="A899" t="s">
        <v>901</v>
      </c>
      <c r="B899" s="2">
        <v>45301</v>
      </c>
      <c r="C899" s="3">
        <f t="shared" ref="C899:C962" si="99">$S$6-B899</f>
        <v>537</v>
      </c>
      <c r="D899">
        <f t="shared" ref="D899:D962" si="100">ROUND((R899*0.7+Q899*0.3)*(1500-40)+40,0)</f>
        <v>361</v>
      </c>
      <c r="E899">
        <f t="shared" ref="E899:E962" si="101">ROUND((R899*0.7+Q899*0.3)*(50-1)+1,0)</f>
        <v>12</v>
      </c>
      <c r="F899">
        <f t="shared" ref="F899:F962" si="102">IF(C899&lt;=$M$4,5,IF(C899&lt;=$M$9,4,IF(C899&lt;=$M$5,3,IF(C899&lt;=$M$6,2,1))))</f>
        <v>1</v>
      </c>
      <c r="G899">
        <f t="shared" si="98"/>
        <v>1</v>
      </c>
      <c r="H899">
        <f t="shared" ref="H899:H962" si="103">IF(D899&lt;=$M$24,1,IF(D899&lt;=$M$25,2,IF(D899&lt;=$M$29,3,IF(D899&lt;=$M$26,4,5))))</f>
        <v>1</v>
      </c>
      <c r="I899" s="9" t="str">
        <f t="shared" ref="I899:I962" si="104">CONCATENATE(F899,G899,H899)</f>
        <v>111</v>
      </c>
      <c r="Q899" s="1">
        <v>0.30143528590600444</v>
      </c>
      <c r="R899" s="1">
        <v>0.18535413266683864</v>
      </c>
    </row>
    <row r="900" spans="1:18" x14ac:dyDescent="0.35">
      <c r="A900" t="s">
        <v>902</v>
      </c>
      <c r="B900" s="2">
        <v>45572</v>
      </c>
      <c r="C900" s="3">
        <f t="shared" si="99"/>
        <v>266</v>
      </c>
      <c r="D900">
        <f t="shared" si="100"/>
        <v>370</v>
      </c>
      <c r="E900">
        <f t="shared" si="101"/>
        <v>12</v>
      </c>
      <c r="F900">
        <f t="shared" si="102"/>
        <v>4</v>
      </c>
      <c r="G900">
        <f t="shared" ref="G900:G963" si="105">IF(E900&lt;=$M$14,1,IF(E900&lt;=$M$15,2,IF(E900&lt;=$M$19,3,IF(E900&lt;=$M$16,4,5))))</f>
        <v>1</v>
      </c>
      <c r="H900">
        <f t="shared" si="103"/>
        <v>1</v>
      </c>
      <c r="I900" s="9" t="str">
        <f t="shared" si="104"/>
        <v>411</v>
      </c>
      <c r="Q900" s="1">
        <v>2.118001438667938E-2</v>
      </c>
      <c r="R900" s="1">
        <v>0.31427145898033437</v>
      </c>
    </row>
    <row r="901" spans="1:18" x14ac:dyDescent="0.35">
      <c r="A901" t="s">
        <v>903</v>
      </c>
      <c r="B901" s="2">
        <v>45352</v>
      </c>
      <c r="C901" s="3">
        <f t="shared" si="99"/>
        <v>486</v>
      </c>
      <c r="D901">
        <f t="shared" si="100"/>
        <v>685</v>
      </c>
      <c r="E901">
        <f t="shared" si="101"/>
        <v>23</v>
      </c>
      <c r="F901">
        <f t="shared" si="102"/>
        <v>1</v>
      </c>
      <c r="G901">
        <f t="shared" si="105"/>
        <v>2</v>
      </c>
      <c r="H901">
        <f t="shared" si="103"/>
        <v>2</v>
      </c>
      <c r="I901" s="9" t="str">
        <f t="shared" si="104"/>
        <v>122</v>
      </c>
      <c r="Q901" s="1">
        <v>0.13857541080296498</v>
      </c>
      <c r="R901" s="1">
        <v>0.57136001384644153</v>
      </c>
    </row>
    <row r="902" spans="1:18" x14ac:dyDescent="0.35">
      <c r="A902" t="s">
        <v>904</v>
      </c>
      <c r="B902" s="2">
        <v>45823</v>
      </c>
      <c r="C902" s="3">
        <f t="shared" si="99"/>
        <v>15</v>
      </c>
      <c r="D902">
        <f t="shared" si="100"/>
        <v>772</v>
      </c>
      <c r="E902">
        <f t="shared" si="101"/>
        <v>26</v>
      </c>
      <c r="F902">
        <f t="shared" si="102"/>
        <v>5</v>
      </c>
      <c r="G902">
        <f t="shared" si="105"/>
        <v>2</v>
      </c>
      <c r="H902">
        <f t="shared" si="103"/>
        <v>2</v>
      </c>
      <c r="I902" s="9" t="str">
        <f t="shared" si="104"/>
        <v>522</v>
      </c>
      <c r="Q902" s="1">
        <v>0.90355330598846806</v>
      </c>
      <c r="R902" s="1">
        <v>0.3287539190234573</v>
      </c>
    </row>
    <row r="903" spans="1:18" x14ac:dyDescent="0.35">
      <c r="A903" t="s">
        <v>905</v>
      </c>
      <c r="B903" s="2">
        <v>45385</v>
      </c>
      <c r="C903" s="3">
        <f t="shared" si="99"/>
        <v>453</v>
      </c>
      <c r="D903">
        <f t="shared" si="100"/>
        <v>1192</v>
      </c>
      <c r="E903">
        <f t="shared" si="101"/>
        <v>40</v>
      </c>
      <c r="F903">
        <f t="shared" si="102"/>
        <v>1</v>
      </c>
      <c r="G903">
        <f t="shared" si="105"/>
        <v>5</v>
      </c>
      <c r="H903">
        <f t="shared" si="103"/>
        <v>5</v>
      </c>
      <c r="I903" s="9" t="str">
        <f t="shared" si="104"/>
        <v>155</v>
      </c>
      <c r="Q903" s="1">
        <v>0.57633903818801557</v>
      </c>
      <c r="R903" s="1">
        <v>0.87973129162327723</v>
      </c>
    </row>
    <row r="904" spans="1:18" x14ac:dyDescent="0.35">
      <c r="A904" t="s">
        <v>906</v>
      </c>
      <c r="B904" s="2">
        <v>45551</v>
      </c>
      <c r="C904" s="3">
        <f t="shared" si="99"/>
        <v>287</v>
      </c>
      <c r="D904">
        <f t="shared" si="100"/>
        <v>630</v>
      </c>
      <c r="E904">
        <f t="shared" si="101"/>
        <v>21</v>
      </c>
      <c r="F904">
        <f t="shared" si="102"/>
        <v>2</v>
      </c>
      <c r="G904">
        <f t="shared" si="105"/>
        <v>2</v>
      </c>
      <c r="H904">
        <f t="shared" si="103"/>
        <v>2</v>
      </c>
      <c r="I904" s="9" t="str">
        <f t="shared" si="104"/>
        <v>222</v>
      </c>
      <c r="Q904" s="1">
        <v>0.57538107355718004</v>
      </c>
      <c r="R904" s="1">
        <v>0.33080180608326104</v>
      </c>
    </row>
    <row r="905" spans="1:18" x14ac:dyDescent="0.35">
      <c r="A905" t="s">
        <v>907</v>
      </c>
      <c r="B905" s="2">
        <v>45532</v>
      </c>
      <c r="C905" s="3">
        <f t="shared" si="99"/>
        <v>306</v>
      </c>
      <c r="D905">
        <f t="shared" si="100"/>
        <v>875</v>
      </c>
      <c r="E905">
        <f t="shared" si="101"/>
        <v>29</v>
      </c>
      <c r="F905">
        <f t="shared" si="102"/>
        <v>2</v>
      </c>
      <c r="G905">
        <f t="shared" si="105"/>
        <v>4</v>
      </c>
      <c r="H905">
        <f t="shared" si="103"/>
        <v>4</v>
      </c>
      <c r="I905" s="9" t="str">
        <f t="shared" si="104"/>
        <v>244</v>
      </c>
      <c r="Q905" s="1">
        <v>0.56407590944329811</v>
      </c>
      <c r="R905" s="1">
        <v>0.57510299232792861</v>
      </c>
    </row>
    <row r="906" spans="1:18" x14ac:dyDescent="0.35">
      <c r="A906" t="s">
        <v>908</v>
      </c>
      <c r="B906" s="2">
        <v>45371</v>
      </c>
      <c r="C906" s="3">
        <f t="shared" si="99"/>
        <v>467</v>
      </c>
      <c r="D906">
        <f t="shared" si="100"/>
        <v>404</v>
      </c>
      <c r="E906">
        <f t="shared" si="101"/>
        <v>13</v>
      </c>
      <c r="F906">
        <f t="shared" si="102"/>
        <v>1</v>
      </c>
      <c r="G906">
        <f t="shared" si="105"/>
        <v>1</v>
      </c>
      <c r="H906">
        <f t="shared" si="103"/>
        <v>1</v>
      </c>
      <c r="I906" s="9" t="str">
        <f t="shared" si="104"/>
        <v>111</v>
      </c>
      <c r="Q906" s="1">
        <v>0.40686695318479571</v>
      </c>
      <c r="R906" s="1">
        <v>0.18213800171555394</v>
      </c>
    </row>
    <row r="907" spans="1:18" x14ac:dyDescent="0.35">
      <c r="A907" t="s">
        <v>909</v>
      </c>
      <c r="B907" s="2">
        <v>45432</v>
      </c>
      <c r="C907" s="3">
        <f t="shared" si="99"/>
        <v>406</v>
      </c>
      <c r="D907">
        <f t="shared" si="100"/>
        <v>1214</v>
      </c>
      <c r="E907">
        <f t="shared" si="101"/>
        <v>40</v>
      </c>
      <c r="F907">
        <f t="shared" si="102"/>
        <v>2</v>
      </c>
      <c r="G907">
        <f t="shared" si="105"/>
        <v>5</v>
      </c>
      <c r="H907">
        <f t="shared" si="103"/>
        <v>5</v>
      </c>
      <c r="I907" s="9" t="str">
        <f t="shared" si="104"/>
        <v>255</v>
      </c>
      <c r="Q907" s="1">
        <v>0.81648078318808315</v>
      </c>
      <c r="R907" s="1">
        <v>0.79925679825601559</v>
      </c>
    </row>
    <row r="908" spans="1:18" x14ac:dyDescent="0.35">
      <c r="A908" t="s">
        <v>910</v>
      </c>
      <c r="B908" s="2">
        <v>45491</v>
      </c>
      <c r="C908" s="3">
        <f t="shared" si="99"/>
        <v>347</v>
      </c>
      <c r="D908">
        <f t="shared" si="100"/>
        <v>371</v>
      </c>
      <c r="E908">
        <f t="shared" si="101"/>
        <v>12</v>
      </c>
      <c r="F908">
        <f t="shared" si="102"/>
        <v>2</v>
      </c>
      <c r="G908">
        <f t="shared" si="105"/>
        <v>1</v>
      </c>
      <c r="H908">
        <f t="shared" si="103"/>
        <v>1</v>
      </c>
      <c r="I908" s="9" t="str">
        <f t="shared" si="104"/>
        <v>211</v>
      </c>
      <c r="Q908" s="1">
        <v>6.3003356859510529E-2</v>
      </c>
      <c r="R908" s="1">
        <v>0.29671280238233955</v>
      </c>
    </row>
    <row r="909" spans="1:18" x14ac:dyDescent="0.35">
      <c r="A909" t="s">
        <v>911</v>
      </c>
      <c r="B909" s="2">
        <v>45299</v>
      </c>
      <c r="C909" s="3">
        <f t="shared" si="99"/>
        <v>539</v>
      </c>
      <c r="D909">
        <f t="shared" si="100"/>
        <v>1265</v>
      </c>
      <c r="E909">
        <f t="shared" si="101"/>
        <v>42</v>
      </c>
      <c r="F909">
        <f t="shared" si="102"/>
        <v>1</v>
      </c>
      <c r="G909">
        <f t="shared" si="105"/>
        <v>5</v>
      </c>
      <c r="H909">
        <f t="shared" si="103"/>
        <v>5</v>
      </c>
      <c r="I909" s="9" t="str">
        <f t="shared" si="104"/>
        <v>155</v>
      </c>
      <c r="Q909" s="1">
        <v>0.9072013639522043</v>
      </c>
      <c r="R909" s="1">
        <v>0.81005197883967039</v>
      </c>
    </row>
    <row r="910" spans="1:18" x14ac:dyDescent="0.35">
      <c r="A910" t="s">
        <v>912</v>
      </c>
      <c r="B910" s="2">
        <v>45402</v>
      </c>
      <c r="C910" s="3">
        <f t="shared" si="99"/>
        <v>436</v>
      </c>
      <c r="D910">
        <f t="shared" si="100"/>
        <v>1028</v>
      </c>
      <c r="E910">
        <f t="shared" si="101"/>
        <v>34</v>
      </c>
      <c r="F910">
        <f t="shared" si="102"/>
        <v>1</v>
      </c>
      <c r="G910">
        <f t="shared" si="105"/>
        <v>4</v>
      </c>
      <c r="H910">
        <f t="shared" si="103"/>
        <v>4</v>
      </c>
      <c r="I910" s="9" t="str">
        <f t="shared" si="104"/>
        <v>144</v>
      </c>
      <c r="Q910" s="1">
        <v>0.75654787988702521</v>
      </c>
      <c r="R910" s="1">
        <v>0.6428443292549163</v>
      </c>
    </row>
    <row r="911" spans="1:18" x14ac:dyDescent="0.35">
      <c r="A911" t="s">
        <v>913</v>
      </c>
      <c r="B911" s="2">
        <v>45478</v>
      </c>
      <c r="C911" s="3">
        <f t="shared" si="99"/>
        <v>360</v>
      </c>
      <c r="D911">
        <f t="shared" si="100"/>
        <v>948</v>
      </c>
      <c r="E911">
        <f t="shared" si="101"/>
        <v>31</v>
      </c>
      <c r="F911">
        <f t="shared" si="102"/>
        <v>2</v>
      </c>
      <c r="G911">
        <f t="shared" si="105"/>
        <v>4</v>
      </c>
      <c r="H911">
        <f t="shared" si="103"/>
        <v>4</v>
      </c>
      <c r="I911" s="9" t="str">
        <f t="shared" si="104"/>
        <v>244</v>
      </c>
      <c r="Q911" s="1">
        <v>0.20099624347468437</v>
      </c>
      <c r="R911" s="1">
        <v>0.8022040618477837</v>
      </c>
    </row>
    <row r="912" spans="1:18" x14ac:dyDescent="0.35">
      <c r="A912" t="s">
        <v>914</v>
      </c>
      <c r="B912" s="2">
        <v>45522</v>
      </c>
      <c r="C912" s="3">
        <f t="shared" si="99"/>
        <v>316</v>
      </c>
      <c r="D912">
        <f t="shared" si="100"/>
        <v>1406</v>
      </c>
      <c r="E912">
        <f t="shared" si="101"/>
        <v>47</v>
      </c>
      <c r="F912">
        <f t="shared" si="102"/>
        <v>2</v>
      </c>
      <c r="G912">
        <f t="shared" si="105"/>
        <v>5</v>
      </c>
      <c r="H912">
        <f t="shared" si="103"/>
        <v>5</v>
      </c>
      <c r="I912" s="9" t="str">
        <f t="shared" si="104"/>
        <v>255</v>
      </c>
      <c r="Q912" s="1">
        <v>0.96718789145983397</v>
      </c>
      <c r="R912" s="1">
        <v>0.92179835217258088</v>
      </c>
    </row>
    <row r="913" spans="1:18" x14ac:dyDescent="0.35">
      <c r="A913" t="s">
        <v>915</v>
      </c>
      <c r="B913" s="2">
        <v>45457</v>
      </c>
      <c r="C913" s="3">
        <f t="shared" si="99"/>
        <v>381</v>
      </c>
      <c r="D913">
        <f t="shared" si="100"/>
        <v>872</v>
      </c>
      <c r="E913">
        <f t="shared" si="101"/>
        <v>29</v>
      </c>
      <c r="F913">
        <f t="shared" si="102"/>
        <v>2</v>
      </c>
      <c r="G913">
        <f t="shared" si="105"/>
        <v>4</v>
      </c>
      <c r="H913">
        <f t="shared" si="103"/>
        <v>4</v>
      </c>
      <c r="I913" s="9" t="str">
        <f t="shared" si="104"/>
        <v>244</v>
      </c>
      <c r="Q913" s="1">
        <v>0.39061320009728007</v>
      </c>
      <c r="R913" s="1">
        <v>0.64645286118621803</v>
      </c>
    </row>
    <row r="914" spans="1:18" x14ac:dyDescent="0.35">
      <c r="A914" t="s">
        <v>916</v>
      </c>
      <c r="B914" s="2">
        <v>45407</v>
      </c>
      <c r="C914" s="3">
        <f t="shared" si="99"/>
        <v>431</v>
      </c>
      <c r="D914">
        <f t="shared" si="100"/>
        <v>116</v>
      </c>
      <c r="E914">
        <f t="shared" si="101"/>
        <v>4</v>
      </c>
      <c r="F914">
        <f t="shared" si="102"/>
        <v>1</v>
      </c>
      <c r="G914">
        <f t="shared" si="105"/>
        <v>1</v>
      </c>
      <c r="H914">
        <f t="shared" si="103"/>
        <v>1</v>
      </c>
      <c r="I914" s="9" t="str">
        <f t="shared" si="104"/>
        <v>111</v>
      </c>
      <c r="Q914" s="1">
        <v>0.12763995868778022</v>
      </c>
      <c r="R914" s="1">
        <v>1.918792214080256E-2</v>
      </c>
    </row>
    <row r="915" spans="1:18" x14ac:dyDescent="0.35">
      <c r="A915" t="s">
        <v>917</v>
      </c>
      <c r="B915" s="2">
        <v>45745</v>
      </c>
      <c r="C915" s="3">
        <f t="shared" si="99"/>
        <v>93</v>
      </c>
      <c r="D915">
        <f t="shared" si="100"/>
        <v>778</v>
      </c>
      <c r="E915">
        <f t="shared" si="101"/>
        <v>26</v>
      </c>
      <c r="F915">
        <f t="shared" si="102"/>
        <v>5</v>
      </c>
      <c r="G915">
        <f t="shared" si="105"/>
        <v>2</v>
      </c>
      <c r="H915">
        <f t="shared" si="103"/>
        <v>2</v>
      </c>
      <c r="I915" s="9" t="str">
        <f t="shared" si="104"/>
        <v>522</v>
      </c>
      <c r="Q915" s="1">
        <v>0.12256856281865669</v>
      </c>
      <c r="R915" s="1">
        <v>0.66951883053681938</v>
      </c>
    </row>
    <row r="916" spans="1:18" x14ac:dyDescent="0.35">
      <c r="A916" t="s">
        <v>918</v>
      </c>
      <c r="B916" s="2">
        <v>45400</v>
      </c>
      <c r="C916" s="3">
        <f t="shared" si="99"/>
        <v>438</v>
      </c>
      <c r="D916">
        <f t="shared" si="100"/>
        <v>1233</v>
      </c>
      <c r="E916">
        <f t="shared" si="101"/>
        <v>41</v>
      </c>
      <c r="F916">
        <f t="shared" si="102"/>
        <v>1</v>
      </c>
      <c r="G916">
        <f t="shared" si="105"/>
        <v>5</v>
      </c>
      <c r="H916">
        <f t="shared" si="103"/>
        <v>5</v>
      </c>
      <c r="I916" s="9" t="str">
        <f t="shared" si="104"/>
        <v>155</v>
      </c>
      <c r="Q916" s="1">
        <v>0.43109985744753709</v>
      </c>
      <c r="R916" s="1">
        <v>0.98238558062457526</v>
      </c>
    </row>
    <row r="917" spans="1:18" x14ac:dyDescent="0.35">
      <c r="A917" t="s">
        <v>919</v>
      </c>
      <c r="B917" s="2">
        <v>45598</v>
      </c>
      <c r="C917" s="3">
        <f t="shared" si="99"/>
        <v>240</v>
      </c>
      <c r="D917">
        <f t="shared" si="100"/>
        <v>1281</v>
      </c>
      <c r="E917">
        <f t="shared" si="101"/>
        <v>43</v>
      </c>
      <c r="F917">
        <f t="shared" si="102"/>
        <v>4</v>
      </c>
      <c r="G917">
        <f t="shared" si="105"/>
        <v>5</v>
      </c>
      <c r="H917">
        <f t="shared" si="103"/>
        <v>5</v>
      </c>
      <c r="I917" s="9" t="str">
        <f t="shared" si="104"/>
        <v>455</v>
      </c>
      <c r="Q917" s="1">
        <v>0.9296590551740378</v>
      </c>
      <c r="R917" s="1">
        <v>0.81634192891019408</v>
      </c>
    </row>
    <row r="918" spans="1:18" x14ac:dyDescent="0.35">
      <c r="A918" t="s">
        <v>920</v>
      </c>
      <c r="B918" s="2">
        <v>45729</v>
      </c>
      <c r="C918" s="3">
        <f t="shared" si="99"/>
        <v>109</v>
      </c>
      <c r="D918">
        <f t="shared" si="100"/>
        <v>994</v>
      </c>
      <c r="E918">
        <f t="shared" si="101"/>
        <v>33</v>
      </c>
      <c r="F918">
        <f t="shared" si="102"/>
        <v>5</v>
      </c>
      <c r="G918">
        <f t="shared" si="105"/>
        <v>4</v>
      </c>
      <c r="H918">
        <f t="shared" si="103"/>
        <v>4</v>
      </c>
      <c r="I918" s="9" t="str">
        <f t="shared" si="104"/>
        <v>544</v>
      </c>
      <c r="Q918" s="1">
        <v>0.46347985139871806</v>
      </c>
      <c r="R918" s="1">
        <v>0.73493447337096973</v>
      </c>
    </row>
    <row r="919" spans="1:18" x14ac:dyDescent="0.35">
      <c r="A919" t="s">
        <v>921</v>
      </c>
      <c r="B919" s="2">
        <v>45646</v>
      </c>
      <c r="C919" s="3">
        <f t="shared" si="99"/>
        <v>192</v>
      </c>
      <c r="D919">
        <f t="shared" si="100"/>
        <v>862</v>
      </c>
      <c r="E919">
        <f t="shared" si="101"/>
        <v>29</v>
      </c>
      <c r="F919">
        <f t="shared" si="102"/>
        <v>4</v>
      </c>
      <c r="G919">
        <f t="shared" si="105"/>
        <v>4</v>
      </c>
      <c r="H919">
        <f t="shared" si="103"/>
        <v>4</v>
      </c>
      <c r="I919" s="9" t="str">
        <f t="shared" si="104"/>
        <v>444</v>
      </c>
      <c r="Q919" s="1">
        <v>0.87726847928767848</v>
      </c>
      <c r="R919" s="1">
        <v>0.42846613800991096</v>
      </c>
    </row>
    <row r="920" spans="1:18" x14ac:dyDescent="0.35">
      <c r="A920" t="s">
        <v>922</v>
      </c>
      <c r="B920" s="2">
        <v>45353</v>
      </c>
      <c r="C920" s="3">
        <f t="shared" si="99"/>
        <v>485</v>
      </c>
      <c r="D920">
        <f t="shared" si="100"/>
        <v>1102</v>
      </c>
      <c r="E920">
        <f t="shared" si="101"/>
        <v>37</v>
      </c>
      <c r="F920">
        <f t="shared" si="102"/>
        <v>1</v>
      </c>
      <c r="G920">
        <f t="shared" si="105"/>
        <v>5</v>
      </c>
      <c r="H920">
        <f t="shared" si="103"/>
        <v>5</v>
      </c>
      <c r="I920" s="9" t="str">
        <f t="shared" si="104"/>
        <v>155</v>
      </c>
      <c r="Q920" s="1">
        <v>0.9545282195967778</v>
      </c>
      <c r="R920" s="1">
        <v>0.62975459137558376</v>
      </c>
    </row>
    <row r="921" spans="1:18" x14ac:dyDescent="0.35">
      <c r="A921" t="s">
        <v>923</v>
      </c>
      <c r="B921" s="2">
        <v>45540</v>
      </c>
      <c r="C921" s="3">
        <f t="shared" si="99"/>
        <v>298</v>
      </c>
      <c r="D921">
        <f t="shared" si="100"/>
        <v>973</v>
      </c>
      <c r="E921">
        <f t="shared" si="101"/>
        <v>32</v>
      </c>
      <c r="F921">
        <f t="shared" si="102"/>
        <v>2</v>
      </c>
      <c r="G921">
        <f t="shared" si="105"/>
        <v>4</v>
      </c>
      <c r="H921">
        <f t="shared" si="103"/>
        <v>4</v>
      </c>
      <c r="I921" s="9" t="str">
        <f t="shared" si="104"/>
        <v>244</v>
      </c>
      <c r="Q921" s="1">
        <v>0.29959454934398266</v>
      </c>
      <c r="R921" s="1">
        <v>0.78483585771674735</v>
      </c>
    </row>
    <row r="922" spans="1:18" x14ac:dyDescent="0.35">
      <c r="A922" t="s">
        <v>924</v>
      </c>
      <c r="B922" s="2">
        <v>45657</v>
      </c>
      <c r="C922" s="3">
        <f t="shared" si="99"/>
        <v>181</v>
      </c>
      <c r="D922">
        <f t="shared" si="100"/>
        <v>434</v>
      </c>
      <c r="E922">
        <f t="shared" si="101"/>
        <v>14</v>
      </c>
      <c r="F922">
        <f t="shared" si="102"/>
        <v>4</v>
      </c>
      <c r="G922">
        <f t="shared" si="105"/>
        <v>1</v>
      </c>
      <c r="H922">
        <f t="shared" si="103"/>
        <v>1</v>
      </c>
      <c r="I922" s="9" t="str">
        <f t="shared" si="104"/>
        <v>411</v>
      </c>
      <c r="Q922" s="1">
        <v>0.73910465357790212</v>
      </c>
      <c r="R922" s="1">
        <v>6.833171389496151E-2</v>
      </c>
    </row>
    <row r="923" spans="1:18" x14ac:dyDescent="0.35">
      <c r="A923" t="s">
        <v>925</v>
      </c>
      <c r="B923" s="2">
        <v>45375</v>
      </c>
      <c r="C923" s="3">
        <f t="shared" si="99"/>
        <v>463</v>
      </c>
      <c r="D923">
        <f t="shared" si="100"/>
        <v>955</v>
      </c>
      <c r="E923">
        <f t="shared" si="101"/>
        <v>32</v>
      </c>
      <c r="F923">
        <f t="shared" si="102"/>
        <v>1</v>
      </c>
      <c r="G923">
        <f t="shared" si="105"/>
        <v>4</v>
      </c>
      <c r="H923">
        <f t="shared" si="103"/>
        <v>4</v>
      </c>
      <c r="I923" s="9" t="str">
        <f t="shared" si="104"/>
        <v>144</v>
      </c>
      <c r="Q923" s="1">
        <v>0.13498975483822284</v>
      </c>
      <c r="R923" s="1">
        <v>0.83787755343246184</v>
      </c>
    </row>
    <row r="924" spans="1:18" x14ac:dyDescent="0.35">
      <c r="A924" t="s">
        <v>926</v>
      </c>
      <c r="B924" s="2">
        <v>45586</v>
      </c>
      <c r="C924" s="3">
        <f t="shared" si="99"/>
        <v>252</v>
      </c>
      <c r="D924">
        <f t="shared" si="100"/>
        <v>1111</v>
      </c>
      <c r="E924">
        <f t="shared" si="101"/>
        <v>37</v>
      </c>
      <c r="F924">
        <f t="shared" si="102"/>
        <v>4</v>
      </c>
      <c r="G924">
        <f t="shared" si="105"/>
        <v>5</v>
      </c>
      <c r="H924">
        <f t="shared" si="103"/>
        <v>5</v>
      </c>
      <c r="I924" s="9" t="str">
        <f t="shared" si="104"/>
        <v>455</v>
      </c>
      <c r="Q924" s="1">
        <v>0.23435027587362867</v>
      </c>
      <c r="R924" s="1">
        <v>0.94735474269339937</v>
      </c>
    </row>
    <row r="925" spans="1:18" x14ac:dyDescent="0.35">
      <c r="A925" t="s">
        <v>927</v>
      </c>
      <c r="B925" s="2">
        <v>45458</v>
      </c>
      <c r="C925" s="3">
        <f t="shared" si="99"/>
        <v>380</v>
      </c>
      <c r="D925">
        <f t="shared" si="100"/>
        <v>1450</v>
      </c>
      <c r="E925">
        <f t="shared" si="101"/>
        <v>48</v>
      </c>
      <c r="F925">
        <f t="shared" si="102"/>
        <v>2</v>
      </c>
      <c r="G925">
        <f t="shared" si="105"/>
        <v>5</v>
      </c>
      <c r="H925">
        <f t="shared" si="103"/>
        <v>5</v>
      </c>
      <c r="I925" s="9" t="str">
        <f t="shared" si="104"/>
        <v>255</v>
      </c>
      <c r="Q925" s="1">
        <v>0.99900490147330656</v>
      </c>
      <c r="R925" s="1">
        <v>0.95195281232934925</v>
      </c>
    </row>
    <row r="926" spans="1:18" x14ac:dyDescent="0.35">
      <c r="A926" t="s">
        <v>928</v>
      </c>
      <c r="B926" s="2">
        <v>45810</v>
      </c>
      <c r="C926" s="3">
        <f t="shared" si="99"/>
        <v>28</v>
      </c>
      <c r="D926">
        <f t="shared" si="100"/>
        <v>774</v>
      </c>
      <c r="E926">
        <f t="shared" si="101"/>
        <v>26</v>
      </c>
      <c r="F926">
        <f t="shared" si="102"/>
        <v>5</v>
      </c>
      <c r="G926">
        <f t="shared" si="105"/>
        <v>2</v>
      </c>
      <c r="H926">
        <f t="shared" si="103"/>
        <v>2</v>
      </c>
      <c r="I926" s="9" t="str">
        <f t="shared" si="104"/>
        <v>522</v>
      </c>
      <c r="Q926" s="1">
        <v>0.36635747279143072</v>
      </c>
      <c r="R926" s="1">
        <v>0.56143967695752994</v>
      </c>
    </row>
    <row r="927" spans="1:18" x14ac:dyDescent="0.35">
      <c r="A927" t="s">
        <v>929</v>
      </c>
      <c r="B927" s="2">
        <v>45728</v>
      </c>
      <c r="C927" s="3">
        <f t="shared" si="99"/>
        <v>110</v>
      </c>
      <c r="D927">
        <f t="shared" si="100"/>
        <v>163</v>
      </c>
      <c r="E927">
        <f t="shared" si="101"/>
        <v>5</v>
      </c>
      <c r="F927">
        <f t="shared" si="102"/>
        <v>5</v>
      </c>
      <c r="G927">
        <f t="shared" si="105"/>
        <v>1</v>
      </c>
      <c r="H927">
        <f t="shared" si="103"/>
        <v>1</v>
      </c>
      <c r="I927" s="9" t="str">
        <f t="shared" si="104"/>
        <v>511</v>
      </c>
      <c r="Q927" s="1">
        <v>0.26445309981755827</v>
      </c>
      <c r="R927" s="1">
        <v>7.3684500567160471E-3</v>
      </c>
    </row>
    <row r="928" spans="1:18" x14ac:dyDescent="0.35">
      <c r="A928" t="s">
        <v>930</v>
      </c>
      <c r="B928" s="2">
        <v>45295</v>
      </c>
      <c r="C928" s="3">
        <f t="shared" si="99"/>
        <v>543</v>
      </c>
      <c r="D928">
        <f t="shared" si="100"/>
        <v>1010</v>
      </c>
      <c r="E928">
        <f t="shared" si="101"/>
        <v>34</v>
      </c>
      <c r="F928">
        <f t="shared" si="102"/>
        <v>1</v>
      </c>
      <c r="G928">
        <f t="shared" si="105"/>
        <v>4</v>
      </c>
      <c r="H928">
        <f t="shared" si="103"/>
        <v>4</v>
      </c>
      <c r="I928" s="9" t="str">
        <f t="shared" si="104"/>
        <v>144</v>
      </c>
      <c r="Q928" s="1">
        <v>0.87988804210414351</v>
      </c>
      <c r="R928" s="1">
        <v>0.57203186930945615</v>
      </c>
    </row>
    <row r="929" spans="1:18" x14ac:dyDescent="0.35">
      <c r="A929" t="s">
        <v>931</v>
      </c>
      <c r="B929" s="2">
        <v>45812</v>
      </c>
      <c r="C929" s="3">
        <f t="shared" si="99"/>
        <v>26</v>
      </c>
      <c r="D929">
        <f t="shared" si="100"/>
        <v>186</v>
      </c>
      <c r="E929">
        <f t="shared" si="101"/>
        <v>6</v>
      </c>
      <c r="F929">
        <f t="shared" si="102"/>
        <v>5</v>
      </c>
      <c r="G929">
        <f t="shared" si="105"/>
        <v>1</v>
      </c>
      <c r="H929">
        <f t="shared" si="103"/>
        <v>1</v>
      </c>
      <c r="I929" s="9" t="str">
        <f t="shared" si="104"/>
        <v>511</v>
      </c>
      <c r="Q929" s="1">
        <v>0.31343493633661512</v>
      </c>
      <c r="R929" s="1">
        <v>8.681347781117954E-3</v>
      </c>
    </row>
    <row r="930" spans="1:18" x14ac:dyDescent="0.35">
      <c r="A930" t="s">
        <v>932</v>
      </c>
      <c r="B930" s="2">
        <v>45809</v>
      </c>
      <c r="C930" s="3">
        <f t="shared" si="99"/>
        <v>29</v>
      </c>
      <c r="D930">
        <f t="shared" si="100"/>
        <v>1039</v>
      </c>
      <c r="E930">
        <f t="shared" si="101"/>
        <v>35</v>
      </c>
      <c r="F930">
        <f t="shared" si="102"/>
        <v>5</v>
      </c>
      <c r="G930">
        <f t="shared" si="105"/>
        <v>4</v>
      </c>
      <c r="H930">
        <f t="shared" si="103"/>
        <v>4</v>
      </c>
      <c r="I930" s="9" t="str">
        <f t="shared" si="104"/>
        <v>544</v>
      </c>
      <c r="Q930" s="1">
        <v>0.38802291486933282</v>
      </c>
      <c r="R930" s="1">
        <v>0.8109968205220186</v>
      </c>
    </row>
    <row r="931" spans="1:18" x14ac:dyDescent="0.35">
      <c r="A931" t="s">
        <v>933</v>
      </c>
      <c r="B931" s="2">
        <v>45344</v>
      </c>
      <c r="C931" s="3">
        <f t="shared" si="99"/>
        <v>494</v>
      </c>
      <c r="D931">
        <f t="shared" si="100"/>
        <v>769</v>
      </c>
      <c r="E931">
        <f t="shared" si="101"/>
        <v>25</v>
      </c>
      <c r="F931">
        <f t="shared" si="102"/>
        <v>1</v>
      </c>
      <c r="G931">
        <f t="shared" si="105"/>
        <v>2</v>
      </c>
      <c r="H931">
        <f t="shared" si="103"/>
        <v>2</v>
      </c>
      <c r="I931" s="9" t="str">
        <f t="shared" si="104"/>
        <v>122</v>
      </c>
      <c r="Q931" s="1">
        <v>0.68394855424373857</v>
      </c>
      <c r="R931" s="1">
        <v>0.42059745427339124</v>
      </c>
    </row>
    <row r="932" spans="1:18" x14ac:dyDescent="0.35">
      <c r="A932" t="s">
        <v>934</v>
      </c>
      <c r="B932" s="2">
        <v>45407</v>
      </c>
      <c r="C932" s="3">
        <f t="shared" si="99"/>
        <v>431</v>
      </c>
      <c r="D932">
        <f t="shared" si="100"/>
        <v>754</v>
      </c>
      <c r="E932">
        <f t="shared" si="101"/>
        <v>25</v>
      </c>
      <c r="F932">
        <f t="shared" si="102"/>
        <v>1</v>
      </c>
      <c r="G932">
        <f t="shared" si="105"/>
        <v>2</v>
      </c>
      <c r="H932">
        <f t="shared" si="103"/>
        <v>2</v>
      </c>
      <c r="I932" s="9" t="str">
        <f t="shared" si="104"/>
        <v>122</v>
      </c>
      <c r="Q932" s="1">
        <v>0.75185463645817197</v>
      </c>
      <c r="R932" s="1">
        <v>0.37642197245192344</v>
      </c>
    </row>
    <row r="933" spans="1:18" x14ac:dyDescent="0.35">
      <c r="A933" t="s">
        <v>935</v>
      </c>
      <c r="B933" s="2">
        <v>45380</v>
      </c>
      <c r="C933" s="3">
        <f t="shared" si="99"/>
        <v>458</v>
      </c>
      <c r="D933">
        <f t="shared" si="100"/>
        <v>1208</v>
      </c>
      <c r="E933">
        <f t="shared" si="101"/>
        <v>40</v>
      </c>
      <c r="F933">
        <f t="shared" si="102"/>
        <v>1</v>
      </c>
      <c r="G933">
        <f t="shared" si="105"/>
        <v>5</v>
      </c>
      <c r="H933">
        <f t="shared" si="103"/>
        <v>5</v>
      </c>
      <c r="I933" s="9" t="str">
        <f t="shared" si="104"/>
        <v>155</v>
      </c>
      <c r="Q933" s="1">
        <v>0.56385933236505825</v>
      </c>
      <c r="R933" s="1">
        <v>0.90121424930042049</v>
      </c>
    </row>
    <row r="934" spans="1:18" x14ac:dyDescent="0.35">
      <c r="A934" t="s">
        <v>936</v>
      </c>
      <c r="B934" s="2">
        <v>45490</v>
      </c>
      <c r="C934" s="3">
        <f t="shared" si="99"/>
        <v>348</v>
      </c>
      <c r="D934">
        <f t="shared" si="100"/>
        <v>1127</v>
      </c>
      <c r="E934">
        <f t="shared" si="101"/>
        <v>37</v>
      </c>
      <c r="F934">
        <f t="shared" si="102"/>
        <v>2</v>
      </c>
      <c r="G934">
        <f t="shared" si="105"/>
        <v>5</v>
      </c>
      <c r="H934">
        <f t="shared" si="103"/>
        <v>5</v>
      </c>
      <c r="I934" s="9" t="str">
        <f t="shared" si="104"/>
        <v>255</v>
      </c>
      <c r="Q934" s="1">
        <v>0.76498096607336175</v>
      </c>
      <c r="R934" s="1">
        <v>0.73583426234372018</v>
      </c>
    </row>
    <row r="935" spans="1:18" x14ac:dyDescent="0.35">
      <c r="A935" t="s">
        <v>937</v>
      </c>
      <c r="B935" s="2">
        <v>45756</v>
      </c>
      <c r="C935" s="3">
        <f t="shared" si="99"/>
        <v>82</v>
      </c>
      <c r="D935">
        <f t="shared" si="100"/>
        <v>862</v>
      </c>
      <c r="E935">
        <f t="shared" si="101"/>
        <v>29</v>
      </c>
      <c r="F935">
        <f t="shared" si="102"/>
        <v>5</v>
      </c>
      <c r="G935">
        <f t="shared" si="105"/>
        <v>4</v>
      </c>
      <c r="H935">
        <f t="shared" si="103"/>
        <v>4</v>
      </c>
      <c r="I935" s="9" t="str">
        <f t="shared" si="104"/>
        <v>544</v>
      </c>
      <c r="Q935" s="1">
        <v>0.88812795281302903</v>
      </c>
      <c r="R935" s="1">
        <v>0.42365362505501192</v>
      </c>
    </row>
    <row r="936" spans="1:18" x14ac:dyDescent="0.35">
      <c r="A936" t="s">
        <v>938</v>
      </c>
      <c r="B936" s="2">
        <v>45611</v>
      </c>
      <c r="C936" s="3">
        <f t="shared" si="99"/>
        <v>227</v>
      </c>
      <c r="D936">
        <f t="shared" si="100"/>
        <v>729</v>
      </c>
      <c r="E936">
        <f t="shared" si="101"/>
        <v>24</v>
      </c>
      <c r="F936">
        <f t="shared" si="102"/>
        <v>4</v>
      </c>
      <c r="G936">
        <f t="shared" si="105"/>
        <v>2</v>
      </c>
      <c r="H936">
        <f t="shared" si="103"/>
        <v>2</v>
      </c>
      <c r="I936" s="9" t="str">
        <f t="shared" si="104"/>
        <v>422</v>
      </c>
      <c r="Q936" s="1">
        <v>0.65117522357063151</v>
      </c>
      <c r="R936" s="1">
        <v>0.394827464534241</v>
      </c>
    </row>
    <row r="937" spans="1:18" x14ac:dyDescent="0.35">
      <c r="A937" t="s">
        <v>939</v>
      </c>
      <c r="B937" s="2">
        <v>45578</v>
      </c>
      <c r="C937" s="3">
        <f t="shared" si="99"/>
        <v>260</v>
      </c>
      <c r="D937">
        <f t="shared" si="100"/>
        <v>500</v>
      </c>
      <c r="E937">
        <f t="shared" si="101"/>
        <v>16</v>
      </c>
      <c r="F937">
        <f t="shared" si="102"/>
        <v>4</v>
      </c>
      <c r="G937">
        <f t="shared" si="105"/>
        <v>1</v>
      </c>
      <c r="H937">
        <f t="shared" si="103"/>
        <v>1</v>
      </c>
      <c r="I937" s="9" t="str">
        <f t="shared" si="104"/>
        <v>411</v>
      </c>
      <c r="Q937" s="1">
        <v>0.5558152257492025</v>
      </c>
      <c r="R937" s="1">
        <v>0.21220369561161856</v>
      </c>
    </row>
    <row r="938" spans="1:18" x14ac:dyDescent="0.35">
      <c r="A938" t="s">
        <v>940</v>
      </c>
      <c r="B938" s="2">
        <v>45795</v>
      </c>
      <c r="C938" s="3">
        <f t="shared" si="99"/>
        <v>43</v>
      </c>
      <c r="D938">
        <f t="shared" si="100"/>
        <v>1103</v>
      </c>
      <c r="E938">
        <f t="shared" si="101"/>
        <v>37</v>
      </c>
      <c r="F938">
        <f t="shared" si="102"/>
        <v>5</v>
      </c>
      <c r="G938">
        <f t="shared" si="105"/>
        <v>5</v>
      </c>
      <c r="H938">
        <f t="shared" si="103"/>
        <v>5</v>
      </c>
      <c r="I938" s="9" t="str">
        <f t="shared" si="104"/>
        <v>555</v>
      </c>
      <c r="Q938" s="1">
        <v>0.11065044272508473</v>
      </c>
      <c r="R938" s="1">
        <v>0.99255171385442043</v>
      </c>
    </row>
    <row r="939" spans="1:18" x14ac:dyDescent="0.35">
      <c r="A939" t="s">
        <v>941</v>
      </c>
      <c r="B939" s="2">
        <v>45686</v>
      </c>
      <c r="C939" s="3">
        <f t="shared" si="99"/>
        <v>152</v>
      </c>
      <c r="D939">
        <f t="shared" si="100"/>
        <v>543</v>
      </c>
      <c r="E939">
        <f t="shared" si="101"/>
        <v>18</v>
      </c>
      <c r="F939">
        <f t="shared" si="102"/>
        <v>4</v>
      </c>
      <c r="G939">
        <f t="shared" si="105"/>
        <v>2</v>
      </c>
      <c r="H939">
        <f t="shared" si="103"/>
        <v>2</v>
      </c>
      <c r="I939" s="9" t="str">
        <f t="shared" si="104"/>
        <v>422</v>
      </c>
      <c r="Q939" s="1">
        <v>0.4009520238939438</v>
      </c>
      <c r="R939" s="1">
        <v>0.31997757451241904</v>
      </c>
    </row>
    <row r="940" spans="1:18" x14ac:dyDescent="0.35">
      <c r="A940" t="s">
        <v>942</v>
      </c>
      <c r="B940" s="2">
        <v>45430</v>
      </c>
      <c r="C940" s="3">
        <f t="shared" si="99"/>
        <v>408</v>
      </c>
      <c r="D940">
        <f t="shared" si="100"/>
        <v>100</v>
      </c>
      <c r="E940">
        <f t="shared" si="101"/>
        <v>3</v>
      </c>
      <c r="F940">
        <f t="shared" si="102"/>
        <v>2</v>
      </c>
      <c r="G940">
        <f t="shared" si="105"/>
        <v>1</v>
      </c>
      <c r="H940">
        <f t="shared" si="103"/>
        <v>1</v>
      </c>
      <c r="I940" s="9" t="str">
        <f t="shared" si="104"/>
        <v>211</v>
      </c>
      <c r="Q940" s="1">
        <v>8.3775225951063681E-2</v>
      </c>
      <c r="R940" s="1">
        <v>2.2477135880536681E-2</v>
      </c>
    </row>
    <row r="941" spans="1:18" x14ac:dyDescent="0.35">
      <c r="A941" t="s">
        <v>943</v>
      </c>
      <c r="B941" s="2">
        <v>45800</v>
      </c>
      <c r="C941" s="3">
        <f t="shared" si="99"/>
        <v>38</v>
      </c>
      <c r="D941">
        <f t="shared" si="100"/>
        <v>861</v>
      </c>
      <c r="E941">
        <f t="shared" si="101"/>
        <v>29</v>
      </c>
      <c r="F941">
        <f t="shared" si="102"/>
        <v>5</v>
      </c>
      <c r="G941">
        <f t="shared" si="105"/>
        <v>4</v>
      </c>
      <c r="H941">
        <f t="shared" si="103"/>
        <v>4</v>
      </c>
      <c r="I941" s="9" t="str">
        <f t="shared" si="104"/>
        <v>544</v>
      </c>
      <c r="Q941" s="1">
        <v>0.54671503940571797</v>
      </c>
      <c r="R941" s="1">
        <v>0.56930737764529971</v>
      </c>
    </row>
    <row r="942" spans="1:18" x14ac:dyDescent="0.35">
      <c r="A942" t="s">
        <v>944</v>
      </c>
      <c r="B942" s="2">
        <v>45782</v>
      </c>
      <c r="C942" s="3">
        <f t="shared" si="99"/>
        <v>56</v>
      </c>
      <c r="D942">
        <f t="shared" si="100"/>
        <v>618</v>
      </c>
      <c r="E942">
        <f t="shared" si="101"/>
        <v>20</v>
      </c>
      <c r="F942">
        <f t="shared" si="102"/>
        <v>5</v>
      </c>
      <c r="G942">
        <f t="shared" si="105"/>
        <v>2</v>
      </c>
      <c r="H942">
        <f t="shared" si="103"/>
        <v>2</v>
      </c>
      <c r="I942" s="9" t="str">
        <f t="shared" si="104"/>
        <v>522</v>
      </c>
      <c r="Q942" s="1">
        <v>0.93192320846637888</v>
      </c>
      <c r="R942" s="1">
        <v>0.16602781638248199</v>
      </c>
    </row>
    <row r="943" spans="1:18" x14ac:dyDescent="0.35">
      <c r="A943" t="s">
        <v>945</v>
      </c>
      <c r="B943" s="2">
        <v>45586</v>
      </c>
      <c r="C943" s="3">
        <f t="shared" si="99"/>
        <v>252</v>
      </c>
      <c r="D943">
        <f t="shared" si="100"/>
        <v>1012</v>
      </c>
      <c r="E943">
        <f t="shared" si="101"/>
        <v>34</v>
      </c>
      <c r="F943">
        <f t="shared" si="102"/>
        <v>4</v>
      </c>
      <c r="G943">
        <f t="shared" si="105"/>
        <v>4</v>
      </c>
      <c r="H943">
        <f t="shared" si="103"/>
        <v>4</v>
      </c>
      <c r="I943" s="9" t="str">
        <f t="shared" si="104"/>
        <v>444</v>
      </c>
      <c r="Q943" s="1">
        <v>0.42954817302036186</v>
      </c>
      <c r="R943" s="1">
        <v>0.7674623046316309</v>
      </c>
    </row>
    <row r="944" spans="1:18" x14ac:dyDescent="0.35">
      <c r="A944" t="s">
        <v>946</v>
      </c>
      <c r="B944" s="2">
        <v>45830</v>
      </c>
      <c r="C944" s="3">
        <f t="shared" si="99"/>
        <v>8</v>
      </c>
      <c r="D944">
        <f t="shared" si="100"/>
        <v>1026</v>
      </c>
      <c r="E944">
        <f t="shared" si="101"/>
        <v>34</v>
      </c>
      <c r="F944">
        <f t="shared" si="102"/>
        <v>5</v>
      </c>
      <c r="G944">
        <f t="shared" si="105"/>
        <v>4</v>
      </c>
      <c r="H944">
        <f t="shared" si="103"/>
        <v>4</v>
      </c>
      <c r="I944" s="9" t="str">
        <f t="shared" si="104"/>
        <v>544</v>
      </c>
      <c r="Q944" s="1">
        <v>0.61531321364312508</v>
      </c>
      <c r="R944" s="1">
        <v>0.70089720493094154</v>
      </c>
    </row>
    <row r="945" spans="1:18" x14ac:dyDescent="0.35">
      <c r="A945" t="s">
        <v>947</v>
      </c>
      <c r="B945" s="2">
        <v>45452</v>
      </c>
      <c r="C945" s="3">
        <f t="shared" si="99"/>
        <v>386</v>
      </c>
      <c r="D945">
        <f t="shared" si="100"/>
        <v>1420</v>
      </c>
      <c r="E945">
        <f t="shared" si="101"/>
        <v>47</v>
      </c>
      <c r="F945">
        <f t="shared" si="102"/>
        <v>2</v>
      </c>
      <c r="G945">
        <f t="shared" si="105"/>
        <v>5</v>
      </c>
      <c r="H945">
        <f t="shared" si="103"/>
        <v>5</v>
      </c>
      <c r="I945" s="9" t="str">
        <f t="shared" si="104"/>
        <v>255</v>
      </c>
      <c r="Q945" s="1">
        <v>0.88597308736143343</v>
      </c>
      <c r="R945" s="1">
        <v>0.97065929283307262</v>
      </c>
    </row>
    <row r="946" spans="1:18" x14ac:dyDescent="0.35">
      <c r="A946" t="s">
        <v>948</v>
      </c>
      <c r="B946" s="2">
        <v>45426</v>
      </c>
      <c r="C946" s="3">
        <f t="shared" si="99"/>
        <v>412</v>
      </c>
      <c r="D946">
        <f t="shared" si="100"/>
        <v>1314</v>
      </c>
      <c r="E946">
        <f t="shared" si="101"/>
        <v>44</v>
      </c>
      <c r="F946">
        <f t="shared" si="102"/>
        <v>1</v>
      </c>
      <c r="G946">
        <f t="shared" si="105"/>
        <v>5</v>
      </c>
      <c r="H946">
        <f t="shared" si="103"/>
        <v>5</v>
      </c>
      <c r="I946" s="9" t="str">
        <f t="shared" si="104"/>
        <v>155</v>
      </c>
      <c r="Q946" s="1">
        <v>0.83464888442243601</v>
      </c>
      <c r="R946" s="1">
        <v>0.88881479314720646</v>
      </c>
    </row>
    <row r="947" spans="1:18" x14ac:dyDescent="0.35">
      <c r="A947" t="s">
        <v>949</v>
      </c>
      <c r="B947" s="2">
        <v>45351</v>
      </c>
      <c r="C947" s="3">
        <f t="shared" si="99"/>
        <v>487</v>
      </c>
      <c r="D947">
        <f t="shared" si="100"/>
        <v>976</v>
      </c>
      <c r="E947">
        <f t="shared" si="101"/>
        <v>32</v>
      </c>
      <c r="F947">
        <f t="shared" si="102"/>
        <v>1</v>
      </c>
      <c r="G947">
        <f t="shared" si="105"/>
        <v>4</v>
      </c>
      <c r="H947">
        <f t="shared" si="103"/>
        <v>4</v>
      </c>
      <c r="I947" s="9" t="str">
        <f t="shared" si="104"/>
        <v>144</v>
      </c>
      <c r="Q947" s="1">
        <v>0.16717726532493704</v>
      </c>
      <c r="R947" s="1">
        <v>0.84454021826471704</v>
      </c>
    </row>
    <row r="948" spans="1:18" x14ac:dyDescent="0.35">
      <c r="A948" t="s">
        <v>950</v>
      </c>
      <c r="B948" s="2">
        <v>45779</v>
      </c>
      <c r="C948" s="3">
        <f t="shared" si="99"/>
        <v>59</v>
      </c>
      <c r="D948">
        <f t="shared" si="100"/>
        <v>828</v>
      </c>
      <c r="E948">
        <f t="shared" si="101"/>
        <v>27</v>
      </c>
      <c r="F948">
        <f t="shared" si="102"/>
        <v>5</v>
      </c>
      <c r="G948">
        <f t="shared" si="105"/>
        <v>4</v>
      </c>
      <c r="H948">
        <f t="shared" si="103"/>
        <v>4</v>
      </c>
      <c r="I948" s="9" t="str">
        <f t="shared" si="104"/>
        <v>544</v>
      </c>
      <c r="Q948" s="1">
        <v>0.28415296519068112</v>
      </c>
      <c r="R948" s="1">
        <v>0.64951493545251437</v>
      </c>
    </row>
    <row r="949" spans="1:18" x14ac:dyDescent="0.35">
      <c r="A949" t="s">
        <v>951</v>
      </c>
      <c r="B949" s="2">
        <v>45725</v>
      </c>
      <c r="C949" s="3">
        <f t="shared" si="99"/>
        <v>113</v>
      </c>
      <c r="D949">
        <f t="shared" si="100"/>
        <v>881</v>
      </c>
      <c r="E949">
        <f t="shared" si="101"/>
        <v>29</v>
      </c>
      <c r="F949">
        <f t="shared" si="102"/>
        <v>5</v>
      </c>
      <c r="G949">
        <f t="shared" si="105"/>
        <v>4</v>
      </c>
      <c r="H949">
        <f t="shared" si="103"/>
        <v>4</v>
      </c>
      <c r="I949" s="9" t="str">
        <f t="shared" si="104"/>
        <v>544</v>
      </c>
      <c r="Q949" s="1">
        <v>0.39432089628525047</v>
      </c>
      <c r="R949" s="1">
        <v>0.65378748182274937</v>
      </c>
    </row>
    <row r="950" spans="1:18" x14ac:dyDescent="0.35">
      <c r="A950" t="s">
        <v>952</v>
      </c>
      <c r="B950" s="2">
        <v>45345</v>
      </c>
      <c r="C950" s="3">
        <f t="shared" si="99"/>
        <v>493</v>
      </c>
      <c r="D950">
        <f t="shared" si="100"/>
        <v>421</v>
      </c>
      <c r="E950">
        <f t="shared" si="101"/>
        <v>14</v>
      </c>
      <c r="F950">
        <f t="shared" si="102"/>
        <v>1</v>
      </c>
      <c r="G950">
        <f t="shared" si="105"/>
        <v>1</v>
      </c>
      <c r="H950">
        <f t="shared" si="103"/>
        <v>1</v>
      </c>
      <c r="I950" s="9" t="str">
        <f t="shared" si="104"/>
        <v>111</v>
      </c>
      <c r="Q950" s="1">
        <v>9.5874387485495038E-4</v>
      </c>
      <c r="R950" s="1">
        <v>0.37225987732599786</v>
      </c>
    </row>
    <row r="951" spans="1:18" x14ac:dyDescent="0.35">
      <c r="A951" t="s">
        <v>953</v>
      </c>
      <c r="B951" s="2">
        <v>45337</v>
      </c>
      <c r="C951" s="3">
        <f t="shared" si="99"/>
        <v>501</v>
      </c>
      <c r="D951">
        <f t="shared" si="100"/>
        <v>510</v>
      </c>
      <c r="E951">
        <f t="shared" si="101"/>
        <v>17</v>
      </c>
      <c r="F951">
        <f t="shared" si="102"/>
        <v>1</v>
      </c>
      <c r="G951">
        <f t="shared" si="105"/>
        <v>2</v>
      </c>
      <c r="H951">
        <f t="shared" si="103"/>
        <v>2</v>
      </c>
      <c r="I951" s="9" t="str">
        <f t="shared" si="104"/>
        <v>122</v>
      </c>
      <c r="Q951" s="1">
        <v>0.22256869604269969</v>
      </c>
      <c r="R951" s="1">
        <v>0.36440994221152601</v>
      </c>
    </row>
    <row r="952" spans="1:18" x14ac:dyDescent="0.35">
      <c r="A952" t="s">
        <v>954</v>
      </c>
      <c r="B952" s="2">
        <v>45577</v>
      </c>
      <c r="C952" s="3">
        <f t="shared" si="99"/>
        <v>261</v>
      </c>
      <c r="D952">
        <f t="shared" si="100"/>
        <v>777</v>
      </c>
      <c r="E952">
        <f t="shared" si="101"/>
        <v>26</v>
      </c>
      <c r="F952">
        <f t="shared" si="102"/>
        <v>4</v>
      </c>
      <c r="G952">
        <f t="shared" si="105"/>
        <v>2</v>
      </c>
      <c r="H952">
        <f t="shared" si="103"/>
        <v>2</v>
      </c>
      <c r="I952" s="9" t="str">
        <f t="shared" si="104"/>
        <v>422</v>
      </c>
      <c r="Q952" s="1">
        <v>0.85696660676818581</v>
      </c>
      <c r="R952" s="1">
        <v>0.35351950218935702</v>
      </c>
    </row>
    <row r="953" spans="1:18" x14ac:dyDescent="0.35">
      <c r="A953" t="s">
        <v>955</v>
      </c>
      <c r="B953" s="2">
        <v>45308</v>
      </c>
      <c r="C953" s="3">
        <f t="shared" si="99"/>
        <v>530</v>
      </c>
      <c r="D953">
        <f t="shared" si="100"/>
        <v>989</v>
      </c>
      <c r="E953">
        <f t="shared" si="101"/>
        <v>33</v>
      </c>
      <c r="F953">
        <f t="shared" si="102"/>
        <v>1</v>
      </c>
      <c r="G953">
        <f t="shared" si="105"/>
        <v>4</v>
      </c>
      <c r="H953">
        <f t="shared" si="103"/>
        <v>4</v>
      </c>
      <c r="I953" s="9" t="str">
        <f t="shared" si="104"/>
        <v>144</v>
      </c>
      <c r="Q953" s="1">
        <v>0.94025983508888267</v>
      </c>
      <c r="R953" s="1">
        <v>0.52534737528175524</v>
      </c>
    </row>
    <row r="954" spans="1:18" x14ac:dyDescent="0.35">
      <c r="A954" t="s">
        <v>956</v>
      </c>
      <c r="B954" s="2">
        <v>45409</v>
      </c>
      <c r="C954" s="3">
        <f t="shared" si="99"/>
        <v>429</v>
      </c>
      <c r="D954">
        <f t="shared" si="100"/>
        <v>1013</v>
      </c>
      <c r="E954">
        <f t="shared" si="101"/>
        <v>34</v>
      </c>
      <c r="F954">
        <f t="shared" si="102"/>
        <v>1</v>
      </c>
      <c r="G954">
        <f t="shared" si="105"/>
        <v>4</v>
      </c>
      <c r="H954">
        <f t="shared" si="103"/>
        <v>4</v>
      </c>
      <c r="I954" s="9" t="str">
        <f t="shared" si="104"/>
        <v>144</v>
      </c>
      <c r="Q954" s="1">
        <v>0.61416297220704752</v>
      </c>
      <c r="R954" s="1">
        <v>0.68835572874345241</v>
      </c>
    </row>
    <row r="955" spans="1:18" x14ac:dyDescent="0.35">
      <c r="A955" t="s">
        <v>957</v>
      </c>
      <c r="B955" s="2">
        <v>45697</v>
      </c>
      <c r="C955" s="3">
        <f t="shared" si="99"/>
        <v>141</v>
      </c>
      <c r="D955">
        <f t="shared" si="100"/>
        <v>542</v>
      </c>
      <c r="E955">
        <f t="shared" si="101"/>
        <v>18</v>
      </c>
      <c r="F955">
        <f t="shared" si="102"/>
        <v>4</v>
      </c>
      <c r="G955">
        <f t="shared" si="105"/>
        <v>2</v>
      </c>
      <c r="H955">
        <f t="shared" si="103"/>
        <v>2</v>
      </c>
      <c r="I955" s="9" t="str">
        <f t="shared" si="104"/>
        <v>422</v>
      </c>
      <c r="Q955" s="1">
        <v>0.29780428753388011</v>
      </c>
      <c r="R955" s="1">
        <v>0.36381920432832093</v>
      </c>
    </row>
    <row r="956" spans="1:18" x14ac:dyDescent="0.35">
      <c r="A956" t="s">
        <v>958</v>
      </c>
      <c r="B956" s="2">
        <v>45304</v>
      </c>
      <c r="C956" s="3">
        <f t="shared" si="99"/>
        <v>534</v>
      </c>
      <c r="D956">
        <f t="shared" si="100"/>
        <v>497</v>
      </c>
      <c r="E956">
        <f t="shared" si="101"/>
        <v>16</v>
      </c>
      <c r="F956">
        <f t="shared" si="102"/>
        <v>1</v>
      </c>
      <c r="G956">
        <f t="shared" si="105"/>
        <v>1</v>
      </c>
      <c r="H956">
        <f t="shared" si="103"/>
        <v>1</v>
      </c>
      <c r="I956" s="9" t="str">
        <f t="shared" si="104"/>
        <v>111</v>
      </c>
      <c r="Q956" s="1">
        <v>0.14197993667838515</v>
      </c>
      <c r="R956" s="1">
        <v>0.38631925270300294</v>
      </c>
    </row>
    <row r="957" spans="1:18" x14ac:dyDescent="0.35">
      <c r="A957" t="s">
        <v>959</v>
      </c>
      <c r="B957" s="2">
        <v>45539</v>
      </c>
      <c r="C957" s="3">
        <f t="shared" si="99"/>
        <v>299</v>
      </c>
      <c r="D957">
        <f t="shared" si="100"/>
        <v>925</v>
      </c>
      <c r="E957">
        <f t="shared" si="101"/>
        <v>31</v>
      </c>
      <c r="F957">
        <f t="shared" si="102"/>
        <v>2</v>
      </c>
      <c r="G957">
        <f t="shared" si="105"/>
        <v>4</v>
      </c>
      <c r="H957">
        <f t="shared" si="103"/>
        <v>4</v>
      </c>
      <c r="I957" s="9" t="str">
        <f t="shared" si="104"/>
        <v>244</v>
      </c>
      <c r="Q957" s="1">
        <v>0.14276386655555573</v>
      </c>
      <c r="R957" s="1">
        <v>0.80437273472301929</v>
      </c>
    </row>
    <row r="958" spans="1:18" x14ac:dyDescent="0.35">
      <c r="A958" t="s">
        <v>960</v>
      </c>
      <c r="B958" s="2">
        <v>45614</v>
      </c>
      <c r="C958" s="3">
        <f t="shared" si="99"/>
        <v>224</v>
      </c>
      <c r="D958">
        <f t="shared" si="100"/>
        <v>822</v>
      </c>
      <c r="E958">
        <f t="shared" si="101"/>
        <v>27</v>
      </c>
      <c r="F958">
        <f t="shared" si="102"/>
        <v>4</v>
      </c>
      <c r="G958">
        <f t="shared" si="105"/>
        <v>4</v>
      </c>
      <c r="H958">
        <f t="shared" si="103"/>
        <v>4</v>
      </c>
      <c r="I958" s="9" t="str">
        <f t="shared" si="104"/>
        <v>444</v>
      </c>
      <c r="Q958" s="1">
        <v>0.74257005344508442</v>
      </c>
      <c r="R958" s="1">
        <v>0.44674835280160241</v>
      </c>
    </row>
    <row r="959" spans="1:18" x14ac:dyDescent="0.35">
      <c r="A959" t="s">
        <v>961</v>
      </c>
      <c r="B959" s="2">
        <v>45728</v>
      </c>
      <c r="C959" s="3">
        <f t="shared" si="99"/>
        <v>110</v>
      </c>
      <c r="D959">
        <f t="shared" si="100"/>
        <v>1298</v>
      </c>
      <c r="E959">
        <f t="shared" si="101"/>
        <v>43</v>
      </c>
      <c r="F959">
        <f t="shared" si="102"/>
        <v>5</v>
      </c>
      <c r="G959">
        <f t="shared" si="105"/>
        <v>5</v>
      </c>
      <c r="H959">
        <f t="shared" si="103"/>
        <v>5</v>
      </c>
      <c r="I959" s="9" t="str">
        <f t="shared" si="104"/>
        <v>555</v>
      </c>
      <c r="Q959" s="1">
        <v>0.94733702302625378</v>
      </c>
      <c r="R959" s="1">
        <v>0.82500878070310857</v>
      </c>
    </row>
    <row r="960" spans="1:18" x14ac:dyDescent="0.35">
      <c r="A960" t="s">
        <v>962</v>
      </c>
      <c r="B960" s="2">
        <v>45298</v>
      </c>
      <c r="C960" s="3">
        <f t="shared" si="99"/>
        <v>540</v>
      </c>
      <c r="D960">
        <f t="shared" si="100"/>
        <v>621</v>
      </c>
      <c r="E960">
        <f t="shared" si="101"/>
        <v>20</v>
      </c>
      <c r="F960">
        <f t="shared" si="102"/>
        <v>1</v>
      </c>
      <c r="G960">
        <f t="shared" si="105"/>
        <v>2</v>
      </c>
      <c r="H960">
        <f t="shared" si="103"/>
        <v>2</v>
      </c>
      <c r="I960" s="9" t="str">
        <f t="shared" si="104"/>
        <v>122</v>
      </c>
      <c r="Q960" s="1">
        <v>0.57406154649185703</v>
      </c>
      <c r="R960" s="1">
        <v>0.32236483245037717</v>
      </c>
    </row>
    <row r="961" spans="1:18" x14ac:dyDescent="0.35">
      <c r="A961" t="s">
        <v>963</v>
      </c>
      <c r="B961" s="2">
        <v>45380</v>
      </c>
      <c r="C961" s="3">
        <f t="shared" si="99"/>
        <v>458</v>
      </c>
      <c r="D961">
        <f t="shared" si="100"/>
        <v>862</v>
      </c>
      <c r="E961">
        <f t="shared" si="101"/>
        <v>29</v>
      </c>
      <c r="F961">
        <f t="shared" si="102"/>
        <v>1</v>
      </c>
      <c r="G961">
        <f t="shared" si="105"/>
        <v>4</v>
      </c>
      <c r="H961">
        <f t="shared" si="103"/>
        <v>4</v>
      </c>
      <c r="I961" s="9" t="str">
        <f t="shared" si="104"/>
        <v>144</v>
      </c>
      <c r="Q961" s="1">
        <v>0.20829358413219745</v>
      </c>
      <c r="R961" s="1">
        <v>0.71490392392258595</v>
      </c>
    </row>
    <row r="962" spans="1:18" x14ac:dyDescent="0.35">
      <c r="A962" t="s">
        <v>964</v>
      </c>
      <c r="B962" s="2">
        <v>45388</v>
      </c>
      <c r="C962" s="3">
        <f t="shared" si="99"/>
        <v>450</v>
      </c>
      <c r="D962">
        <f t="shared" si="100"/>
        <v>966</v>
      </c>
      <c r="E962">
        <f t="shared" si="101"/>
        <v>32</v>
      </c>
      <c r="F962">
        <f t="shared" si="102"/>
        <v>1</v>
      </c>
      <c r="G962">
        <f t="shared" si="105"/>
        <v>4</v>
      </c>
      <c r="H962">
        <f t="shared" si="103"/>
        <v>4</v>
      </c>
      <c r="I962" s="9" t="str">
        <f t="shared" si="104"/>
        <v>144</v>
      </c>
      <c r="Q962" s="1">
        <v>0.27475311599902563</v>
      </c>
      <c r="R962" s="1">
        <v>0.78806124103625586</v>
      </c>
    </row>
    <row r="963" spans="1:18" x14ac:dyDescent="0.35">
      <c r="A963" t="s">
        <v>965</v>
      </c>
      <c r="B963" s="2">
        <v>45302</v>
      </c>
      <c r="C963" s="3">
        <f t="shared" ref="C963:C1001" si="106">$S$6-B963</f>
        <v>536</v>
      </c>
      <c r="D963">
        <f t="shared" ref="D963:D1001" si="107">ROUND((R963*0.7+Q963*0.3)*(1500-40)+40,0)</f>
        <v>1299</v>
      </c>
      <c r="E963">
        <f t="shared" ref="E963:E1001" si="108">ROUND((R963*0.7+Q963*0.3)*(50-1)+1,0)</f>
        <v>43</v>
      </c>
      <c r="F963">
        <f t="shared" ref="F963:F1001" si="109">IF(C963&lt;=$M$4,5,IF(C963&lt;=$M$9,4,IF(C963&lt;=$M$5,3,IF(C963&lt;=$M$6,2,1))))</f>
        <v>1</v>
      </c>
      <c r="G963">
        <f t="shared" si="105"/>
        <v>5</v>
      </c>
      <c r="H963">
        <f t="shared" ref="H963:H1001" si="110">IF(D963&lt;=$M$24,1,IF(D963&lt;=$M$25,2,IF(D963&lt;=$M$29,3,IF(D963&lt;=$M$26,4,5))))</f>
        <v>5</v>
      </c>
      <c r="I963" s="9" t="str">
        <f t="shared" ref="I963:I1001" si="111">CONCATENATE(F963,G963,H963)</f>
        <v>155</v>
      </c>
      <c r="Q963" s="1">
        <v>0.98344182200599073</v>
      </c>
      <c r="R963" s="1">
        <v>0.81069374503688307</v>
      </c>
    </row>
    <row r="964" spans="1:18" x14ac:dyDescent="0.35">
      <c r="A964" t="s">
        <v>966</v>
      </c>
      <c r="B964" s="2">
        <v>45467</v>
      </c>
      <c r="C964" s="3">
        <f t="shared" si="106"/>
        <v>371</v>
      </c>
      <c r="D964">
        <f t="shared" si="107"/>
        <v>585</v>
      </c>
      <c r="E964">
        <f t="shared" si="108"/>
        <v>19</v>
      </c>
      <c r="F964">
        <f t="shared" si="109"/>
        <v>2</v>
      </c>
      <c r="G964">
        <f t="shared" ref="G964:G1001" si="112">IF(E964&lt;=$M$14,1,IF(E964&lt;=$M$15,2,IF(E964&lt;=$M$19,3,IF(E964&lt;=$M$16,4,5))))</f>
        <v>2</v>
      </c>
      <c r="H964">
        <f t="shared" si="110"/>
        <v>2</v>
      </c>
      <c r="I964" s="9" t="str">
        <f t="shared" si="111"/>
        <v>222</v>
      </c>
      <c r="Q964" s="1">
        <v>5.1461278239271824E-2</v>
      </c>
      <c r="R964" s="1">
        <v>0.51148115449450526</v>
      </c>
    </row>
    <row r="965" spans="1:18" x14ac:dyDescent="0.35">
      <c r="A965" t="s">
        <v>967</v>
      </c>
      <c r="B965" s="2">
        <v>45663</v>
      </c>
      <c r="C965" s="3">
        <f t="shared" si="106"/>
        <v>175</v>
      </c>
      <c r="D965">
        <f t="shared" si="107"/>
        <v>1171</v>
      </c>
      <c r="E965">
        <f t="shared" si="108"/>
        <v>39</v>
      </c>
      <c r="F965">
        <f t="shared" si="109"/>
        <v>4</v>
      </c>
      <c r="G965">
        <f t="shared" si="112"/>
        <v>5</v>
      </c>
      <c r="H965">
        <f t="shared" si="110"/>
        <v>5</v>
      </c>
      <c r="I965" s="9" t="str">
        <f t="shared" si="111"/>
        <v>455</v>
      </c>
      <c r="Q965" s="1">
        <v>0.59959914921590407</v>
      </c>
      <c r="R965" s="1">
        <v>0.85014196467815295</v>
      </c>
    </row>
    <row r="966" spans="1:18" x14ac:dyDescent="0.35">
      <c r="A966" t="s">
        <v>968</v>
      </c>
      <c r="B966" s="2">
        <v>45812</v>
      </c>
      <c r="C966" s="3">
        <f t="shared" si="106"/>
        <v>26</v>
      </c>
      <c r="D966">
        <f t="shared" si="107"/>
        <v>1306</v>
      </c>
      <c r="E966">
        <f t="shared" si="108"/>
        <v>43</v>
      </c>
      <c r="F966">
        <f t="shared" si="109"/>
        <v>5</v>
      </c>
      <c r="G966">
        <f t="shared" si="112"/>
        <v>5</v>
      </c>
      <c r="H966">
        <f t="shared" si="110"/>
        <v>5</v>
      </c>
      <c r="I966" s="9" t="str">
        <f t="shared" si="111"/>
        <v>555</v>
      </c>
      <c r="Q966" s="1">
        <v>0.98115753693615615</v>
      </c>
      <c r="R966" s="1">
        <v>0.81845890843090263</v>
      </c>
    </row>
    <row r="967" spans="1:18" x14ac:dyDescent="0.35">
      <c r="A967" t="s">
        <v>969</v>
      </c>
      <c r="B967" s="2">
        <v>45805</v>
      </c>
      <c r="C967" s="3">
        <f t="shared" si="106"/>
        <v>33</v>
      </c>
      <c r="D967">
        <f t="shared" si="107"/>
        <v>1185</v>
      </c>
      <c r="E967">
        <f t="shared" si="108"/>
        <v>39</v>
      </c>
      <c r="F967">
        <f t="shared" si="109"/>
        <v>5</v>
      </c>
      <c r="G967">
        <f t="shared" si="112"/>
        <v>5</v>
      </c>
      <c r="H967">
        <f t="shared" si="110"/>
        <v>5</v>
      </c>
      <c r="I967" s="9" t="str">
        <f t="shared" si="111"/>
        <v>555</v>
      </c>
      <c r="Q967" s="1">
        <v>0.48824085641582038</v>
      </c>
      <c r="R967" s="1">
        <v>0.91105348480196013</v>
      </c>
    </row>
    <row r="968" spans="1:18" x14ac:dyDescent="0.35">
      <c r="A968" t="s">
        <v>970</v>
      </c>
      <c r="B968" s="2">
        <v>45355</v>
      </c>
      <c r="C968" s="3">
        <f t="shared" si="106"/>
        <v>483</v>
      </c>
      <c r="D968">
        <f t="shared" si="107"/>
        <v>1065</v>
      </c>
      <c r="E968">
        <f t="shared" si="108"/>
        <v>35</v>
      </c>
      <c r="F968">
        <f t="shared" si="109"/>
        <v>1</v>
      </c>
      <c r="G968">
        <f t="shared" si="112"/>
        <v>4</v>
      </c>
      <c r="H968">
        <f t="shared" si="110"/>
        <v>5</v>
      </c>
      <c r="I968" s="9" t="str">
        <f t="shared" si="111"/>
        <v>145</v>
      </c>
      <c r="Q968" s="1">
        <v>0.64575711480929898</v>
      </c>
      <c r="R968" s="1">
        <v>0.72573394233621324</v>
      </c>
    </row>
    <row r="969" spans="1:18" x14ac:dyDescent="0.35">
      <c r="A969" t="s">
        <v>971</v>
      </c>
      <c r="B969" s="2">
        <v>45678</v>
      </c>
      <c r="C969" s="3">
        <f t="shared" si="106"/>
        <v>160</v>
      </c>
      <c r="D969">
        <f t="shared" si="107"/>
        <v>807</v>
      </c>
      <c r="E969">
        <f t="shared" si="108"/>
        <v>27</v>
      </c>
      <c r="F969">
        <f t="shared" si="109"/>
        <v>4</v>
      </c>
      <c r="G969">
        <f t="shared" si="112"/>
        <v>4</v>
      </c>
      <c r="H969">
        <f t="shared" si="110"/>
        <v>4</v>
      </c>
      <c r="I969" s="9" t="str">
        <f t="shared" si="111"/>
        <v>444</v>
      </c>
      <c r="Q969" s="1">
        <v>0.49653516937328512</v>
      </c>
      <c r="R969" s="1">
        <v>0.5381672680680637</v>
      </c>
    </row>
    <row r="970" spans="1:18" x14ac:dyDescent="0.35">
      <c r="A970" t="s">
        <v>972</v>
      </c>
      <c r="B970" s="2">
        <v>45525</v>
      </c>
      <c r="C970" s="3">
        <f t="shared" si="106"/>
        <v>313</v>
      </c>
      <c r="D970">
        <f t="shared" si="107"/>
        <v>244</v>
      </c>
      <c r="E970">
        <f t="shared" si="108"/>
        <v>8</v>
      </c>
      <c r="F970">
        <f t="shared" si="109"/>
        <v>2</v>
      </c>
      <c r="G970">
        <f t="shared" si="112"/>
        <v>1</v>
      </c>
      <c r="H970">
        <f t="shared" si="110"/>
        <v>1</v>
      </c>
      <c r="I970" s="9" t="str">
        <f t="shared" si="111"/>
        <v>211</v>
      </c>
      <c r="Q970" s="1">
        <v>4.7186876286865242E-2</v>
      </c>
      <c r="R970" s="1">
        <v>0.17905088004409098</v>
      </c>
    </row>
    <row r="971" spans="1:18" x14ac:dyDescent="0.35">
      <c r="A971" t="s">
        <v>973</v>
      </c>
      <c r="B971" s="2">
        <v>45468</v>
      </c>
      <c r="C971" s="3">
        <f t="shared" si="106"/>
        <v>370</v>
      </c>
      <c r="D971">
        <f t="shared" si="107"/>
        <v>273</v>
      </c>
      <c r="E971">
        <f t="shared" si="108"/>
        <v>9</v>
      </c>
      <c r="F971">
        <f t="shared" si="109"/>
        <v>2</v>
      </c>
      <c r="G971">
        <f t="shared" si="112"/>
        <v>1</v>
      </c>
      <c r="H971">
        <f t="shared" si="110"/>
        <v>1</v>
      </c>
      <c r="I971" s="9" t="str">
        <f t="shared" si="111"/>
        <v>211</v>
      </c>
      <c r="Q971" s="1">
        <v>2.3054809266873755E-2</v>
      </c>
      <c r="R971" s="1">
        <v>0.21829764647612837</v>
      </c>
    </row>
    <row r="972" spans="1:18" x14ac:dyDescent="0.35">
      <c r="A972" t="s">
        <v>974</v>
      </c>
      <c r="B972" s="2">
        <v>45600</v>
      </c>
      <c r="C972" s="3">
        <f t="shared" si="106"/>
        <v>238</v>
      </c>
      <c r="D972">
        <f t="shared" si="107"/>
        <v>1189</v>
      </c>
      <c r="E972">
        <f t="shared" si="108"/>
        <v>40</v>
      </c>
      <c r="F972">
        <f t="shared" si="109"/>
        <v>4</v>
      </c>
      <c r="G972">
        <f t="shared" si="112"/>
        <v>5</v>
      </c>
      <c r="H972">
        <f t="shared" si="110"/>
        <v>5</v>
      </c>
      <c r="I972" s="9" t="str">
        <f t="shared" si="111"/>
        <v>455</v>
      </c>
      <c r="Q972" s="1">
        <v>0.95469900623591475</v>
      </c>
      <c r="R972" s="1">
        <v>0.71484197346974976</v>
      </c>
    </row>
    <row r="973" spans="1:18" x14ac:dyDescent="0.35">
      <c r="A973" t="s">
        <v>975</v>
      </c>
      <c r="B973" s="2">
        <v>45818</v>
      </c>
      <c r="C973" s="3">
        <f t="shared" si="106"/>
        <v>20</v>
      </c>
      <c r="D973">
        <f t="shared" si="107"/>
        <v>549</v>
      </c>
      <c r="E973">
        <f t="shared" si="108"/>
        <v>18</v>
      </c>
      <c r="F973">
        <f t="shared" si="109"/>
        <v>5</v>
      </c>
      <c r="G973">
        <f t="shared" si="112"/>
        <v>2</v>
      </c>
      <c r="H973">
        <f t="shared" si="110"/>
        <v>2</v>
      </c>
      <c r="I973" s="9" t="str">
        <f t="shared" si="111"/>
        <v>522</v>
      </c>
      <c r="Q973" s="1">
        <v>0.84806738651818669</v>
      </c>
      <c r="R973" s="1">
        <v>0.13471885906813552</v>
      </c>
    </row>
    <row r="974" spans="1:18" x14ac:dyDescent="0.35">
      <c r="A974" t="s">
        <v>976</v>
      </c>
      <c r="B974" s="2">
        <v>45398</v>
      </c>
      <c r="C974" s="3">
        <f t="shared" si="106"/>
        <v>440</v>
      </c>
      <c r="D974">
        <f t="shared" si="107"/>
        <v>962</v>
      </c>
      <c r="E974">
        <f t="shared" si="108"/>
        <v>32</v>
      </c>
      <c r="F974">
        <f t="shared" si="109"/>
        <v>1</v>
      </c>
      <c r="G974">
        <f t="shared" si="112"/>
        <v>4</v>
      </c>
      <c r="H974">
        <f t="shared" si="110"/>
        <v>4</v>
      </c>
      <c r="I974" s="9" t="str">
        <f t="shared" si="111"/>
        <v>144</v>
      </c>
      <c r="Q974" s="1">
        <v>0.91729760388747117</v>
      </c>
      <c r="R974" s="1">
        <v>0.50906434245106069</v>
      </c>
    </row>
    <row r="975" spans="1:18" x14ac:dyDescent="0.35">
      <c r="A975" t="s">
        <v>977</v>
      </c>
      <c r="B975" s="2">
        <v>45376</v>
      </c>
      <c r="C975" s="3">
        <f t="shared" si="106"/>
        <v>462</v>
      </c>
      <c r="D975">
        <f t="shared" si="107"/>
        <v>732</v>
      </c>
      <c r="E975">
        <f t="shared" si="108"/>
        <v>24</v>
      </c>
      <c r="F975">
        <f t="shared" si="109"/>
        <v>1</v>
      </c>
      <c r="G975">
        <f t="shared" si="112"/>
        <v>2</v>
      </c>
      <c r="H975">
        <f t="shared" si="110"/>
        <v>2</v>
      </c>
      <c r="I975" s="9" t="str">
        <f t="shared" si="111"/>
        <v>122</v>
      </c>
      <c r="Q975" s="1">
        <v>0.41381801776374183</v>
      </c>
      <c r="R975" s="1">
        <v>0.50003026295325192</v>
      </c>
    </row>
    <row r="976" spans="1:18" x14ac:dyDescent="0.35">
      <c r="A976" t="s">
        <v>978</v>
      </c>
      <c r="B976" s="2">
        <v>45334</v>
      </c>
      <c r="C976" s="3">
        <f t="shared" si="106"/>
        <v>504</v>
      </c>
      <c r="D976">
        <f t="shared" si="107"/>
        <v>566</v>
      </c>
      <c r="E976">
        <f t="shared" si="108"/>
        <v>19</v>
      </c>
      <c r="F976">
        <f t="shared" si="109"/>
        <v>1</v>
      </c>
      <c r="G976">
        <f t="shared" si="112"/>
        <v>2</v>
      </c>
      <c r="H976">
        <f t="shared" si="110"/>
        <v>2</v>
      </c>
      <c r="I976" s="9" t="str">
        <f t="shared" si="111"/>
        <v>122</v>
      </c>
      <c r="Q976" s="1">
        <v>0.46759026744445642</v>
      </c>
      <c r="R976" s="1">
        <v>0.31450715948492669</v>
      </c>
    </row>
    <row r="977" spans="1:18" x14ac:dyDescent="0.35">
      <c r="A977" t="s">
        <v>979</v>
      </c>
      <c r="B977" s="2">
        <v>45829</v>
      </c>
      <c r="C977" s="3">
        <f t="shared" si="106"/>
        <v>9</v>
      </c>
      <c r="D977">
        <f t="shared" si="107"/>
        <v>180</v>
      </c>
      <c r="E977">
        <f t="shared" si="108"/>
        <v>6</v>
      </c>
      <c r="F977">
        <f t="shared" si="109"/>
        <v>5</v>
      </c>
      <c r="G977">
        <f t="shared" si="112"/>
        <v>1</v>
      </c>
      <c r="H977">
        <f t="shared" si="110"/>
        <v>1</v>
      </c>
      <c r="I977" s="9" t="str">
        <f t="shared" si="111"/>
        <v>511</v>
      </c>
      <c r="Q977" s="1">
        <v>0.19785066855613109</v>
      </c>
      <c r="R977" s="1">
        <v>5.1923639878101446E-2</v>
      </c>
    </row>
    <row r="978" spans="1:18" x14ac:dyDescent="0.35">
      <c r="A978" t="s">
        <v>980</v>
      </c>
      <c r="B978" s="2">
        <v>45421</v>
      </c>
      <c r="C978" s="3">
        <f t="shared" si="106"/>
        <v>417</v>
      </c>
      <c r="D978">
        <f t="shared" si="107"/>
        <v>112</v>
      </c>
      <c r="E978">
        <f t="shared" si="108"/>
        <v>3</v>
      </c>
      <c r="F978">
        <f t="shared" si="109"/>
        <v>1</v>
      </c>
      <c r="G978">
        <f t="shared" si="112"/>
        <v>1</v>
      </c>
      <c r="H978">
        <f t="shared" si="110"/>
        <v>1</v>
      </c>
      <c r="I978" s="9" t="str">
        <f t="shared" si="111"/>
        <v>111</v>
      </c>
      <c r="Q978" s="1">
        <v>0.16128968312295011</v>
      </c>
      <c r="R978" s="1">
        <v>1.1577707314209817E-3</v>
      </c>
    </row>
    <row r="979" spans="1:18" x14ac:dyDescent="0.35">
      <c r="A979" t="s">
        <v>981</v>
      </c>
      <c r="B979" s="2">
        <v>45686</v>
      </c>
      <c r="C979" s="3">
        <f t="shared" si="106"/>
        <v>152</v>
      </c>
      <c r="D979">
        <f t="shared" si="107"/>
        <v>1091</v>
      </c>
      <c r="E979">
        <f t="shared" si="108"/>
        <v>36</v>
      </c>
      <c r="F979">
        <f t="shared" si="109"/>
        <v>4</v>
      </c>
      <c r="G979">
        <f t="shared" si="112"/>
        <v>5</v>
      </c>
      <c r="H979">
        <f t="shared" si="110"/>
        <v>5</v>
      </c>
      <c r="I979" s="9" t="str">
        <f t="shared" si="111"/>
        <v>455</v>
      </c>
      <c r="Q979" s="1">
        <v>0.19122358790602234</v>
      </c>
      <c r="R979" s="1">
        <v>0.94633603649442344</v>
      </c>
    </row>
    <row r="980" spans="1:18" x14ac:dyDescent="0.35">
      <c r="A980" t="s">
        <v>982</v>
      </c>
      <c r="B980" s="2">
        <v>45638</v>
      </c>
      <c r="C980" s="3">
        <f t="shared" si="106"/>
        <v>200</v>
      </c>
      <c r="D980">
        <f t="shared" si="107"/>
        <v>892</v>
      </c>
      <c r="E980">
        <f t="shared" si="108"/>
        <v>30</v>
      </c>
      <c r="F980">
        <f t="shared" si="109"/>
        <v>4</v>
      </c>
      <c r="G980">
        <f t="shared" si="112"/>
        <v>4</v>
      </c>
      <c r="H980">
        <f t="shared" si="110"/>
        <v>4</v>
      </c>
      <c r="I980" s="9" t="str">
        <f t="shared" si="111"/>
        <v>444</v>
      </c>
      <c r="Q980" s="1">
        <v>0.37760576104428178</v>
      </c>
      <c r="R980" s="1">
        <v>0.67162423281777006</v>
      </c>
    </row>
    <row r="981" spans="1:18" x14ac:dyDescent="0.35">
      <c r="A981" t="s">
        <v>983</v>
      </c>
      <c r="B981" s="2">
        <v>45793</v>
      </c>
      <c r="C981" s="3">
        <f t="shared" si="106"/>
        <v>45</v>
      </c>
      <c r="D981">
        <f t="shared" si="107"/>
        <v>506</v>
      </c>
      <c r="E981">
        <f t="shared" si="108"/>
        <v>17</v>
      </c>
      <c r="F981">
        <f t="shared" si="109"/>
        <v>5</v>
      </c>
      <c r="G981">
        <f t="shared" si="112"/>
        <v>2</v>
      </c>
      <c r="H981">
        <f t="shared" si="110"/>
        <v>2</v>
      </c>
      <c r="I981" s="9" t="str">
        <f t="shared" si="111"/>
        <v>522</v>
      </c>
      <c r="Q981" s="1">
        <v>0.72732474808178693</v>
      </c>
      <c r="R981" s="1">
        <v>0.14419168579737729</v>
      </c>
    </row>
    <row r="982" spans="1:18" x14ac:dyDescent="0.35">
      <c r="A982" t="s">
        <v>984</v>
      </c>
      <c r="B982" s="2">
        <v>45732</v>
      </c>
      <c r="C982" s="3">
        <f t="shared" si="106"/>
        <v>106</v>
      </c>
      <c r="D982">
        <f t="shared" si="107"/>
        <v>894</v>
      </c>
      <c r="E982">
        <f t="shared" si="108"/>
        <v>30</v>
      </c>
      <c r="F982">
        <f t="shared" si="109"/>
        <v>5</v>
      </c>
      <c r="G982">
        <f t="shared" si="112"/>
        <v>4</v>
      </c>
      <c r="H982">
        <f t="shared" si="110"/>
        <v>4</v>
      </c>
      <c r="I982" s="9" t="str">
        <f t="shared" si="111"/>
        <v>544</v>
      </c>
      <c r="Q982" s="1">
        <v>0.81152963073954987</v>
      </c>
      <c r="R982" s="1">
        <v>0.48770147464169833</v>
      </c>
    </row>
    <row r="983" spans="1:18" x14ac:dyDescent="0.35">
      <c r="A983" t="s">
        <v>985</v>
      </c>
      <c r="B983" s="2">
        <v>45676</v>
      </c>
      <c r="C983" s="3">
        <f t="shared" si="106"/>
        <v>162</v>
      </c>
      <c r="D983">
        <f t="shared" si="107"/>
        <v>1267</v>
      </c>
      <c r="E983">
        <f t="shared" si="108"/>
        <v>42</v>
      </c>
      <c r="F983">
        <f t="shared" si="109"/>
        <v>4</v>
      </c>
      <c r="G983">
        <f t="shared" si="112"/>
        <v>5</v>
      </c>
      <c r="H983">
        <f t="shared" si="110"/>
        <v>5</v>
      </c>
      <c r="I983" s="9" t="str">
        <f t="shared" si="111"/>
        <v>455</v>
      </c>
      <c r="Q983" s="1">
        <v>0.67524504394431384</v>
      </c>
      <c r="R983" s="1">
        <v>0.91158588561071874</v>
      </c>
    </row>
    <row r="984" spans="1:18" x14ac:dyDescent="0.35">
      <c r="A984" t="s">
        <v>986</v>
      </c>
      <c r="B984" s="2">
        <v>45442</v>
      </c>
      <c r="C984" s="3">
        <f t="shared" si="106"/>
        <v>396</v>
      </c>
      <c r="D984">
        <f t="shared" si="107"/>
        <v>1372</v>
      </c>
      <c r="E984">
        <f t="shared" si="108"/>
        <v>46</v>
      </c>
      <c r="F984">
        <f t="shared" si="109"/>
        <v>2</v>
      </c>
      <c r="G984">
        <f t="shared" si="112"/>
        <v>5</v>
      </c>
      <c r="H984">
        <f t="shared" si="110"/>
        <v>5</v>
      </c>
      <c r="I984" s="9" t="str">
        <f t="shared" si="111"/>
        <v>255</v>
      </c>
      <c r="Q984" s="1">
        <v>0.8085578266235649</v>
      </c>
      <c r="R984" s="1">
        <v>0.95670373516907381</v>
      </c>
    </row>
    <row r="985" spans="1:18" x14ac:dyDescent="0.35">
      <c r="A985" t="s">
        <v>987</v>
      </c>
      <c r="B985" s="2">
        <v>45565</v>
      </c>
      <c r="C985" s="3">
        <f t="shared" si="106"/>
        <v>273</v>
      </c>
      <c r="D985">
        <f t="shared" si="107"/>
        <v>789</v>
      </c>
      <c r="E985">
        <f t="shared" si="108"/>
        <v>26</v>
      </c>
      <c r="F985">
        <f t="shared" si="109"/>
        <v>3</v>
      </c>
      <c r="G985">
        <f t="shared" si="112"/>
        <v>2</v>
      </c>
      <c r="H985">
        <f t="shared" si="110"/>
        <v>4</v>
      </c>
      <c r="I985" s="9" t="str">
        <f t="shared" si="111"/>
        <v>324</v>
      </c>
      <c r="Q985" s="1">
        <v>0.39211255706603421</v>
      </c>
      <c r="R985" s="1">
        <v>0.5650035047328209</v>
      </c>
    </row>
    <row r="986" spans="1:18" x14ac:dyDescent="0.35">
      <c r="A986" t="s">
        <v>988</v>
      </c>
      <c r="B986" s="2">
        <v>45835</v>
      </c>
      <c r="C986" s="3">
        <f t="shared" si="106"/>
        <v>3</v>
      </c>
      <c r="D986">
        <f t="shared" si="107"/>
        <v>117</v>
      </c>
      <c r="E986">
        <f t="shared" si="108"/>
        <v>4</v>
      </c>
      <c r="F986">
        <f t="shared" si="109"/>
        <v>5</v>
      </c>
      <c r="G986">
        <f t="shared" si="112"/>
        <v>1</v>
      </c>
      <c r="H986">
        <f t="shared" si="110"/>
        <v>1</v>
      </c>
      <c r="I986" s="9" t="str">
        <f t="shared" si="111"/>
        <v>511</v>
      </c>
      <c r="Q986" s="1">
        <v>4.7667074922277286E-2</v>
      </c>
      <c r="R986" s="1">
        <v>5.4531690638874308E-2</v>
      </c>
    </row>
    <row r="987" spans="1:18" x14ac:dyDescent="0.35">
      <c r="A987" t="s">
        <v>989</v>
      </c>
      <c r="B987" s="2">
        <v>45775</v>
      </c>
      <c r="C987" s="3">
        <f t="shared" si="106"/>
        <v>63</v>
      </c>
      <c r="D987">
        <f t="shared" si="107"/>
        <v>1136</v>
      </c>
      <c r="E987">
        <f t="shared" si="108"/>
        <v>38</v>
      </c>
      <c r="F987">
        <f t="shared" si="109"/>
        <v>5</v>
      </c>
      <c r="G987">
        <f t="shared" si="112"/>
        <v>5</v>
      </c>
      <c r="H987">
        <f t="shared" si="110"/>
        <v>5</v>
      </c>
      <c r="I987" s="9" t="str">
        <f t="shared" si="111"/>
        <v>555</v>
      </c>
      <c r="Q987" s="1">
        <v>0.80278670183450107</v>
      </c>
      <c r="R987" s="1">
        <v>0.72880990100827414</v>
      </c>
    </row>
    <row r="988" spans="1:18" x14ac:dyDescent="0.35">
      <c r="A988" t="s">
        <v>990</v>
      </c>
      <c r="B988" s="2">
        <v>45452</v>
      </c>
      <c r="C988" s="3">
        <f t="shared" si="106"/>
        <v>386</v>
      </c>
      <c r="D988">
        <f t="shared" si="107"/>
        <v>490</v>
      </c>
      <c r="E988">
        <f t="shared" si="108"/>
        <v>16</v>
      </c>
      <c r="F988">
        <f t="shared" si="109"/>
        <v>2</v>
      </c>
      <c r="G988">
        <f t="shared" si="112"/>
        <v>1</v>
      </c>
      <c r="H988">
        <f t="shared" si="110"/>
        <v>1</v>
      </c>
      <c r="I988" s="9" t="str">
        <f t="shared" si="111"/>
        <v>211</v>
      </c>
      <c r="Q988" s="1">
        <v>3.1385449126370535E-2</v>
      </c>
      <c r="R988" s="1">
        <v>0.42671212844383866</v>
      </c>
    </row>
    <row r="989" spans="1:18" x14ac:dyDescent="0.35">
      <c r="A989" t="s">
        <v>991</v>
      </c>
      <c r="B989" s="2">
        <v>45513</v>
      </c>
      <c r="C989" s="3">
        <f t="shared" si="106"/>
        <v>325</v>
      </c>
      <c r="D989">
        <f t="shared" si="107"/>
        <v>1001</v>
      </c>
      <c r="E989">
        <f t="shared" si="108"/>
        <v>33</v>
      </c>
      <c r="F989">
        <f t="shared" si="109"/>
        <v>2</v>
      </c>
      <c r="G989">
        <f t="shared" si="112"/>
        <v>4</v>
      </c>
      <c r="H989">
        <f t="shared" si="110"/>
        <v>4</v>
      </c>
      <c r="I989" s="9" t="str">
        <f t="shared" si="111"/>
        <v>244</v>
      </c>
      <c r="Q989" s="1">
        <v>0.97602211923863802</v>
      </c>
      <c r="R989" s="1">
        <v>0.52179169383825585</v>
      </c>
    </row>
    <row r="990" spans="1:18" x14ac:dyDescent="0.35">
      <c r="A990" t="s">
        <v>992</v>
      </c>
      <c r="B990" s="2">
        <v>45421</v>
      </c>
      <c r="C990" s="3">
        <f t="shared" si="106"/>
        <v>417</v>
      </c>
      <c r="D990">
        <f t="shared" si="107"/>
        <v>1037</v>
      </c>
      <c r="E990">
        <f t="shared" si="108"/>
        <v>34</v>
      </c>
      <c r="F990">
        <f t="shared" si="109"/>
        <v>1</v>
      </c>
      <c r="G990">
        <f t="shared" si="112"/>
        <v>4</v>
      </c>
      <c r="H990">
        <f t="shared" si="110"/>
        <v>4</v>
      </c>
      <c r="I990" s="9" t="str">
        <f t="shared" si="111"/>
        <v>144</v>
      </c>
      <c r="Q990" s="1">
        <v>0.51073794323797062</v>
      </c>
      <c r="R990" s="1">
        <v>0.75658362307123772</v>
      </c>
    </row>
    <row r="991" spans="1:18" x14ac:dyDescent="0.35">
      <c r="A991" t="s">
        <v>993</v>
      </c>
      <c r="B991" s="2">
        <v>45546</v>
      </c>
      <c r="C991" s="3">
        <f t="shared" si="106"/>
        <v>292</v>
      </c>
      <c r="D991">
        <f t="shared" si="107"/>
        <v>265</v>
      </c>
      <c r="E991">
        <f t="shared" si="108"/>
        <v>9</v>
      </c>
      <c r="F991">
        <f t="shared" si="109"/>
        <v>2</v>
      </c>
      <c r="G991">
        <f t="shared" si="112"/>
        <v>1</v>
      </c>
      <c r="H991">
        <f t="shared" si="110"/>
        <v>1</v>
      </c>
      <c r="I991" s="9" t="str">
        <f t="shared" si="111"/>
        <v>211</v>
      </c>
      <c r="Q991" s="1">
        <v>0.25591543093264291</v>
      </c>
      <c r="R991" s="1">
        <v>0.11004056979992127</v>
      </c>
    </row>
    <row r="992" spans="1:18" x14ac:dyDescent="0.35">
      <c r="A992" t="s">
        <v>994</v>
      </c>
      <c r="B992" s="2">
        <v>45672</v>
      </c>
      <c r="C992" s="3">
        <f t="shared" si="106"/>
        <v>166</v>
      </c>
      <c r="D992">
        <f t="shared" si="107"/>
        <v>81</v>
      </c>
      <c r="E992">
        <f t="shared" si="108"/>
        <v>2</v>
      </c>
      <c r="F992">
        <f t="shared" si="109"/>
        <v>4</v>
      </c>
      <c r="G992">
        <f t="shared" si="112"/>
        <v>1</v>
      </c>
      <c r="H992">
        <f t="shared" si="110"/>
        <v>1</v>
      </c>
      <c r="I992" s="9" t="str">
        <f t="shared" si="111"/>
        <v>411</v>
      </c>
      <c r="Q992" s="1">
        <v>2.284023531079693E-2</v>
      </c>
      <c r="R992" s="1">
        <v>3.016152914306458E-2</v>
      </c>
    </row>
    <row r="993" spans="1:18" x14ac:dyDescent="0.35">
      <c r="A993" t="s">
        <v>995</v>
      </c>
      <c r="B993" s="2">
        <v>45639</v>
      </c>
      <c r="C993" s="3">
        <f t="shared" si="106"/>
        <v>199</v>
      </c>
      <c r="D993">
        <f t="shared" si="107"/>
        <v>448</v>
      </c>
      <c r="E993">
        <f t="shared" si="108"/>
        <v>15</v>
      </c>
      <c r="F993">
        <f t="shared" si="109"/>
        <v>4</v>
      </c>
      <c r="G993">
        <f t="shared" si="112"/>
        <v>1</v>
      </c>
      <c r="H993">
        <f t="shared" si="110"/>
        <v>1</v>
      </c>
      <c r="I993" s="9" t="str">
        <f t="shared" si="111"/>
        <v>411</v>
      </c>
      <c r="Q993" s="1">
        <v>0.73292744698704482</v>
      </c>
      <c r="R993" s="1">
        <v>8.4931627928035214E-2</v>
      </c>
    </row>
    <row r="994" spans="1:18" x14ac:dyDescent="0.35">
      <c r="A994" t="s">
        <v>996</v>
      </c>
      <c r="B994" s="2">
        <v>45666</v>
      </c>
      <c r="C994" s="3">
        <f t="shared" si="106"/>
        <v>172</v>
      </c>
      <c r="D994">
        <f t="shared" si="107"/>
        <v>664</v>
      </c>
      <c r="E994">
        <f t="shared" si="108"/>
        <v>22</v>
      </c>
      <c r="F994">
        <f t="shared" si="109"/>
        <v>4</v>
      </c>
      <c r="G994">
        <f t="shared" si="112"/>
        <v>2</v>
      </c>
      <c r="H994">
        <f t="shared" si="110"/>
        <v>2</v>
      </c>
      <c r="I994" s="9" t="str">
        <f t="shared" si="111"/>
        <v>422</v>
      </c>
      <c r="Q994" s="1">
        <v>0.89076618767314819</v>
      </c>
      <c r="R994" s="1">
        <v>0.22929254455578552</v>
      </c>
    </row>
    <row r="995" spans="1:18" x14ac:dyDescent="0.35">
      <c r="A995" t="s">
        <v>997</v>
      </c>
      <c r="B995" s="2">
        <v>45798</v>
      </c>
      <c r="C995" s="3">
        <f t="shared" si="106"/>
        <v>40</v>
      </c>
      <c r="D995">
        <f t="shared" si="107"/>
        <v>1065</v>
      </c>
      <c r="E995">
        <f t="shared" si="108"/>
        <v>35</v>
      </c>
      <c r="F995">
        <f t="shared" si="109"/>
        <v>5</v>
      </c>
      <c r="G995">
        <f t="shared" si="112"/>
        <v>4</v>
      </c>
      <c r="H995">
        <f t="shared" si="110"/>
        <v>5</v>
      </c>
      <c r="I995" s="9" t="str">
        <f t="shared" si="111"/>
        <v>545</v>
      </c>
      <c r="Q995" s="1">
        <v>0.79584984229708478</v>
      </c>
      <c r="R995" s="1">
        <v>0.66190231648361775</v>
      </c>
    </row>
    <row r="996" spans="1:18" x14ac:dyDescent="0.35">
      <c r="A996" t="s">
        <v>998</v>
      </c>
      <c r="B996" s="2">
        <v>45794</v>
      </c>
      <c r="C996" s="3">
        <f t="shared" si="106"/>
        <v>44</v>
      </c>
      <c r="D996">
        <f t="shared" si="107"/>
        <v>729</v>
      </c>
      <c r="E996">
        <f t="shared" si="108"/>
        <v>24</v>
      </c>
      <c r="F996">
        <f t="shared" si="109"/>
        <v>5</v>
      </c>
      <c r="G996">
        <f t="shared" si="112"/>
        <v>2</v>
      </c>
      <c r="H996">
        <f t="shared" si="110"/>
        <v>2</v>
      </c>
      <c r="I996" s="9" t="str">
        <f t="shared" si="111"/>
        <v>522</v>
      </c>
      <c r="Q996" s="1">
        <v>0.48027130340385771</v>
      </c>
      <c r="R996" s="1">
        <v>0.46820513009025377</v>
      </c>
    </row>
    <row r="997" spans="1:18" x14ac:dyDescent="0.35">
      <c r="A997" t="s">
        <v>999</v>
      </c>
      <c r="B997" s="2">
        <v>45644</v>
      </c>
      <c r="C997" s="3">
        <f t="shared" si="106"/>
        <v>194</v>
      </c>
      <c r="D997">
        <f t="shared" si="107"/>
        <v>178</v>
      </c>
      <c r="E997">
        <f t="shared" si="108"/>
        <v>6</v>
      </c>
      <c r="F997">
        <f t="shared" si="109"/>
        <v>4</v>
      </c>
      <c r="G997">
        <f t="shared" si="112"/>
        <v>1</v>
      </c>
      <c r="H997">
        <f t="shared" si="110"/>
        <v>1</v>
      </c>
      <c r="I997" s="9" t="str">
        <f t="shared" si="111"/>
        <v>411</v>
      </c>
      <c r="Q997" s="1">
        <v>0.17032893276372862</v>
      </c>
      <c r="R997" s="1">
        <v>6.2202778182820606E-2</v>
      </c>
    </row>
    <row r="998" spans="1:18" x14ac:dyDescent="0.35">
      <c r="A998" t="s">
        <v>1000</v>
      </c>
      <c r="B998" s="2">
        <v>45441</v>
      </c>
      <c r="C998" s="3">
        <f t="shared" si="106"/>
        <v>397</v>
      </c>
      <c r="D998">
        <f t="shared" si="107"/>
        <v>739</v>
      </c>
      <c r="E998">
        <f t="shared" si="108"/>
        <v>24</v>
      </c>
      <c r="F998">
        <f t="shared" si="109"/>
        <v>2</v>
      </c>
      <c r="G998">
        <f t="shared" si="112"/>
        <v>2</v>
      </c>
      <c r="H998">
        <f t="shared" si="110"/>
        <v>2</v>
      </c>
      <c r="I998" s="9" t="str">
        <f t="shared" si="111"/>
        <v>222</v>
      </c>
      <c r="Q998" s="1">
        <v>0.86869338463252788</v>
      </c>
      <c r="R998" s="1">
        <v>0.31139516120030153</v>
      </c>
    </row>
    <row r="999" spans="1:18" x14ac:dyDescent="0.35">
      <c r="A999" t="s">
        <v>1001</v>
      </c>
      <c r="B999" s="2">
        <v>45317</v>
      </c>
      <c r="C999" s="3">
        <f t="shared" si="106"/>
        <v>521</v>
      </c>
      <c r="D999">
        <f t="shared" si="107"/>
        <v>842</v>
      </c>
      <c r="E999">
        <f t="shared" si="108"/>
        <v>28</v>
      </c>
      <c r="F999">
        <f t="shared" si="109"/>
        <v>1</v>
      </c>
      <c r="G999">
        <f t="shared" si="112"/>
        <v>4</v>
      </c>
      <c r="H999">
        <f t="shared" si="110"/>
        <v>4</v>
      </c>
      <c r="I999" s="9" t="str">
        <f t="shared" si="111"/>
        <v>144</v>
      </c>
      <c r="Q999" s="1">
        <v>0.14337434395321313</v>
      </c>
      <c r="R999" s="1">
        <v>0.72309801916481531</v>
      </c>
    </row>
    <row r="1000" spans="1:18" x14ac:dyDescent="0.35">
      <c r="A1000" t="s">
        <v>1002</v>
      </c>
      <c r="B1000" s="2">
        <v>45719</v>
      </c>
      <c r="C1000" s="3">
        <f t="shared" si="106"/>
        <v>119</v>
      </c>
      <c r="D1000">
        <f t="shared" si="107"/>
        <v>928</v>
      </c>
      <c r="E1000">
        <f t="shared" si="108"/>
        <v>31</v>
      </c>
      <c r="F1000">
        <f t="shared" si="109"/>
        <v>5</v>
      </c>
      <c r="G1000">
        <f t="shared" si="112"/>
        <v>4</v>
      </c>
      <c r="H1000">
        <f t="shared" si="110"/>
        <v>4</v>
      </c>
      <c r="I1000" s="9" t="str">
        <f t="shared" si="111"/>
        <v>544</v>
      </c>
      <c r="Q1000" s="1">
        <v>0.2737372354863371</v>
      </c>
      <c r="R1000" s="1">
        <v>0.75167378405518892</v>
      </c>
    </row>
    <row r="1001" spans="1:18" x14ac:dyDescent="0.35">
      <c r="A1001" t="s">
        <v>1003</v>
      </c>
      <c r="B1001" s="2">
        <v>45791</v>
      </c>
      <c r="C1001" s="3">
        <f t="shared" si="106"/>
        <v>47</v>
      </c>
      <c r="D1001">
        <f t="shared" si="107"/>
        <v>1314</v>
      </c>
      <c r="E1001">
        <f t="shared" si="108"/>
        <v>44</v>
      </c>
      <c r="F1001">
        <f t="shared" si="109"/>
        <v>5</v>
      </c>
      <c r="G1001">
        <f t="shared" si="112"/>
        <v>5</v>
      </c>
      <c r="H1001">
        <f t="shared" si="110"/>
        <v>5</v>
      </c>
      <c r="I1001" s="9" t="str">
        <f t="shared" si="111"/>
        <v>555</v>
      </c>
      <c r="Q1001" s="1">
        <v>0.90916152937671901</v>
      </c>
      <c r="R1001" s="1">
        <v>0.85737470673895788</v>
      </c>
    </row>
  </sheetData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topLeftCell="A111" zoomScaleNormal="100" workbookViewId="0">
      <selection activeCell="K13" sqref="K13"/>
    </sheetView>
  </sheetViews>
  <sheetFormatPr defaultRowHeight="14.5" x14ac:dyDescent="0.35"/>
  <cols>
    <col min="1" max="1" width="12.81640625" customWidth="1"/>
    <col min="2" max="2" width="13.7265625" style="2" customWidth="1"/>
    <col min="3" max="3" width="5" style="3" customWidth="1"/>
    <col min="4" max="4" width="10.54296875" customWidth="1"/>
    <col min="5" max="5" width="10.453125" customWidth="1"/>
    <col min="8" max="8" width="11" customWidth="1"/>
    <col min="9" max="9" width="10" style="4" customWidth="1"/>
    <col min="13" max="13" width="11.453125" customWidth="1"/>
    <col min="14" max="14" width="14.453125" customWidth="1"/>
    <col min="16" max="16" width="4.1796875" customWidth="1"/>
    <col min="17" max="17" width="11.26953125" customWidth="1"/>
    <col min="18" max="18" width="13.54296875" style="1" customWidth="1"/>
    <col min="19" max="19" width="14.1796875" customWidth="1"/>
  </cols>
  <sheetData>
    <row r="1" spans="1:19" x14ac:dyDescent="0.35">
      <c r="A1" s="5" t="s">
        <v>0</v>
      </c>
      <c r="B1" s="6" t="s">
        <v>1013</v>
      </c>
      <c r="C1" s="7" t="s">
        <v>2</v>
      </c>
      <c r="D1" s="5" t="s">
        <v>1</v>
      </c>
      <c r="E1" s="5" t="s">
        <v>3</v>
      </c>
      <c r="F1" s="5" t="s">
        <v>1009</v>
      </c>
      <c r="G1" s="5" t="s">
        <v>1010</v>
      </c>
      <c r="H1" s="5" t="s">
        <v>1011</v>
      </c>
      <c r="I1" s="8" t="s">
        <v>1012</v>
      </c>
      <c r="M1" t="s">
        <v>1415</v>
      </c>
      <c r="Q1" t="s">
        <v>1435</v>
      </c>
      <c r="R1" s="1" t="s">
        <v>1005</v>
      </c>
      <c r="S1" t="s">
        <v>1006</v>
      </c>
    </row>
    <row r="2" spans="1:19" x14ac:dyDescent="0.35">
      <c r="A2" t="s">
        <v>4</v>
      </c>
      <c r="B2" s="2">
        <f>ROUND(R2*(45838-45292)+45292,0)</f>
        <v>45583</v>
      </c>
      <c r="C2" s="3">
        <f>$S$4-B2</f>
        <v>-45583</v>
      </c>
      <c r="D2">
        <f>ROUND((R2)*(1500-40)+40,0)</f>
        <v>817</v>
      </c>
      <c r="E2">
        <f>ROUND((R2)*(50-1)+1,0)</f>
        <v>27</v>
      </c>
      <c r="F2">
        <f>IF(C2&lt;=$M$4,5,IF(C2&lt;=$M$9,4,IF(C2&lt;=$M$5,3,IF(C2&lt;=$M$6,2,1))))</f>
        <v>4</v>
      </c>
      <c r="G2">
        <f>IF(E2&lt;=$M$14,1,IF(E2&lt;=$M$15,2,IF(E2&lt;=$M$19,3,IF(E2&lt;=$M$16,4,5))))</f>
        <v>4</v>
      </c>
      <c r="H2">
        <f>IF(D2&lt;=$M$24,1,IF(D2&lt;=$M$25,2,IF(D2&lt;=$M$29,3,IF(D2&lt;=$M$26,4,5))))</f>
        <v>4</v>
      </c>
      <c r="I2" s="4" t="str">
        <f>CONCATENATE(F2,G2,H2)</f>
        <v>444</v>
      </c>
      <c r="M2" t="s">
        <v>1416</v>
      </c>
      <c r="N2" t="s">
        <v>1417</v>
      </c>
      <c r="Q2" s="1">
        <v>0.96147131466153457</v>
      </c>
      <c r="R2" s="1">
        <v>0.53242854549595875</v>
      </c>
      <c r="S2" s="2">
        <v>45292</v>
      </c>
    </row>
    <row r="3" spans="1:19" x14ac:dyDescent="0.35">
      <c r="A3" t="s">
        <v>5</v>
      </c>
      <c r="B3" s="2">
        <f t="shared" ref="B3:B66" si="0">ROUND(R3*(45838-45292)+45292,0)</f>
        <v>45349</v>
      </c>
      <c r="C3" s="3">
        <f>$S$4-B3</f>
        <v>-45349</v>
      </c>
      <c r="D3">
        <f t="shared" ref="D3:D66" si="1">ROUND((R3)*(1500-40)+40,0)</f>
        <v>192</v>
      </c>
      <c r="E3">
        <f t="shared" ref="E3:E66" si="2">ROUND((R3)*(50-1)+1,0)</f>
        <v>6</v>
      </c>
      <c r="F3">
        <f t="shared" ref="F3:F66" si="3">IF(C3&lt;=$M$4,5,IF(C3&lt;=$M$9,4,IF(C3&lt;=$M$5,3,IF(C3&lt;=$M$6,2,1))))</f>
        <v>1</v>
      </c>
      <c r="G3">
        <f>IF(E3&lt;=$M$14,1,IF(E3&lt;=$M$15,2,IF(E3&lt;=$M$19,3,IF(E3&lt;=$M$16,4,5))))</f>
        <v>1</v>
      </c>
      <c r="H3">
        <f t="shared" ref="H3:H66" si="4">IF(D3&lt;=$M$24,1,IF(D3&lt;=$M$25,2,IF(D3&lt;=$M$29,3,IF(D3&lt;=$M$26,4,5))))</f>
        <v>1</v>
      </c>
      <c r="I3" s="4" t="str">
        <f t="shared" ref="I3:I66" si="5">CONCATENATE(F3,G3,H3)</f>
        <v>111</v>
      </c>
      <c r="M3" s="3">
        <f t="shared" ref="M3" si="6">MIN(C2:C1001)</f>
        <v>-45838</v>
      </c>
      <c r="N3" t="s">
        <v>1418</v>
      </c>
      <c r="Q3" s="1">
        <v>0.11250862588569743</v>
      </c>
      <c r="R3" s="1">
        <v>0.10398772084272756</v>
      </c>
      <c r="S3" t="s">
        <v>1007</v>
      </c>
    </row>
    <row r="4" spans="1:19" x14ac:dyDescent="0.35">
      <c r="A4" t="s">
        <v>6</v>
      </c>
      <c r="B4" s="2">
        <f t="shared" si="0"/>
        <v>45654</v>
      </c>
      <c r="C4" s="3">
        <f t="shared" ref="C4:C67" si="7">$S$4-B4</f>
        <v>-45654</v>
      </c>
      <c r="D4">
        <f t="shared" si="1"/>
        <v>1007</v>
      </c>
      <c r="E4">
        <f t="shared" si="2"/>
        <v>33</v>
      </c>
      <c r="F4">
        <f t="shared" si="3"/>
        <v>4</v>
      </c>
      <c r="G4">
        <f t="shared" ref="G4:G67" si="8">IF(E4&lt;=$M$14,1,IF(E4&lt;=$M$15,2,IF(E4&lt;=$M$19,3,IF(E4&lt;=$M$16,4,5))))</f>
        <v>4</v>
      </c>
      <c r="H4">
        <f t="shared" si="4"/>
        <v>4</v>
      </c>
      <c r="I4" s="4" t="str">
        <f t="shared" si="5"/>
        <v>444</v>
      </c>
      <c r="M4" s="3">
        <f>_xlfn.QUARTILE.INC(C2:C1001,1)</f>
        <v>-45711</v>
      </c>
      <c r="N4" t="s">
        <v>1419</v>
      </c>
      <c r="Q4" s="1">
        <v>0.75572861067122576</v>
      </c>
      <c r="R4" s="1">
        <v>0.66242206961221983</v>
      </c>
      <c r="S4" s="2"/>
    </row>
    <row r="5" spans="1:19" x14ac:dyDescent="0.35">
      <c r="A5" t="s">
        <v>7</v>
      </c>
      <c r="B5" s="2">
        <f t="shared" si="0"/>
        <v>45476</v>
      </c>
      <c r="C5" s="3">
        <f t="shared" si="7"/>
        <v>-45476</v>
      </c>
      <c r="D5">
        <f t="shared" si="1"/>
        <v>532</v>
      </c>
      <c r="E5">
        <f t="shared" si="2"/>
        <v>18</v>
      </c>
      <c r="F5">
        <f t="shared" si="3"/>
        <v>2</v>
      </c>
      <c r="G5">
        <f t="shared" si="8"/>
        <v>2</v>
      </c>
      <c r="H5">
        <f t="shared" si="4"/>
        <v>2</v>
      </c>
      <c r="I5" s="4" t="str">
        <f t="shared" si="5"/>
        <v>222</v>
      </c>
      <c r="M5" s="3">
        <f>_xlfn.QUARTILE.INC(C2:C1001,2)</f>
        <v>-45563</v>
      </c>
      <c r="N5" t="s">
        <v>1420</v>
      </c>
      <c r="Q5" s="1">
        <v>0.82792984959082982</v>
      </c>
      <c r="R5" s="1">
        <v>0.33697797654897943</v>
      </c>
      <c r="S5" t="s">
        <v>1008</v>
      </c>
    </row>
    <row r="6" spans="1:19" x14ac:dyDescent="0.35">
      <c r="A6" t="s">
        <v>8</v>
      </c>
      <c r="B6" s="2">
        <f t="shared" si="0"/>
        <v>45669</v>
      </c>
      <c r="C6" s="3">
        <f t="shared" si="7"/>
        <v>-45669</v>
      </c>
      <c r="D6">
        <f t="shared" si="1"/>
        <v>1049</v>
      </c>
      <c r="E6">
        <f t="shared" si="2"/>
        <v>35</v>
      </c>
      <c r="F6">
        <f t="shared" si="3"/>
        <v>4</v>
      </c>
      <c r="G6">
        <f t="shared" si="8"/>
        <v>4</v>
      </c>
      <c r="H6">
        <f t="shared" si="4"/>
        <v>4</v>
      </c>
      <c r="I6" s="4" t="str">
        <f t="shared" si="5"/>
        <v>444</v>
      </c>
      <c r="M6" s="3">
        <f>_xlfn.QUARTILE.INC(C2:C1001,3)</f>
        <v>-45420</v>
      </c>
      <c r="N6" t="s">
        <v>1421</v>
      </c>
      <c r="Q6" s="1">
        <v>0.72454024378430359</v>
      </c>
      <c r="R6" s="1">
        <v>0.69093268633256055</v>
      </c>
      <c r="S6" s="2">
        <v>45838</v>
      </c>
    </row>
    <row r="7" spans="1:19" x14ac:dyDescent="0.35">
      <c r="A7" t="s">
        <v>9</v>
      </c>
      <c r="B7" s="2">
        <f t="shared" si="0"/>
        <v>45629</v>
      </c>
      <c r="C7" s="3">
        <f t="shared" si="7"/>
        <v>-45629</v>
      </c>
      <c r="D7">
        <f t="shared" si="1"/>
        <v>941</v>
      </c>
      <c r="E7">
        <f t="shared" si="2"/>
        <v>31</v>
      </c>
      <c r="F7">
        <f t="shared" si="3"/>
        <v>4</v>
      </c>
      <c r="G7">
        <f t="shared" si="8"/>
        <v>4</v>
      </c>
      <c r="H7">
        <f t="shared" si="4"/>
        <v>4</v>
      </c>
      <c r="I7" s="4" t="str">
        <f t="shared" si="5"/>
        <v>444</v>
      </c>
      <c r="M7" s="3">
        <f>MAX(C2:C1001)</f>
        <v>-45293</v>
      </c>
      <c r="N7" t="s">
        <v>1422</v>
      </c>
      <c r="Q7" s="1">
        <v>0.33433201598202367</v>
      </c>
      <c r="R7" s="1">
        <v>0.61733081947342572</v>
      </c>
    </row>
    <row r="8" spans="1:19" x14ac:dyDescent="0.35">
      <c r="A8" t="s">
        <v>10</v>
      </c>
      <c r="B8" s="2">
        <f t="shared" si="0"/>
        <v>45588</v>
      </c>
      <c r="C8" s="3">
        <f t="shared" si="7"/>
        <v>-45588</v>
      </c>
      <c r="D8">
        <f t="shared" si="1"/>
        <v>832</v>
      </c>
      <c r="E8">
        <f t="shared" si="2"/>
        <v>28</v>
      </c>
      <c r="F8">
        <f t="shared" si="3"/>
        <v>4</v>
      </c>
      <c r="G8">
        <f t="shared" si="8"/>
        <v>4</v>
      </c>
      <c r="H8">
        <f t="shared" si="4"/>
        <v>4</v>
      </c>
      <c r="I8" s="4" t="str">
        <f t="shared" si="5"/>
        <v>444</v>
      </c>
      <c r="M8" s="3"/>
      <c r="Q8" s="1">
        <v>0.14688075471339324</v>
      </c>
      <c r="R8" s="1">
        <v>0.5423129843370349</v>
      </c>
    </row>
    <row r="9" spans="1:19" x14ac:dyDescent="0.35">
      <c r="A9" t="s">
        <v>11</v>
      </c>
      <c r="B9" s="2">
        <f t="shared" si="0"/>
        <v>45404</v>
      </c>
      <c r="C9" s="3">
        <f t="shared" si="7"/>
        <v>-45404</v>
      </c>
      <c r="D9">
        <f t="shared" si="1"/>
        <v>339</v>
      </c>
      <c r="E9">
        <f t="shared" si="2"/>
        <v>11</v>
      </c>
      <c r="F9">
        <f t="shared" si="3"/>
        <v>1</v>
      </c>
      <c r="G9">
        <f t="shared" si="8"/>
        <v>1</v>
      </c>
      <c r="H9">
        <f t="shared" si="4"/>
        <v>1</v>
      </c>
      <c r="I9" s="4" t="str">
        <f t="shared" si="5"/>
        <v>111</v>
      </c>
      <c r="M9" s="3">
        <f>AVERAGE(C2:C1001)</f>
        <v>-45565.635000000002</v>
      </c>
      <c r="N9" t="s">
        <v>1423</v>
      </c>
      <c r="Q9" s="1">
        <v>0.10434881459184697</v>
      </c>
      <c r="R9" s="1">
        <v>0.20460617463887731</v>
      </c>
    </row>
    <row r="10" spans="1:19" x14ac:dyDescent="0.35">
      <c r="A10" t="s">
        <v>12</v>
      </c>
      <c r="B10" s="2">
        <f t="shared" si="0"/>
        <v>45381</v>
      </c>
      <c r="C10" s="3">
        <f t="shared" si="7"/>
        <v>-45381</v>
      </c>
      <c r="D10">
        <f t="shared" si="1"/>
        <v>278</v>
      </c>
      <c r="E10">
        <f t="shared" si="2"/>
        <v>9</v>
      </c>
      <c r="F10">
        <f t="shared" si="3"/>
        <v>1</v>
      </c>
      <c r="G10">
        <f t="shared" si="8"/>
        <v>1</v>
      </c>
      <c r="H10">
        <f t="shared" si="4"/>
        <v>1</v>
      </c>
      <c r="I10" s="4" t="str">
        <f t="shared" si="5"/>
        <v>111</v>
      </c>
      <c r="Q10" s="1">
        <v>0.74773750813043149</v>
      </c>
      <c r="R10" s="1">
        <v>0.16320457138645073</v>
      </c>
    </row>
    <row r="11" spans="1:19" x14ac:dyDescent="0.35">
      <c r="A11" t="s">
        <v>13</v>
      </c>
      <c r="B11" s="2">
        <f t="shared" si="0"/>
        <v>45763</v>
      </c>
      <c r="C11" s="3">
        <f t="shared" si="7"/>
        <v>-45763</v>
      </c>
      <c r="D11">
        <f t="shared" si="1"/>
        <v>1298</v>
      </c>
      <c r="E11">
        <f t="shared" si="2"/>
        <v>43</v>
      </c>
      <c r="F11">
        <f t="shared" si="3"/>
        <v>5</v>
      </c>
      <c r="G11">
        <f t="shared" si="8"/>
        <v>5</v>
      </c>
      <c r="H11">
        <f t="shared" si="4"/>
        <v>5</v>
      </c>
      <c r="I11" s="4" t="str">
        <f t="shared" si="5"/>
        <v>555</v>
      </c>
      <c r="M11" t="s">
        <v>1424</v>
      </c>
      <c r="Q11" s="1">
        <v>0.28531595871767801</v>
      </c>
      <c r="R11" s="1">
        <v>0.86198078196648653</v>
      </c>
    </row>
    <row r="12" spans="1:19" x14ac:dyDescent="0.35">
      <c r="A12" t="s">
        <v>14</v>
      </c>
      <c r="B12" s="2">
        <f t="shared" si="0"/>
        <v>45799</v>
      </c>
      <c r="C12" s="3">
        <f t="shared" si="7"/>
        <v>-45799</v>
      </c>
      <c r="D12">
        <f t="shared" si="1"/>
        <v>1396</v>
      </c>
      <c r="E12">
        <f t="shared" si="2"/>
        <v>47</v>
      </c>
      <c r="F12">
        <f t="shared" si="3"/>
        <v>5</v>
      </c>
      <c r="G12">
        <f t="shared" si="8"/>
        <v>5</v>
      </c>
      <c r="H12">
        <f t="shared" si="4"/>
        <v>5</v>
      </c>
      <c r="I12" s="4" t="str">
        <f t="shared" si="5"/>
        <v>555</v>
      </c>
      <c r="M12" t="s">
        <v>1416</v>
      </c>
      <c r="N12" t="s">
        <v>1425</v>
      </c>
      <c r="Q12" s="1">
        <v>0.87915375353285785</v>
      </c>
      <c r="R12" s="1">
        <v>0.9289100646733538</v>
      </c>
    </row>
    <row r="13" spans="1:19" x14ac:dyDescent="0.35">
      <c r="A13" t="s">
        <v>15</v>
      </c>
      <c r="B13" s="2">
        <f t="shared" si="0"/>
        <v>45687</v>
      </c>
      <c r="C13" s="3">
        <f t="shared" si="7"/>
        <v>-45687</v>
      </c>
      <c r="D13">
        <f t="shared" si="1"/>
        <v>1097</v>
      </c>
      <c r="E13">
        <f t="shared" si="2"/>
        <v>36</v>
      </c>
      <c r="F13">
        <f t="shared" si="3"/>
        <v>4</v>
      </c>
      <c r="G13">
        <f t="shared" si="8"/>
        <v>4</v>
      </c>
      <c r="H13">
        <f t="shared" si="4"/>
        <v>4</v>
      </c>
      <c r="I13" s="4" t="str">
        <f t="shared" si="5"/>
        <v>444</v>
      </c>
      <c r="M13">
        <f>MIN(E2:E1001)</f>
        <v>1</v>
      </c>
      <c r="N13" t="s">
        <v>1418</v>
      </c>
      <c r="Q13" s="1">
        <v>0.64445057081828905</v>
      </c>
      <c r="R13" s="1">
        <v>0.7236970667375483</v>
      </c>
    </row>
    <row r="14" spans="1:19" x14ac:dyDescent="0.35">
      <c r="A14" t="s">
        <v>16</v>
      </c>
      <c r="B14" s="2">
        <f t="shared" si="0"/>
        <v>45627</v>
      </c>
      <c r="C14" s="3">
        <f t="shared" si="7"/>
        <v>-45627</v>
      </c>
      <c r="D14">
        <f t="shared" si="1"/>
        <v>935</v>
      </c>
      <c r="E14">
        <f t="shared" si="2"/>
        <v>31</v>
      </c>
      <c r="F14">
        <f t="shared" si="3"/>
        <v>4</v>
      </c>
      <c r="G14">
        <f t="shared" si="8"/>
        <v>4</v>
      </c>
      <c r="H14">
        <f t="shared" si="4"/>
        <v>4</v>
      </c>
      <c r="I14" s="4" t="str">
        <f t="shared" si="5"/>
        <v>444</v>
      </c>
      <c r="M14">
        <f>_xlfn.QUARTILE.INC(E2:E1001,1)</f>
        <v>12</v>
      </c>
      <c r="N14" t="s">
        <v>1419</v>
      </c>
      <c r="Q14" s="1">
        <v>0.978362893850662</v>
      </c>
      <c r="R14" s="1">
        <v>0.6127457005292638</v>
      </c>
    </row>
    <row r="15" spans="1:19" x14ac:dyDescent="0.35">
      <c r="A15" t="s">
        <v>17</v>
      </c>
      <c r="B15" s="2">
        <f t="shared" si="0"/>
        <v>45484</v>
      </c>
      <c r="C15" s="3">
        <f t="shared" si="7"/>
        <v>-45484</v>
      </c>
      <c r="D15">
        <f t="shared" si="1"/>
        <v>555</v>
      </c>
      <c r="E15">
        <f t="shared" si="2"/>
        <v>18</v>
      </c>
      <c r="F15">
        <f t="shared" si="3"/>
        <v>2</v>
      </c>
      <c r="G15">
        <f t="shared" si="8"/>
        <v>2</v>
      </c>
      <c r="H15">
        <f t="shared" si="4"/>
        <v>2</v>
      </c>
      <c r="I15" s="4" t="str">
        <f t="shared" si="5"/>
        <v>222</v>
      </c>
      <c r="M15">
        <f>_xlfn.QUARTILE.INC(E2:E1001,2)</f>
        <v>25</v>
      </c>
      <c r="N15" t="s">
        <v>1420</v>
      </c>
      <c r="Q15" s="1">
        <v>0.18853513485371987</v>
      </c>
      <c r="R15" s="1">
        <v>0.35250237470099466</v>
      </c>
    </row>
    <row r="16" spans="1:19" x14ac:dyDescent="0.35">
      <c r="A16" t="s">
        <v>18</v>
      </c>
      <c r="B16" s="2">
        <f t="shared" si="0"/>
        <v>45306</v>
      </c>
      <c r="C16" s="3">
        <f t="shared" si="7"/>
        <v>-45306</v>
      </c>
      <c r="D16">
        <f t="shared" si="1"/>
        <v>77</v>
      </c>
      <c r="E16">
        <f t="shared" si="2"/>
        <v>2</v>
      </c>
      <c r="F16">
        <f t="shared" si="3"/>
        <v>1</v>
      </c>
      <c r="G16">
        <f t="shared" si="8"/>
        <v>1</v>
      </c>
      <c r="H16">
        <f t="shared" si="4"/>
        <v>1</v>
      </c>
      <c r="I16" s="4" t="str">
        <f t="shared" si="5"/>
        <v>111</v>
      </c>
      <c r="M16">
        <f>_xlfn.QUARTILE.INC(E2:E1001,3)</f>
        <v>39</v>
      </c>
      <c r="N16" t="s">
        <v>1421</v>
      </c>
      <c r="Q16" s="1">
        <v>0.64249395700337875</v>
      </c>
      <c r="R16" s="1">
        <v>2.503016530368618E-2</v>
      </c>
    </row>
    <row r="17" spans="1:18" x14ac:dyDescent="0.35">
      <c r="A17" t="s">
        <v>19</v>
      </c>
      <c r="B17" s="2">
        <f t="shared" si="0"/>
        <v>45574</v>
      </c>
      <c r="C17" s="3">
        <f t="shared" si="7"/>
        <v>-45574</v>
      </c>
      <c r="D17">
        <f t="shared" si="1"/>
        <v>793</v>
      </c>
      <c r="E17">
        <f t="shared" si="2"/>
        <v>26</v>
      </c>
      <c r="F17">
        <f t="shared" si="3"/>
        <v>4</v>
      </c>
      <c r="G17">
        <f t="shared" si="8"/>
        <v>4</v>
      </c>
      <c r="H17">
        <f t="shared" si="4"/>
        <v>4</v>
      </c>
      <c r="I17" s="4" t="str">
        <f t="shared" si="5"/>
        <v>444</v>
      </c>
      <c r="M17">
        <f>MAX(E2:E1001)</f>
        <v>50</v>
      </c>
      <c r="N17" t="s">
        <v>1422</v>
      </c>
      <c r="Q17" s="1">
        <v>0.95705825230199948</v>
      </c>
      <c r="R17" s="1">
        <v>0.51597277376300821</v>
      </c>
    </row>
    <row r="18" spans="1:18" x14ac:dyDescent="0.35">
      <c r="A18" t="s">
        <v>20</v>
      </c>
      <c r="B18" s="2">
        <f t="shared" si="0"/>
        <v>45300</v>
      </c>
      <c r="C18" s="3">
        <f t="shared" si="7"/>
        <v>-45300</v>
      </c>
      <c r="D18">
        <f t="shared" si="1"/>
        <v>61</v>
      </c>
      <c r="E18">
        <f t="shared" si="2"/>
        <v>2</v>
      </c>
      <c r="F18">
        <f t="shared" si="3"/>
        <v>1</v>
      </c>
      <c r="G18">
        <f t="shared" si="8"/>
        <v>1</v>
      </c>
      <c r="H18">
        <f t="shared" si="4"/>
        <v>1</v>
      </c>
      <c r="I18" s="4" t="str">
        <f t="shared" si="5"/>
        <v>111</v>
      </c>
      <c r="Q18" s="1">
        <v>0.21495791489405436</v>
      </c>
      <c r="R18" s="1">
        <v>1.4075779578826109E-2</v>
      </c>
    </row>
    <row r="19" spans="1:18" x14ac:dyDescent="0.35">
      <c r="A19" t="s">
        <v>21</v>
      </c>
      <c r="B19" s="2">
        <f t="shared" si="0"/>
        <v>45343</v>
      </c>
      <c r="C19" s="3">
        <f t="shared" si="7"/>
        <v>-45343</v>
      </c>
      <c r="D19">
        <f t="shared" si="1"/>
        <v>176</v>
      </c>
      <c r="E19">
        <f t="shared" si="2"/>
        <v>6</v>
      </c>
      <c r="F19">
        <f t="shared" si="3"/>
        <v>1</v>
      </c>
      <c r="G19">
        <f t="shared" si="8"/>
        <v>1</v>
      </c>
      <c r="H19">
        <f t="shared" si="4"/>
        <v>1</v>
      </c>
      <c r="I19" s="4" t="str">
        <f t="shared" si="5"/>
        <v>111</v>
      </c>
      <c r="M19">
        <f>AVERAGE(E2:E1001)</f>
        <v>25.547000000000001</v>
      </c>
      <c r="N19" t="s">
        <v>1423</v>
      </c>
      <c r="Q19" s="1">
        <v>0.74435349401562345</v>
      </c>
      <c r="R19" s="1">
        <v>9.3097875732841784E-2</v>
      </c>
    </row>
    <row r="20" spans="1:18" x14ac:dyDescent="0.35">
      <c r="A20" t="s">
        <v>22</v>
      </c>
      <c r="B20" s="2">
        <f t="shared" si="0"/>
        <v>45442</v>
      </c>
      <c r="C20" s="3">
        <f t="shared" si="7"/>
        <v>-45442</v>
      </c>
      <c r="D20">
        <f t="shared" si="1"/>
        <v>442</v>
      </c>
      <c r="E20">
        <f t="shared" si="2"/>
        <v>14</v>
      </c>
      <c r="F20">
        <f t="shared" si="3"/>
        <v>2</v>
      </c>
      <c r="G20">
        <f t="shared" si="8"/>
        <v>2</v>
      </c>
      <c r="H20">
        <f t="shared" si="4"/>
        <v>2</v>
      </c>
      <c r="I20" s="4" t="str">
        <f t="shared" si="5"/>
        <v>222</v>
      </c>
      <c r="Q20" s="1">
        <v>0.55035758499648424</v>
      </c>
      <c r="R20" s="1">
        <v>0.27512442304029527</v>
      </c>
    </row>
    <row r="21" spans="1:18" x14ac:dyDescent="0.35">
      <c r="A21" t="s">
        <v>23</v>
      </c>
      <c r="B21" s="2">
        <f t="shared" si="0"/>
        <v>45587</v>
      </c>
      <c r="C21" s="3">
        <f t="shared" si="7"/>
        <v>-45587</v>
      </c>
      <c r="D21">
        <f t="shared" si="1"/>
        <v>829</v>
      </c>
      <c r="E21">
        <f t="shared" si="2"/>
        <v>27</v>
      </c>
      <c r="F21">
        <f t="shared" si="3"/>
        <v>4</v>
      </c>
      <c r="G21">
        <f t="shared" si="8"/>
        <v>4</v>
      </c>
      <c r="H21">
        <f t="shared" si="4"/>
        <v>4</v>
      </c>
      <c r="I21" s="4" t="str">
        <f t="shared" si="5"/>
        <v>444</v>
      </c>
      <c r="M21" t="s">
        <v>1426</v>
      </c>
      <c r="Q21" s="1">
        <v>0.22993888255920547</v>
      </c>
      <c r="R21" s="1">
        <v>0.54020156740471104</v>
      </c>
    </row>
    <row r="22" spans="1:18" x14ac:dyDescent="0.35">
      <c r="A22" t="s">
        <v>24</v>
      </c>
      <c r="B22" s="2">
        <f t="shared" si="0"/>
        <v>45584</v>
      </c>
      <c r="C22" s="3">
        <f t="shared" si="7"/>
        <v>-45584</v>
      </c>
      <c r="D22">
        <f t="shared" si="1"/>
        <v>820</v>
      </c>
      <c r="E22">
        <f t="shared" si="2"/>
        <v>27</v>
      </c>
      <c r="F22">
        <f t="shared" si="3"/>
        <v>4</v>
      </c>
      <c r="G22">
        <f t="shared" si="8"/>
        <v>4</v>
      </c>
      <c r="H22">
        <f t="shared" si="4"/>
        <v>4</v>
      </c>
      <c r="I22" s="4" t="str">
        <f t="shared" si="5"/>
        <v>444</v>
      </c>
      <c r="M22" t="s">
        <v>1416</v>
      </c>
      <c r="N22" t="s">
        <v>1425</v>
      </c>
      <c r="Q22" s="1">
        <v>0.34735916341401762</v>
      </c>
      <c r="R22" s="1">
        <v>0.53392763281421285</v>
      </c>
    </row>
    <row r="23" spans="1:18" x14ac:dyDescent="0.35">
      <c r="A23" t="s">
        <v>25</v>
      </c>
      <c r="B23" s="2">
        <f t="shared" si="0"/>
        <v>45564</v>
      </c>
      <c r="C23" s="3">
        <f t="shared" si="7"/>
        <v>-45564</v>
      </c>
      <c r="D23">
        <f t="shared" si="1"/>
        <v>768</v>
      </c>
      <c r="E23">
        <f t="shared" si="2"/>
        <v>25</v>
      </c>
      <c r="F23">
        <f t="shared" si="3"/>
        <v>3</v>
      </c>
      <c r="G23">
        <f t="shared" si="8"/>
        <v>2</v>
      </c>
      <c r="H23">
        <f t="shared" si="4"/>
        <v>3</v>
      </c>
      <c r="I23" s="4" t="str">
        <f t="shared" si="5"/>
        <v>323</v>
      </c>
      <c r="M23">
        <f>MIN(D2:D1001)</f>
        <v>42</v>
      </c>
      <c r="N23" t="s">
        <v>1418</v>
      </c>
      <c r="Q23" s="1">
        <v>0.76416387362039639</v>
      </c>
      <c r="R23" s="1">
        <v>0.49856322515308327</v>
      </c>
    </row>
    <row r="24" spans="1:18" x14ac:dyDescent="0.35">
      <c r="A24" t="s">
        <v>26</v>
      </c>
      <c r="B24" s="2">
        <f t="shared" si="0"/>
        <v>45436</v>
      </c>
      <c r="C24" s="3">
        <f t="shared" si="7"/>
        <v>-45436</v>
      </c>
      <c r="D24">
        <f t="shared" si="1"/>
        <v>425</v>
      </c>
      <c r="E24">
        <f t="shared" si="2"/>
        <v>14</v>
      </c>
      <c r="F24">
        <f t="shared" si="3"/>
        <v>2</v>
      </c>
      <c r="G24">
        <f t="shared" si="8"/>
        <v>2</v>
      </c>
      <c r="H24">
        <f t="shared" si="4"/>
        <v>2</v>
      </c>
      <c r="I24" s="4" t="str">
        <f t="shared" si="5"/>
        <v>222</v>
      </c>
      <c r="M24">
        <f>_xlfn.QUARTILE.INC(D2:D1001,1)</f>
        <v>382</v>
      </c>
      <c r="N24" t="s">
        <v>1419</v>
      </c>
      <c r="Q24" s="1">
        <v>0.70989364569607794</v>
      </c>
      <c r="R24" s="1">
        <v>0.26383643207657925</v>
      </c>
    </row>
    <row r="25" spans="1:18" x14ac:dyDescent="0.35">
      <c r="A25" t="s">
        <v>27</v>
      </c>
      <c r="B25" s="2">
        <f t="shared" si="0"/>
        <v>45417</v>
      </c>
      <c r="C25" s="3">
        <f t="shared" si="7"/>
        <v>-45417</v>
      </c>
      <c r="D25">
        <f t="shared" si="1"/>
        <v>374</v>
      </c>
      <c r="E25">
        <f t="shared" si="2"/>
        <v>12</v>
      </c>
      <c r="F25">
        <f t="shared" si="3"/>
        <v>1</v>
      </c>
      <c r="G25">
        <f t="shared" si="8"/>
        <v>1</v>
      </c>
      <c r="H25">
        <f t="shared" si="4"/>
        <v>1</v>
      </c>
      <c r="I25" s="4" t="str">
        <f t="shared" si="5"/>
        <v>111</v>
      </c>
      <c r="M25">
        <f>_xlfn.QUARTILE.INC(D2:D1001,2)</f>
        <v>764.5</v>
      </c>
      <c r="N25" t="s">
        <v>1420</v>
      </c>
      <c r="Q25" s="1">
        <v>0.77033370946574953</v>
      </c>
      <c r="R25" s="1">
        <v>0.22909616621875539</v>
      </c>
    </row>
    <row r="26" spans="1:18" x14ac:dyDescent="0.35">
      <c r="A26" t="s">
        <v>28</v>
      </c>
      <c r="B26" s="2">
        <f t="shared" si="0"/>
        <v>45437</v>
      </c>
      <c r="C26" s="3">
        <f t="shared" si="7"/>
        <v>-45437</v>
      </c>
      <c r="D26">
        <f t="shared" si="1"/>
        <v>429</v>
      </c>
      <c r="E26">
        <f t="shared" si="2"/>
        <v>14</v>
      </c>
      <c r="F26">
        <f t="shared" si="3"/>
        <v>2</v>
      </c>
      <c r="G26">
        <f t="shared" si="8"/>
        <v>2</v>
      </c>
      <c r="H26">
        <f t="shared" si="4"/>
        <v>2</v>
      </c>
      <c r="I26" s="4" t="str">
        <f t="shared" si="5"/>
        <v>222</v>
      </c>
      <c r="M26">
        <f>_xlfn.QUARTILE.INC(D2:D1001,3)</f>
        <v>1160.25</v>
      </c>
      <c r="N26" t="s">
        <v>1421</v>
      </c>
      <c r="Q26" s="1">
        <v>0.66309019197312991</v>
      </c>
      <c r="R26" s="1">
        <v>0.26639252910885558</v>
      </c>
    </row>
    <row r="27" spans="1:18" x14ac:dyDescent="0.35">
      <c r="A27" t="s">
        <v>29</v>
      </c>
      <c r="B27" s="2">
        <f t="shared" si="0"/>
        <v>45583</v>
      </c>
      <c r="C27" s="3">
        <f t="shared" si="7"/>
        <v>-45583</v>
      </c>
      <c r="D27">
        <f t="shared" si="1"/>
        <v>817</v>
      </c>
      <c r="E27">
        <f t="shared" si="2"/>
        <v>27</v>
      </c>
      <c r="F27">
        <f t="shared" si="3"/>
        <v>4</v>
      </c>
      <c r="G27">
        <f t="shared" si="8"/>
        <v>4</v>
      </c>
      <c r="H27">
        <f t="shared" si="4"/>
        <v>4</v>
      </c>
      <c r="I27" s="4" t="str">
        <f t="shared" si="5"/>
        <v>444</v>
      </c>
      <c r="M27">
        <f>MAX(D2:D1001)</f>
        <v>1499</v>
      </c>
      <c r="N27" t="s">
        <v>1422</v>
      </c>
      <c r="Q27" s="1">
        <v>0.12758726441492318</v>
      </c>
      <c r="R27" s="1">
        <v>0.53209868819326434</v>
      </c>
    </row>
    <row r="28" spans="1:18" x14ac:dyDescent="0.35">
      <c r="A28" t="s">
        <v>30</v>
      </c>
      <c r="B28" s="2">
        <f t="shared" si="0"/>
        <v>45627</v>
      </c>
      <c r="C28" s="3">
        <f t="shared" si="7"/>
        <v>-45627</v>
      </c>
      <c r="D28">
        <f t="shared" si="1"/>
        <v>935</v>
      </c>
      <c r="E28">
        <f t="shared" si="2"/>
        <v>31</v>
      </c>
      <c r="F28">
        <f t="shared" si="3"/>
        <v>4</v>
      </c>
      <c r="G28">
        <f t="shared" si="8"/>
        <v>4</v>
      </c>
      <c r="H28">
        <f t="shared" si="4"/>
        <v>4</v>
      </c>
      <c r="I28" s="4" t="str">
        <f t="shared" si="5"/>
        <v>444</v>
      </c>
      <c r="Q28" s="1">
        <v>0.81164458278665463</v>
      </c>
      <c r="R28" s="1">
        <v>0.61317061185251276</v>
      </c>
    </row>
    <row r="29" spans="1:18" x14ac:dyDescent="0.35">
      <c r="A29" t="s">
        <v>31</v>
      </c>
      <c r="B29" s="2">
        <f t="shared" si="0"/>
        <v>45550</v>
      </c>
      <c r="C29" s="3">
        <f t="shared" si="7"/>
        <v>-45550</v>
      </c>
      <c r="D29">
        <f t="shared" si="1"/>
        <v>729</v>
      </c>
      <c r="E29">
        <f t="shared" si="2"/>
        <v>24</v>
      </c>
      <c r="F29">
        <f t="shared" si="3"/>
        <v>2</v>
      </c>
      <c r="G29">
        <f t="shared" si="8"/>
        <v>2</v>
      </c>
      <c r="H29">
        <f t="shared" si="4"/>
        <v>2</v>
      </c>
      <c r="I29" s="4" t="str">
        <f t="shared" si="5"/>
        <v>222</v>
      </c>
      <c r="M29">
        <f>AVERAGE(D2:D1001)</f>
        <v>771.69899999999996</v>
      </c>
      <c r="N29" t="s">
        <v>1423</v>
      </c>
      <c r="Q29" s="1">
        <v>0.71168991550851746</v>
      </c>
      <c r="R29" s="1">
        <v>0.47189299708186583</v>
      </c>
    </row>
    <row r="30" spans="1:18" x14ac:dyDescent="0.35">
      <c r="A30" t="s">
        <v>32</v>
      </c>
      <c r="B30" s="2">
        <f t="shared" si="0"/>
        <v>45417</v>
      </c>
      <c r="C30" s="3">
        <f t="shared" si="7"/>
        <v>-45417</v>
      </c>
      <c r="D30">
        <f t="shared" si="1"/>
        <v>375</v>
      </c>
      <c r="E30">
        <f t="shared" si="2"/>
        <v>12</v>
      </c>
      <c r="F30">
        <f t="shared" si="3"/>
        <v>1</v>
      </c>
      <c r="G30">
        <f t="shared" si="8"/>
        <v>1</v>
      </c>
      <c r="H30">
        <f t="shared" si="4"/>
        <v>1</v>
      </c>
      <c r="I30" s="4" t="str">
        <f t="shared" si="5"/>
        <v>111</v>
      </c>
      <c r="Q30" s="1">
        <v>0.71208143312316596</v>
      </c>
      <c r="R30" s="1">
        <v>0.229793426680303</v>
      </c>
    </row>
    <row r="31" spans="1:18" x14ac:dyDescent="0.35">
      <c r="A31" t="s">
        <v>33</v>
      </c>
      <c r="B31" s="2">
        <f t="shared" si="0"/>
        <v>45775</v>
      </c>
      <c r="C31" s="3">
        <f t="shared" si="7"/>
        <v>-45775</v>
      </c>
      <c r="D31">
        <f t="shared" si="1"/>
        <v>1332</v>
      </c>
      <c r="E31">
        <f t="shared" si="2"/>
        <v>44</v>
      </c>
      <c r="F31">
        <f t="shared" si="3"/>
        <v>5</v>
      </c>
      <c r="G31">
        <f t="shared" si="8"/>
        <v>5</v>
      </c>
      <c r="H31">
        <f t="shared" si="4"/>
        <v>5</v>
      </c>
      <c r="I31" s="4" t="str">
        <f t="shared" si="5"/>
        <v>555</v>
      </c>
      <c r="Q31" s="1">
        <v>0.83649282788430379</v>
      </c>
      <c r="R31" s="1">
        <v>0.88461015188193182</v>
      </c>
    </row>
    <row r="32" spans="1:18" x14ac:dyDescent="0.35">
      <c r="A32" t="s">
        <v>34</v>
      </c>
      <c r="B32" s="2">
        <f t="shared" si="0"/>
        <v>45823</v>
      </c>
      <c r="C32" s="3">
        <f t="shared" si="7"/>
        <v>-45823</v>
      </c>
      <c r="D32">
        <f t="shared" si="1"/>
        <v>1460</v>
      </c>
      <c r="E32">
        <f t="shared" si="2"/>
        <v>49</v>
      </c>
      <c r="F32">
        <f t="shared" si="3"/>
        <v>5</v>
      </c>
      <c r="G32">
        <f t="shared" si="8"/>
        <v>5</v>
      </c>
      <c r="H32">
        <f t="shared" si="4"/>
        <v>5</v>
      </c>
      <c r="I32" s="4" t="str">
        <f t="shared" si="5"/>
        <v>555</v>
      </c>
      <c r="M32" t="s">
        <v>1428</v>
      </c>
      <c r="Q32" s="1">
        <v>0.83473800219235206</v>
      </c>
      <c r="R32" s="1">
        <v>0.97277135245601931</v>
      </c>
    </row>
    <row r="33" spans="1:18" x14ac:dyDescent="0.35">
      <c r="A33" t="s">
        <v>35</v>
      </c>
      <c r="B33" s="2">
        <f t="shared" si="0"/>
        <v>45346</v>
      </c>
      <c r="C33" s="3">
        <f t="shared" si="7"/>
        <v>-45346</v>
      </c>
      <c r="D33">
        <f t="shared" si="1"/>
        <v>183</v>
      </c>
      <c r="E33">
        <f t="shared" si="2"/>
        <v>6</v>
      </c>
      <c r="F33">
        <f t="shared" si="3"/>
        <v>1</v>
      </c>
      <c r="G33">
        <f t="shared" si="8"/>
        <v>1</v>
      </c>
      <c r="H33">
        <f t="shared" si="4"/>
        <v>1</v>
      </c>
      <c r="I33" s="4" t="str">
        <f t="shared" si="5"/>
        <v>111</v>
      </c>
      <c r="Q33" s="1">
        <v>0.73007974051123303</v>
      </c>
      <c r="R33" s="1">
        <v>9.8229048192362667E-2</v>
      </c>
    </row>
    <row r="34" spans="1:18" x14ac:dyDescent="0.35">
      <c r="A34" t="s">
        <v>36</v>
      </c>
      <c r="B34" s="2">
        <f t="shared" si="0"/>
        <v>45466</v>
      </c>
      <c r="C34" s="3">
        <f t="shared" si="7"/>
        <v>-45466</v>
      </c>
      <c r="D34">
        <f t="shared" si="1"/>
        <v>505</v>
      </c>
      <c r="E34">
        <f t="shared" si="2"/>
        <v>17</v>
      </c>
      <c r="F34">
        <f t="shared" si="3"/>
        <v>2</v>
      </c>
      <c r="G34">
        <f t="shared" si="8"/>
        <v>2</v>
      </c>
      <c r="H34">
        <f t="shared" si="4"/>
        <v>2</v>
      </c>
      <c r="I34" s="4" t="str">
        <f t="shared" si="5"/>
        <v>222</v>
      </c>
      <c r="Q34" s="1">
        <v>0.31955388734343393</v>
      </c>
      <c r="R34" s="1">
        <v>0.31816378437621717</v>
      </c>
    </row>
    <row r="35" spans="1:18" x14ac:dyDescent="0.35">
      <c r="A35" t="s">
        <v>37</v>
      </c>
      <c r="B35" s="2">
        <f t="shared" si="0"/>
        <v>45748</v>
      </c>
      <c r="C35" s="3">
        <f t="shared" si="7"/>
        <v>-45748</v>
      </c>
      <c r="D35">
        <f t="shared" si="1"/>
        <v>1259</v>
      </c>
      <c r="E35">
        <f t="shared" si="2"/>
        <v>42</v>
      </c>
      <c r="F35">
        <f t="shared" si="3"/>
        <v>5</v>
      </c>
      <c r="G35">
        <f t="shared" si="8"/>
        <v>5</v>
      </c>
      <c r="H35">
        <f t="shared" si="4"/>
        <v>5</v>
      </c>
      <c r="I35" s="4" t="str">
        <f t="shared" si="5"/>
        <v>555</v>
      </c>
      <c r="Q35" s="1">
        <v>0.21279293909362518</v>
      </c>
      <c r="R35" s="1">
        <v>0.83481371148772032</v>
      </c>
    </row>
    <row r="36" spans="1:18" x14ac:dyDescent="0.35">
      <c r="A36" t="s">
        <v>38</v>
      </c>
      <c r="B36" s="2">
        <f t="shared" si="0"/>
        <v>45808</v>
      </c>
      <c r="C36" s="3">
        <f t="shared" si="7"/>
        <v>-45808</v>
      </c>
      <c r="D36">
        <f t="shared" si="1"/>
        <v>1419</v>
      </c>
      <c r="E36">
        <f t="shared" si="2"/>
        <v>47</v>
      </c>
      <c r="F36">
        <f t="shared" si="3"/>
        <v>5</v>
      </c>
      <c r="G36">
        <f t="shared" si="8"/>
        <v>5</v>
      </c>
      <c r="H36">
        <f t="shared" si="4"/>
        <v>5</v>
      </c>
      <c r="I36" s="4" t="str">
        <f t="shared" si="5"/>
        <v>555</v>
      </c>
      <c r="Q36" s="1">
        <v>0.48886702525897607</v>
      </c>
      <c r="R36" s="1">
        <v>0.94485189244890755</v>
      </c>
    </row>
    <row r="37" spans="1:18" x14ac:dyDescent="0.35">
      <c r="A37" t="s">
        <v>39</v>
      </c>
      <c r="B37" s="2">
        <f t="shared" si="0"/>
        <v>45325</v>
      </c>
      <c r="C37" s="3">
        <f t="shared" si="7"/>
        <v>-45325</v>
      </c>
      <c r="D37">
        <f t="shared" si="1"/>
        <v>129</v>
      </c>
      <c r="E37">
        <f t="shared" si="2"/>
        <v>4</v>
      </c>
      <c r="F37">
        <f t="shared" si="3"/>
        <v>1</v>
      </c>
      <c r="G37">
        <f t="shared" si="8"/>
        <v>1</v>
      </c>
      <c r="H37">
        <f t="shared" si="4"/>
        <v>1</v>
      </c>
      <c r="I37" s="4" t="str">
        <f t="shared" si="5"/>
        <v>111</v>
      </c>
      <c r="Q37" s="1">
        <v>0.18501316335155948</v>
      </c>
      <c r="R37" s="1">
        <v>6.1204360810011682E-2</v>
      </c>
    </row>
    <row r="38" spans="1:18" x14ac:dyDescent="0.35">
      <c r="A38" t="s">
        <v>40</v>
      </c>
      <c r="B38" s="2">
        <f t="shared" si="0"/>
        <v>45573</v>
      </c>
      <c r="C38" s="3">
        <f t="shared" si="7"/>
        <v>-45573</v>
      </c>
      <c r="D38">
        <f t="shared" si="1"/>
        <v>792</v>
      </c>
      <c r="E38">
        <f t="shared" si="2"/>
        <v>26</v>
      </c>
      <c r="F38">
        <f t="shared" si="3"/>
        <v>4</v>
      </c>
      <c r="G38">
        <f t="shared" si="8"/>
        <v>4</v>
      </c>
      <c r="H38">
        <f t="shared" si="4"/>
        <v>4</v>
      </c>
      <c r="I38" s="4" t="str">
        <f t="shared" si="5"/>
        <v>444</v>
      </c>
      <c r="Q38" s="1">
        <v>0.4058015088135698</v>
      </c>
      <c r="R38" s="1">
        <v>0.51488872691322585</v>
      </c>
    </row>
    <row r="39" spans="1:18" x14ac:dyDescent="0.35">
      <c r="A39" t="s">
        <v>41</v>
      </c>
      <c r="B39" s="2">
        <f t="shared" si="0"/>
        <v>45453</v>
      </c>
      <c r="C39" s="3">
        <f t="shared" si="7"/>
        <v>-45453</v>
      </c>
      <c r="D39">
        <f t="shared" si="1"/>
        <v>469</v>
      </c>
      <c r="E39">
        <f t="shared" si="2"/>
        <v>15</v>
      </c>
      <c r="F39">
        <f t="shared" si="3"/>
        <v>2</v>
      </c>
      <c r="G39">
        <f t="shared" si="8"/>
        <v>2</v>
      </c>
      <c r="H39">
        <f t="shared" si="4"/>
        <v>2</v>
      </c>
      <c r="I39" s="4" t="str">
        <f t="shared" si="5"/>
        <v>222</v>
      </c>
      <c r="Q39" s="1">
        <v>0.38181034797933822</v>
      </c>
      <c r="R39" s="1">
        <v>0.29398732327970345</v>
      </c>
    </row>
    <row r="40" spans="1:18" x14ac:dyDescent="0.35">
      <c r="A40" t="s">
        <v>42</v>
      </c>
      <c r="B40" s="2">
        <f t="shared" si="0"/>
        <v>45393</v>
      </c>
      <c r="C40" s="3">
        <f t="shared" si="7"/>
        <v>-45393</v>
      </c>
      <c r="D40">
        <f t="shared" si="1"/>
        <v>311</v>
      </c>
      <c r="E40">
        <f t="shared" si="2"/>
        <v>10</v>
      </c>
      <c r="F40">
        <f t="shared" si="3"/>
        <v>1</v>
      </c>
      <c r="G40">
        <f t="shared" si="8"/>
        <v>1</v>
      </c>
      <c r="H40">
        <f t="shared" si="4"/>
        <v>1</v>
      </c>
      <c r="I40" s="4" t="str">
        <f t="shared" si="5"/>
        <v>111</v>
      </c>
      <c r="Q40" s="1">
        <v>0.44815775617668796</v>
      </c>
      <c r="R40" s="1">
        <v>0.18580895135660236</v>
      </c>
    </row>
    <row r="41" spans="1:18" x14ac:dyDescent="0.35">
      <c r="A41" t="s">
        <v>43</v>
      </c>
      <c r="B41" s="2">
        <f t="shared" si="0"/>
        <v>45508</v>
      </c>
      <c r="C41" s="3">
        <f t="shared" si="7"/>
        <v>-45508</v>
      </c>
      <c r="D41">
        <f t="shared" si="1"/>
        <v>617</v>
      </c>
      <c r="E41">
        <f t="shared" si="2"/>
        <v>20</v>
      </c>
      <c r="F41">
        <f t="shared" si="3"/>
        <v>2</v>
      </c>
      <c r="G41">
        <f t="shared" si="8"/>
        <v>2</v>
      </c>
      <c r="H41">
        <f t="shared" si="4"/>
        <v>2</v>
      </c>
      <c r="I41" s="4" t="str">
        <f t="shared" si="5"/>
        <v>222</v>
      </c>
      <c r="Q41" s="1">
        <v>0.80537718617745024</v>
      </c>
      <c r="R41" s="1">
        <v>0.39503954718815171</v>
      </c>
    </row>
    <row r="42" spans="1:18" x14ac:dyDescent="0.35">
      <c r="A42" t="s">
        <v>44</v>
      </c>
      <c r="B42" s="2">
        <f t="shared" si="0"/>
        <v>45365</v>
      </c>
      <c r="C42" s="3">
        <f t="shared" si="7"/>
        <v>-45365</v>
      </c>
      <c r="D42">
        <f t="shared" si="1"/>
        <v>236</v>
      </c>
      <c r="E42">
        <f t="shared" si="2"/>
        <v>8</v>
      </c>
      <c r="F42">
        <f t="shared" si="3"/>
        <v>1</v>
      </c>
      <c r="G42">
        <f t="shared" si="8"/>
        <v>1</v>
      </c>
      <c r="H42">
        <f t="shared" si="4"/>
        <v>1</v>
      </c>
      <c r="I42" s="4" t="str">
        <f t="shared" si="5"/>
        <v>111</v>
      </c>
      <c r="Q42" s="1">
        <v>0.86021884486083311</v>
      </c>
      <c r="R42" s="1">
        <v>0.13456337908324045</v>
      </c>
    </row>
    <row r="43" spans="1:18" x14ac:dyDescent="0.35">
      <c r="A43" t="s">
        <v>45</v>
      </c>
      <c r="B43" s="2">
        <f t="shared" si="0"/>
        <v>45705</v>
      </c>
      <c r="C43" s="3">
        <f t="shared" si="7"/>
        <v>-45705</v>
      </c>
      <c r="D43">
        <f t="shared" si="1"/>
        <v>1143</v>
      </c>
      <c r="E43">
        <f t="shared" si="2"/>
        <v>38</v>
      </c>
      <c r="F43">
        <f t="shared" si="3"/>
        <v>4</v>
      </c>
      <c r="G43">
        <f t="shared" si="8"/>
        <v>4</v>
      </c>
      <c r="H43">
        <f t="shared" si="4"/>
        <v>4</v>
      </c>
      <c r="I43" s="4" t="str">
        <f t="shared" si="5"/>
        <v>444</v>
      </c>
      <c r="Q43" s="1">
        <v>0.4396715488845262</v>
      </c>
      <c r="R43" s="1">
        <v>0.75570434260981467</v>
      </c>
    </row>
    <row r="44" spans="1:18" x14ac:dyDescent="0.35">
      <c r="A44" t="s">
        <v>46</v>
      </c>
      <c r="B44" s="2">
        <f t="shared" si="0"/>
        <v>45827</v>
      </c>
      <c r="C44" s="3">
        <f t="shared" si="7"/>
        <v>-45827</v>
      </c>
      <c r="D44">
        <f t="shared" si="1"/>
        <v>1470</v>
      </c>
      <c r="E44">
        <f t="shared" si="2"/>
        <v>49</v>
      </c>
      <c r="F44">
        <f t="shared" si="3"/>
        <v>5</v>
      </c>
      <c r="G44">
        <f t="shared" si="8"/>
        <v>5</v>
      </c>
      <c r="H44">
        <f t="shared" si="4"/>
        <v>5</v>
      </c>
      <c r="I44" s="4" t="str">
        <f t="shared" si="5"/>
        <v>555</v>
      </c>
      <c r="Q44" s="1">
        <v>0.85768421241054227</v>
      </c>
      <c r="R44" s="1">
        <v>0.97962893784449134</v>
      </c>
    </row>
    <row r="45" spans="1:18" x14ac:dyDescent="0.35">
      <c r="A45" t="s">
        <v>47</v>
      </c>
      <c r="B45" s="2">
        <f t="shared" si="0"/>
        <v>45512</v>
      </c>
      <c r="C45" s="3">
        <f t="shared" si="7"/>
        <v>-45512</v>
      </c>
      <c r="D45">
        <f t="shared" si="1"/>
        <v>628</v>
      </c>
      <c r="E45">
        <f t="shared" si="2"/>
        <v>21</v>
      </c>
      <c r="F45">
        <f t="shared" si="3"/>
        <v>2</v>
      </c>
      <c r="G45">
        <f t="shared" si="8"/>
        <v>2</v>
      </c>
      <c r="H45">
        <f t="shared" si="4"/>
        <v>2</v>
      </c>
      <c r="I45" s="4" t="str">
        <f t="shared" si="5"/>
        <v>222</v>
      </c>
      <c r="Q45" s="1">
        <v>0.72283468173214116</v>
      </c>
      <c r="R45" s="1">
        <v>0.40306390600693487</v>
      </c>
    </row>
    <row r="46" spans="1:18" x14ac:dyDescent="0.35">
      <c r="A46" t="s">
        <v>48</v>
      </c>
      <c r="B46" s="2">
        <f t="shared" si="0"/>
        <v>45402</v>
      </c>
      <c r="C46" s="3">
        <f t="shared" si="7"/>
        <v>-45402</v>
      </c>
      <c r="D46">
        <f t="shared" si="1"/>
        <v>335</v>
      </c>
      <c r="E46">
        <f t="shared" si="2"/>
        <v>11</v>
      </c>
      <c r="F46">
        <f t="shared" si="3"/>
        <v>1</v>
      </c>
      <c r="G46">
        <f t="shared" si="8"/>
        <v>1</v>
      </c>
      <c r="H46">
        <f t="shared" si="4"/>
        <v>1</v>
      </c>
      <c r="I46" s="4" t="str">
        <f t="shared" si="5"/>
        <v>111</v>
      </c>
      <c r="M46" t="s">
        <v>1429</v>
      </c>
      <c r="Q46" s="1">
        <v>0.26999381595733496</v>
      </c>
      <c r="R46" s="1">
        <v>0.20186020495139467</v>
      </c>
    </row>
    <row r="47" spans="1:18" x14ac:dyDescent="0.35">
      <c r="A47" t="s">
        <v>49</v>
      </c>
      <c r="B47" s="2">
        <f t="shared" si="0"/>
        <v>45576</v>
      </c>
      <c r="C47" s="3">
        <f t="shared" si="7"/>
        <v>-45576</v>
      </c>
      <c r="D47">
        <f t="shared" si="1"/>
        <v>799</v>
      </c>
      <c r="E47">
        <f t="shared" si="2"/>
        <v>26</v>
      </c>
      <c r="F47">
        <f t="shared" si="3"/>
        <v>4</v>
      </c>
      <c r="G47">
        <f t="shared" si="8"/>
        <v>4</v>
      </c>
      <c r="H47">
        <f t="shared" si="4"/>
        <v>4</v>
      </c>
      <c r="I47" s="4" t="str">
        <f t="shared" si="5"/>
        <v>444</v>
      </c>
      <c r="Q47" s="1">
        <v>0.5843228640725604</v>
      </c>
      <c r="R47" s="1">
        <v>0.51997087866430414</v>
      </c>
    </row>
    <row r="48" spans="1:18" x14ac:dyDescent="0.35">
      <c r="A48" t="s">
        <v>50</v>
      </c>
      <c r="B48" s="2">
        <f t="shared" si="0"/>
        <v>45453</v>
      </c>
      <c r="C48" s="3">
        <f t="shared" si="7"/>
        <v>-45453</v>
      </c>
      <c r="D48">
        <f t="shared" si="1"/>
        <v>470</v>
      </c>
      <c r="E48">
        <f t="shared" si="2"/>
        <v>15</v>
      </c>
      <c r="F48">
        <f t="shared" si="3"/>
        <v>2</v>
      </c>
      <c r="G48">
        <f t="shared" si="8"/>
        <v>2</v>
      </c>
      <c r="H48">
        <f t="shared" si="4"/>
        <v>2</v>
      </c>
      <c r="I48" s="4" t="str">
        <f t="shared" si="5"/>
        <v>222</v>
      </c>
      <c r="Q48" s="1">
        <v>0.65272385266140587</v>
      </c>
      <c r="R48" s="1">
        <v>0.29421455362994886</v>
      </c>
    </row>
    <row r="49" spans="1:18" x14ac:dyDescent="0.35">
      <c r="A49" t="s">
        <v>51</v>
      </c>
      <c r="B49" s="2">
        <f t="shared" si="0"/>
        <v>45355</v>
      </c>
      <c r="C49" s="3">
        <f t="shared" si="7"/>
        <v>-45355</v>
      </c>
      <c r="D49">
        <f t="shared" si="1"/>
        <v>208</v>
      </c>
      <c r="E49">
        <f t="shared" si="2"/>
        <v>7</v>
      </c>
      <c r="F49">
        <f t="shared" si="3"/>
        <v>1</v>
      </c>
      <c r="G49">
        <f t="shared" si="8"/>
        <v>1</v>
      </c>
      <c r="H49">
        <f t="shared" si="4"/>
        <v>1</v>
      </c>
      <c r="I49" s="4" t="str">
        <f t="shared" si="5"/>
        <v>111</v>
      </c>
      <c r="Q49" s="1">
        <v>0.21052160103296491</v>
      </c>
      <c r="R49" s="1">
        <v>0.11493218069644717</v>
      </c>
    </row>
    <row r="50" spans="1:18" x14ac:dyDescent="0.35">
      <c r="A50" t="s">
        <v>52</v>
      </c>
      <c r="B50" s="2">
        <f t="shared" si="0"/>
        <v>45453</v>
      </c>
      <c r="C50" s="3">
        <f t="shared" si="7"/>
        <v>-45453</v>
      </c>
      <c r="D50">
        <f t="shared" si="1"/>
        <v>472</v>
      </c>
      <c r="E50">
        <f t="shared" si="2"/>
        <v>15</v>
      </c>
      <c r="F50">
        <f t="shared" si="3"/>
        <v>2</v>
      </c>
      <c r="G50">
        <f t="shared" si="8"/>
        <v>2</v>
      </c>
      <c r="H50">
        <f t="shared" si="4"/>
        <v>2</v>
      </c>
      <c r="I50" s="4" t="str">
        <f t="shared" si="5"/>
        <v>222</v>
      </c>
      <c r="Q50" s="1">
        <v>0.92159932387527066</v>
      </c>
      <c r="R50" s="1">
        <v>0.29578277988911972</v>
      </c>
    </row>
    <row r="51" spans="1:18" x14ac:dyDescent="0.35">
      <c r="A51" t="s">
        <v>53</v>
      </c>
      <c r="B51" s="2">
        <f t="shared" si="0"/>
        <v>45398</v>
      </c>
      <c r="C51" s="3">
        <f t="shared" si="7"/>
        <v>-45398</v>
      </c>
      <c r="D51">
        <f t="shared" si="1"/>
        <v>323</v>
      </c>
      <c r="E51">
        <f t="shared" si="2"/>
        <v>11</v>
      </c>
      <c r="F51">
        <f t="shared" si="3"/>
        <v>1</v>
      </c>
      <c r="G51">
        <f t="shared" si="8"/>
        <v>1</v>
      </c>
      <c r="H51">
        <f t="shared" si="4"/>
        <v>1</v>
      </c>
      <c r="I51" s="4" t="str">
        <f t="shared" si="5"/>
        <v>111</v>
      </c>
      <c r="Q51" s="1">
        <v>0.91237495980359162</v>
      </c>
      <c r="R51" s="1">
        <v>0.19412696391305706</v>
      </c>
    </row>
    <row r="52" spans="1:18" x14ac:dyDescent="0.35">
      <c r="A52" t="s">
        <v>54</v>
      </c>
      <c r="B52" s="2">
        <f t="shared" si="0"/>
        <v>45790</v>
      </c>
      <c r="C52" s="3">
        <f t="shared" si="7"/>
        <v>-45790</v>
      </c>
      <c r="D52">
        <f t="shared" si="1"/>
        <v>1373</v>
      </c>
      <c r="E52">
        <f t="shared" si="2"/>
        <v>46</v>
      </c>
      <c r="F52">
        <f t="shared" si="3"/>
        <v>5</v>
      </c>
      <c r="G52">
        <f t="shared" si="8"/>
        <v>5</v>
      </c>
      <c r="H52">
        <f t="shared" si="4"/>
        <v>5</v>
      </c>
      <c r="I52" s="4" t="str">
        <f t="shared" si="5"/>
        <v>555</v>
      </c>
      <c r="Q52" s="1">
        <v>0.835587182157153</v>
      </c>
      <c r="R52" s="1">
        <v>0.91285880807480335</v>
      </c>
    </row>
    <row r="53" spans="1:18" x14ac:dyDescent="0.35">
      <c r="A53" t="s">
        <v>55</v>
      </c>
      <c r="B53" s="2">
        <f t="shared" si="0"/>
        <v>45416</v>
      </c>
      <c r="C53" s="3">
        <f t="shared" si="7"/>
        <v>-45416</v>
      </c>
      <c r="D53">
        <f t="shared" si="1"/>
        <v>372</v>
      </c>
      <c r="E53">
        <f t="shared" si="2"/>
        <v>12</v>
      </c>
      <c r="F53">
        <f t="shared" si="3"/>
        <v>1</v>
      </c>
      <c r="G53">
        <f t="shared" si="8"/>
        <v>1</v>
      </c>
      <c r="H53">
        <f t="shared" si="4"/>
        <v>1</v>
      </c>
      <c r="I53" s="4" t="str">
        <f t="shared" si="5"/>
        <v>111</v>
      </c>
      <c r="Q53" s="1">
        <v>0.4605611084165997</v>
      </c>
      <c r="R53" s="1">
        <v>0.22747427057293246</v>
      </c>
    </row>
    <row r="54" spans="1:18" x14ac:dyDescent="0.35">
      <c r="A54" t="s">
        <v>56</v>
      </c>
      <c r="B54" s="2">
        <f t="shared" si="0"/>
        <v>45828</v>
      </c>
      <c r="C54" s="3">
        <f t="shared" si="7"/>
        <v>-45828</v>
      </c>
      <c r="D54">
        <f t="shared" si="1"/>
        <v>1474</v>
      </c>
      <c r="E54">
        <f t="shared" si="2"/>
        <v>49</v>
      </c>
      <c r="F54">
        <f t="shared" si="3"/>
        <v>5</v>
      </c>
      <c r="G54">
        <f t="shared" si="8"/>
        <v>5</v>
      </c>
      <c r="H54">
        <f t="shared" si="4"/>
        <v>5</v>
      </c>
      <c r="I54" s="4" t="str">
        <f t="shared" si="5"/>
        <v>555</v>
      </c>
      <c r="Q54" s="1">
        <v>0.21444942090738872</v>
      </c>
      <c r="R54" s="1">
        <v>0.98214746683383225</v>
      </c>
    </row>
    <row r="55" spans="1:18" x14ac:dyDescent="0.35">
      <c r="A55" t="s">
        <v>57</v>
      </c>
      <c r="B55" s="2">
        <f t="shared" si="0"/>
        <v>45664</v>
      </c>
      <c r="C55" s="3">
        <f t="shared" si="7"/>
        <v>-45664</v>
      </c>
      <c r="D55">
        <f t="shared" si="1"/>
        <v>1035</v>
      </c>
      <c r="E55">
        <f t="shared" si="2"/>
        <v>34</v>
      </c>
      <c r="F55">
        <f t="shared" si="3"/>
        <v>4</v>
      </c>
      <c r="G55">
        <f t="shared" si="8"/>
        <v>4</v>
      </c>
      <c r="H55">
        <f t="shared" si="4"/>
        <v>4</v>
      </c>
      <c r="I55" s="4" t="str">
        <f t="shared" si="5"/>
        <v>444</v>
      </c>
      <c r="Q55" s="1">
        <v>0.90099680229388623</v>
      </c>
      <c r="R55" s="1">
        <v>0.68128514041151411</v>
      </c>
    </row>
    <row r="56" spans="1:18" x14ac:dyDescent="0.35">
      <c r="A56" t="s">
        <v>58</v>
      </c>
      <c r="B56" s="2">
        <f t="shared" si="0"/>
        <v>45316</v>
      </c>
      <c r="C56" s="3">
        <f t="shared" si="7"/>
        <v>-45316</v>
      </c>
      <c r="D56">
        <f t="shared" si="1"/>
        <v>105</v>
      </c>
      <c r="E56">
        <f t="shared" si="2"/>
        <v>3</v>
      </c>
      <c r="F56">
        <f t="shared" si="3"/>
        <v>1</v>
      </c>
      <c r="G56">
        <f t="shared" si="8"/>
        <v>1</v>
      </c>
      <c r="H56">
        <f t="shared" si="4"/>
        <v>1</v>
      </c>
      <c r="I56" s="4" t="str">
        <f t="shared" si="5"/>
        <v>111</v>
      </c>
      <c r="Q56" s="1">
        <v>0.32485583733421652</v>
      </c>
      <c r="R56" s="1">
        <v>4.4471855057025111E-2</v>
      </c>
    </row>
    <row r="57" spans="1:18" x14ac:dyDescent="0.35">
      <c r="A57" t="s">
        <v>59</v>
      </c>
      <c r="B57" s="2">
        <f t="shared" si="0"/>
        <v>45457</v>
      </c>
      <c r="C57" s="3">
        <f t="shared" si="7"/>
        <v>-45457</v>
      </c>
      <c r="D57">
        <f t="shared" si="1"/>
        <v>481</v>
      </c>
      <c r="E57">
        <f t="shared" si="2"/>
        <v>16</v>
      </c>
      <c r="F57">
        <f t="shared" si="3"/>
        <v>2</v>
      </c>
      <c r="G57">
        <f t="shared" si="8"/>
        <v>2</v>
      </c>
      <c r="H57">
        <f t="shared" si="4"/>
        <v>2</v>
      </c>
      <c r="I57" s="4" t="str">
        <f t="shared" si="5"/>
        <v>222</v>
      </c>
      <c r="Q57" s="1">
        <v>0.46653391555519708</v>
      </c>
      <c r="R57" s="1">
        <v>0.30213792661399608</v>
      </c>
    </row>
    <row r="58" spans="1:18" x14ac:dyDescent="0.35">
      <c r="A58" t="s">
        <v>60</v>
      </c>
      <c r="B58" s="2">
        <f t="shared" si="0"/>
        <v>45815</v>
      </c>
      <c r="C58" s="3">
        <f t="shared" si="7"/>
        <v>-45815</v>
      </c>
      <c r="D58">
        <f t="shared" si="1"/>
        <v>1439</v>
      </c>
      <c r="E58">
        <f t="shared" si="2"/>
        <v>48</v>
      </c>
      <c r="F58">
        <f t="shared" si="3"/>
        <v>5</v>
      </c>
      <c r="G58">
        <f t="shared" si="8"/>
        <v>5</v>
      </c>
      <c r="H58">
        <f t="shared" si="4"/>
        <v>5</v>
      </c>
      <c r="I58" s="4" t="str">
        <f t="shared" si="5"/>
        <v>555</v>
      </c>
      <c r="M58" t="s">
        <v>1430</v>
      </c>
      <c r="Q58" s="1">
        <v>0.92695623349194989</v>
      </c>
      <c r="R58" s="1">
        <v>0.95838306297684839</v>
      </c>
    </row>
    <row r="59" spans="1:18" x14ac:dyDescent="0.35">
      <c r="A59" t="s">
        <v>61</v>
      </c>
      <c r="B59" s="2">
        <f t="shared" si="0"/>
        <v>45674</v>
      </c>
      <c r="C59" s="3">
        <f t="shared" si="7"/>
        <v>-45674</v>
      </c>
      <c r="D59">
        <f t="shared" si="1"/>
        <v>1061</v>
      </c>
      <c r="E59">
        <f t="shared" si="2"/>
        <v>35</v>
      </c>
      <c r="F59">
        <f t="shared" si="3"/>
        <v>4</v>
      </c>
      <c r="G59">
        <f t="shared" si="8"/>
        <v>4</v>
      </c>
      <c r="H59">
        <f t="shared" si="4"/>
        <v>4</v>
      </c>
      <c r="I59" s="4" t="str">
        <f t="shared" si="5"/>
        <v>444</v>
      </c>
      <c r="Q59" s="1">
        <v>0.96495376107048636</v>
      </c>
      <c r="R59" s="1">
        <v>0.69911195706301932</v>
      </c>
    </row>
    <row r="60" spans="1:18" x14ac:dyDescent="0.35">
      <c r="A60" t="s">
        <v>62</v>
      </c>
      <c r="B60" s="2">
        <f t="shared" si="0"/>
        <v>45643</v>
      </c>
      <c r="C60" s="3">
        <f t="shared" si="7"/>
        <v>-45643</v>
      </c>
      <c r="D60">
        <f t="shared" si="1"/>
        <v>978</v>
      </c>
      <c r="E60">
        <f t="shared" si="2"/>
        <v>32</v>
      </c>
      <c r="F60">
        <f t="shared" si="3"/>
        <v>4</v>
      </c>
      <c r="G60">
        <f t="shared" si="8"/>
        <v>4</v>
      </c>
      <c r="H60">
        <f t="shared" si="4"/>
        <v>4</v>
      </c>
      <c r="I60" s="4" t="str">
        <f t="shared" si="5"/>
        <v>444</v>
      </c>
      <c r="Q60" s="1">
        <v>0.79987025028224157</v>
      </c>
      <c r="R60" s="1">
        <v>0.64226578515163302</v>
      </c>
    </row>
    <row r="61" spans="1:18" x14ac:dyDescent="0.35">
      <c r="A61" t="s">
        <v>63</v>
      </c>
      <c r="B61" s="2">
        <f t="shared" si="0"/>
        <v>45761</v>
      </c>
      <c r="C61" s="3">
        <f t="shared" si="7"/>
        <v>-45761</v>
      </c>
      <c r="D61">
        <f t="shared" si="1"/>
        <v>1293</v>
      </c>
      <c r="E61">
        <f t="shared" si="2"/>
        <v>43</v>
      </c>
      <c r="F61">
        <f t="shared" si="3"/>
        <v>5</v>
      </c>
      <c r="G61">
        <f t="shared" si="8"/>
        <v>5</v>
      </c>
      <c r="H61">
        <f t="shared" si="4"/>
        <v>5</v>
      </c>
      <c r="I61" s="4" t="str">
        <f t="shared" si="5"/>
        <v>555</v>
      </c>
      <c r="Q61" s="1">
        <v>0.85891226604438176</v>
      </c>
      <c r="R61" s="1">
        <v>0.85854118622647746</v>
      </c>
    </row>
    <row r="62" spans="1:18" x14ac:dyDescent="0.35">
      <c r="A62" t="s">
        <v>64</v>
      </c>
      <c r="B62" s="2">
        <f t="shared" si="0"/>
        <v>45356</v>
      </c>
      <c r="C62" s="3">
        <f t="shared" si="7"/>
        <v>-45356</v>
      </c>
      <c r="D62">
        <f t="shared" si="1"/>
        <v>211</v>
      </c>
      <c r="E62">
        <f t="shared" si="2"/>
        <v>7</v>
      </c>
      <c r="F62">
        <f t="shared" si="3"/>
        <v>1</v>
      </c>
      <c r="G62">
        <f t="shared" si="8"/>
        <v>1</v>
      </c>
      <c r="H62">
        <f t="shared" si="4"/>
        <v>1</v>
      </c>
      <c r="I62" s="4" t="str">
        <f t="shared" si="5"/>
        <v>111</v>
      </c>
      <c r="Q62" s="1">
        <v>0.14068759870912828</v>
      </c>
      <c r="R62" s="1">
        <v>0.11723995906774631</v>
      </c>
    </row>
    <row r="63" spans="1:18" x14ac:dyDescent="0.35">
      <c r="A63" t="s">
        <v>65</v>
      </c>
      <c r="B63" s="2">
        <f t="shared" si="0"/>
        <v>45341</v>
      </c>
      <c r="C63" s="3">
        <f t="shared" si="7"/>
        <v>-45341</v>
      </c>
      <c r="D63">
        <f t="shared" si="1"/>
        <v>170</v>
      </c>
      <c r="E63">
        <f t="shared" si="2"/>
        <v>5</v>
      </c>
      <c r="F63">
        <f t="shared" si="3"/>
        <v>1</v>
      </c>
      <c r="G63">
        <f t="shared" si="8"/>
        <v>1</v>
      </c>
      <c r="H63">
        <f t="shared" si="4"/>
        <v>1</v>
      </c>
      <c r="I63" s="4" t="str">
        <f t="shared" si="5"/>
        <v>111</v>
      </c>
      <c r="Q63" s="1">
        <v>0.70779946294768137</v>
      </c>
      <c r="R63" s="1">
        <v>8.890495356545236E-2</v>
      </c>
    </row>
    <row r="64" spans="1:18" x14ac:dyDescent="0.35">
      <c r="A64" t="s">
        <v>66</v>
      </c>
      <c r="B64" s="2">
        <f t="shared" si="0"/>
        <v>45422</v>
      </c>
      <c r="C64" s="3">
        <f t="shared" si="7"/>
        <v>-45422</v>
      </c>
      <c r="D64">
        <f t="shared" si="1"/>
        <v>387</v>
      </c>
      <c r="E64">
        <f t="shared" si="2"/>
        <v>13</v>
      </c>
      <c r="F64">
        <f t="shared" si="3"/>
        <v>2</v>
      </c>
      <c r="G64">
        <f t="shared" si="8"/>
        <v>2</v>
      </c>
      <c r="H64">
        <f t="shared" si="4"/>
        <v>2</v>
      </c>
      <c r="I64" s="4" t="str">
        <f t="shared" si="5"/>
        <v>222</v>
      </c>
      <c r="Q64" s="1">
        <v>0.75942708945953552</v>
      </c>
      <c r="R64" s="1">
        <v>0.23794321868600921</v>
      </c>
    </row>
    <row r="65" spans="1:18" x14ac:dyDescent="0.35">
      <c r="A65" t="s">
        <v>67</v>
      </c>
      <c r="B65" s="2">
        <f t="shared" si="0"/>
        <v>45835</v>
      </c>
      <c r="C65" s="3">
        <f t="shared" si="7"/>
        <v>-45835</v>
      </c>
      <c r="D65">
        <f t="shared" si="1"/>
        <v>1491</v>
      </c>
      <c r="E65">
        <f t="shared" si="2"/>
        <v>50</v>
      </c>
      <c r="F65">
        <f t="shared" si="3"/>
        <v>5</v>
      </c>
      <c r="G65">
        <f t="shared" si="8"/>
        <v>5</v>
      </c>
      <c r="H65">
        <f t="shared" si="4"/>
        <v>5</v>
      </c>
      <c r="I65" s="4" t="str">
        <f t="shared" si="5"/>
        <v>555</v>
      </c>
      <c r="Q65" s="1">
        <v>0.36766680748208114</v>
      </c>
      <c r="R65" s="1">
        <v>0.9941469944859842</v>
      </c>
    </row>
    <row r="66" spans="1:18" x14ac:dyDescent="0.35">
      <c r="A66" t="s">
        <v>68</v>
      </c>
      <c r="B66" s="2">
        <f t="shared" si="0"/>
        <v>45593</v>
      </c>
      <c r="C66" s="3">
        <f t="shared" si="7"/>
        <v>-45593</v>
      </c>
      <c r="D66">
        <f t="shared" si="1"/>
        <v>845</v>
      </c>
      <c r="E66">
        <f t="shared" si="2"/>
        <v>28</v>
      </c>
      <c r="F66">
        <f t="shared" si="3"/>
        <v>4</v>
      </c>
      <c r="G66">
        <f t="shared" si="8"/>
        <v>4</v>
      </c>
      <c r="H66">
        <f t="shared" si="4"/>
        <v>4</v>
      </c>
      <c r="I66" s="4" t="str">
        <f t="shared" si="5"/>
        <v>444</v>
      </c>
      <c r="Q66" s="1">
        <v>0.54533277238920475</v>
      </c>
      <c r="R66" s="1">
        <v>0.5515957614844178</v>
      </c>
    </row>
    <row r="67" spans="1:18" x14ac:dyDescent="0.35">
      <c r="A67" t="s">
        <v>69</v>
      </c>
      <c r="B67" s="2">
        <f t="shared" ref="B67:B130" si="9">ROUND(R67*(45838-45292)+45292,0)</f>
        <v>45669</v>
      </c>
      <c r="C67" s="3">
        <f t="shared" si="7"/>
        <v>-45669</v>
      </c>
      <c r="D67">
        <f t="shared" ref="D67:D130" si="10">ROUND((R67)*(1500-40)+40,0)</f>
        <v>1049</v>
      </c>
      <c r="E67">
        <f t="shared" ref="E67:E130" si="11">ROUND((R67)*(50-1)+1,0)</f>
        <v>35</v>
      </c>
      <c r="F67">
        <f t="shared" ref="F67:F130" si="12">IF(C67&lt;=$M$4,5,IF(C67&lt;=$M$9,4,IF(C67&lt;=$M$5,3,IF(C67&lt;=$M$6,2,1))))</f>
        <v>4</v>
      </c>
      <c r="G67">
        <f t="shared" si="8"/>
        <v>4</v>
      </c>
      <c r="H67">
        <f t="shared" ref="H67:H130" si="13">IF(D67&lt;=$M$24,1,IF(D67&lt;=$M$25,2,IF(D67&lt;=$M$29,3,IF(D67&lt;=$M$26,4,5))))</f>
        <v>4</v>
      </c>
      <c r="I67" s="4" t="str">
        <f t="shared" ref="I67:I130" si="14">CONCATENATE(F67,G67,H67)</f>
        <v>444</v>
      </c>
      <c r="Q67" s="1">
        <v>0.85660237385290305</v>
      </c>
      <c r="R67" s="1">
        <v>0.6908772204629301</v>
      </c>
    </row>
    <row r="68" spans="1:18" x14ac:dyDescent="0.35">
      <c r="A68" t="s">
        <v>70</v>
      </c>
      <c r="B68" s="2">
        <f t="shared" si="9"/>
        <v>45346</v>
      </c>
      <c r="C68" s="3">
        <f t="shared" ref="C68:C131" si="15">$S$4-B68</f>
        <v>-45346</v>
      </c>
      <c r="D68">
        <f t="shared" si="10"/>
        <v>185</v>
      </c>
      <c r="E68">
        <f t="shared" si="11"/>
        <v>6</v>
      </c>
      <c r="F68">
        <f t="shared" si="12"/>
        <v>1</v>
      </c>
      <c r="G68">
        <f t="shared" ref="G68:G131" si="16">IF(E68&lt;=$M$14,1,IF(E68&lt;=$M$15,2,IF(E68&lt;=$M$19,3,IF(E68&lt;=$M$16,4,5))))</f>
        <v>1</v>
      </c>
      <c r="H68">
        <f t="shared" si="13"/>
        <v>1</v>
      </c>
      <c r="I68" s="4" t="str">
        <f t="shared" si="14"/>
        <v>111</v>
      </c>
      <c r="Q68" s="1">
        <v>0.86009882357631751</v>
      </c>
      <c r="R68" s="1">
        <v>9.9096964363756368E-2</v>
      </c>
    </row>
    <row r="69" spans="1:18" x14ac:dyDescent="0.35">
      <c r="A69" t="s">
        <v>71</v>
      </c>
      <c r="B69" s="2">
        <f t="shared" si="9"/>
        <v>45613</v>
      </c>
      <c r="C69" s="3">
        <f t="shared" si="15"/>
        <v>-45613</v>
      </c>
      <c r="D69">
        <f t="shared" si="10"/>
        <v>899</v>
      </c>
      <c r="E69">
        <f t="shared" si="11"/>
        <v>30</v>
      </c>
      <c r="F69">
        <f t="shared" si="12"/>
        <v>4</v>
      </c>
      <c r="G69">
        <f t="shared" si="16"/>
        <v>4</v>
      </c>
      <c r="H69">
        <f t="shared" si="13"/>
        <v>4</v>
      </c>
      <c r="I69" s="4" t="str">
        <f t="shared" si="14"/>
        <v>444</v>
      </c>
      <c r="Q69" s="1">
        <v>0.86683196586269806</v>
      </c>
      <c r="R69" s="1">
        <v>0.58824294151849155</v>
      </c>
    </row>
    <row r="70" spans="1:18" x14ac:dyDescent="0.35">
      <c r="A70" t="s">
        <v>72</v>
      </c>
      <c r="B70" s="2">
        <f t="shared" si="9"/>
        <v>45516</v>
      </c>
      <c r="C70" s="3">
        <f t="shared" si="15"/>
        <v>-45516</v>
      </c>
      <c r="D70">
        <f t="shared" si="10"/>
        <v>639</v>
      </c>
      <c r="E70">
        <f t="shared" si="11"/>
        <v>21</v>
      </c>
      <c r="F70">
        <f t="shared" si="12"/>
        <v>2</v>
      </c>
      <c r="G70">
        <f t="shared" si="16"/>
        <v>2</v>
      </c>
      <c r="H70">
        <f t="shared" si="13"/>
        <v>2</v>
      </c>
      <c r="I70" s="4" t="str">
        <f t="shared" si="14"/>
        <v>222</v>
      </c>
      <c r="Q70" s="1">
        <v>0.46232950767820458</v>
      </c>
      <c r="R70" s="1">
        <v>0.41043626425693658</v>
      </c>
    </row>
    <row r="71" spans="1:18" x14ac:dyDescent="0.35">
      <c r="A71" t="s">
        <v>73</v>
      </c>
      <c r="B71" s="2">
        <f t="shared" si="9"/>
        <v>45780</v>
      </c>
      <c r="C71" s="3">
        <f t="shared" si="15"/>
        <v>-45780</v>
      </c>
      <c r="D71">
        <f t="shared" si="10"/>
        <v>1346</v>
      </c>
      <c r="E71">
        <f t="shared" si="11"/>
        <v>45</v>
      </c>
      <c r="F71">
        <f t="shared" si="12"/>
        <v>5</v>
      </c>
      <c r="G71">
        <f t="shared" si="16"/>
        <v>5</v>
      </c>
      <c r="H71">
        <f t="shared" si="13"/>
        <v>5</v>
      </c>
      <c r="I71" s="4" t="str">
        <f t="shared" si="14"/>
        <v>555</v>
      </c>
      <c r="Q71" s="1">
        <v>0.86756807153658788</v>
      </c>
      <c r="R71" s="1">
        <v>0.89431668112221274</v>
      </c>
    </row>
    <row r="72" spans="1:18" x14ac:dyDescent="0.35">
      <c r="A72" t="s">
        <v>74</v>
      </c>
      <c r="B72" s="2">
        <f t="shared" si="9"/>
        <v>45634</v>
      </c>
      <c r="C72" s="3">
        <f t="shared" si="15"/>
        <v>-45634</v>
      </c>
      <c r="D72">
        <f t="shared" si="10"/>
        <v>954</v>
      </c>
      <c r="E72">
        <f t="shared" si="11"/>
        <v>32</v>
      </c>
      <c r="F72">
        <f t="shared" si="12"/>
        <v>4</v>
      </c>
      <c r="G72">
        <f t="shared" si="16"/>
        <v>4</v>
      </c>
      <c r="H72">
        <f t="shared" si="13"/>
        <v>4</v>
      </c>
      <c r="I72" s="4" t="str">
        <f t="shared" si="14"/>
        <v>444</v>
      </c>
      <c r="Q72" s="1">
        <v>8.6129579511590282E-2</v>
      </c>
      <c r="R72" s="1">
        <v>0.62616577100180637</v>
      </c>
    </row>
    <row r="73" spans="1:18" x14ac:dyDescent="0.35">
      <c r="A73" t="s">
        <v>75</v>
      </c>
      <c r="B73" s="2">
        <f t="shared" si="9"/>
        <v>45390</v>
      </c>
      <c r="C73" s="3">
        <f t="shared" si="15"/>
        <v>-45390</v>
      </c>
      <c r="D73">
        <f t="shared" si="10"/>
        <v>303</v>
      </c>
      <c r="E73">
        <f t="shared" si="11"/>
        <v>10</v>
      </c>
      <c r="F73">
        <f t="shared" si="12"/>
        <v>1</v>
      </c>
      <c r="G73">
        <f t="shared" si="16"/>
        <v>1</v>
      </c>
      <c r="H73">
        <f t="shared" si="13"/>
        <v>1</v>
      </c>
      <c r="I73" s="4" t="str">
        <f t="shared" si="14"/>
        <v>111</v>
      </c>
      <c r="Q73" s="1">
        <v>0.2307093287684423</v>
      </c>
      <c r="R73" s="1">
        <v>0.17988505611802974</v>
      </c>
    </row>
    <row r="74" spans="1:18" x14ac:dyDescent="0.35">
      <c r="A74" t="s">
        <v>76</v>
      </c>
      <c r="B74" s="2">
        <f t="shared" si="9"/>
        <v>45719</v>
      </c>
      <c r="C74" s="3">
        <f t="shared" si="15"/>
        <v>-45719</v>
      </c>
      <c r="D74">
        <f t="shared" si="10"/>
        <v>1181</v>
      </c>
      <c r="E74">
        <f t="shared" si="11"/>
        <v>39</v>
      </c>
      <c r="F74">
        <f t="shared" si="12"/>
        <v>5</v>
      </c>
      <c r="G74">
        <f t="shared" si="16"/>
        <v>4</v>
      </c>
      <c r="H74">
        <f t="shared" si="13"/>
        <v>5</v>
      </c>
      <c r="I74" s="4" t="str">
        <f t="shared" si="14"/>
        <v>545</v>
      </c>
      <c r="Q74" s="1">
        <v>0.11659880794232513</v>
      </c>
      <c r="R74" s="1">
        <v>0.78181887463826449</v>
      </c>
    </row>
    <row r="75" spans="1:18" x14ac:dyDescent="0.35">
      <c r="A75" t="s">
        <v>77</v>
      </c>
      <c r="B75" s="2">
        <f t="shared" si="9"/>
        <v>45704</v>
      </c>
      <c r="C75" s="3">
        <f t="shared" si="15"/>
        <v>-45704</v>
      </c>
      <c r="D75">
        <f t="shared" si="10"/>
        <v>1142</v>
      </c>
      <c r="E75">
        <f t="shared" si="11"/>
        <v>38</v>
      </c>
      <c r="F75">
        <f t="shared" si="12"/>
        <v>4</v>
      </c>
      <c r="G75">
        <f t="shared" si="16"/>
        <v>4</v>
      </c>
      <c r="H75">
        <f t="shared" si="13"/>
        <v>4</v>
      </c>
      <c r="I75" s="4" t="str">
        <f t="shared" si="14"/>
        <v>444</v>
      </c>
      <c r="Q75" s="1">
        <v>0.69327778146026842</v>
      </c>
      <c r="R75" s="1">
        <v>0.75490656782152787</v>
      </c>
    </row>
    <row r="76" spans="1:18" x14ac:dyDescent="0.35">
      <c r="A76" t="s">
        <v>78</v>
      </c>
      <c r="B76" s="2">
        <f t="shared" si="9"/>
        <v>45825</v>
      </c>
      <c r="C76" s="3">
        <f t="shared" si="15"/>
        <v>-45825</v>
      </c>
      <c r="D76">
        <f t="shared" si="10"/>
        <v>1465</v>
      </c>
      <c r="E76">
        <f t="shared" si="11"/>
        <v>49</v>
      </c>
      <c r="F76">
        <f t="shared" si="12"/>
        <v>5</v>
      </c>
      <c r="G76">
        <f t="shared" si="16"/>
        <v>5</v>
      </c>
      <c r="H76">
        <f t="shared" si="13"/>
        <v>5</v>
      </c>
      <c r="I76" s="4" t="str">
        <f t="shared" si="14"/>
        <v>555</v>
      </c>
      <c r="Q76" s="1">
        <v>0.6483377946989185</v>
      </c>
      <c r="R76" s="1">
        <v>0.97623194366765464</v>
      </c>
    </row>
    <row r="77" spans="1:18" x14ac:dyDescent="0.35">
      <c r="A77" t="s">
        <v>79</v>
      </c>
      <c r="B77" s="2">
        <f t="shared" si="9"/>
        <v>45339</v>
      </c>
      <c r="C77" s="3">
        <f t="shared" si="15"/>
        <v>-45339</v>
      </c>
      <c r="D77">
        <f t="shared" si="10"/>
        <v>164</v>
      </c>
      <c r="E77">
        <f t="shared" si="11"/>
        <v>5</v>
      </c>
      <c r="F77">
        <f t="shared" si="12"/>
        <v>1</v>
      </c>
      <c r="G77">
        <f t="shared" si="16"/>
        <v>1</v>
      </c>
      <c r="H77">
        <f t="shared" si="13"/>
        <v>1</v>
      </c>
      <c r="I77" s="4" t="str">
        <f t="shared" si="14"/>
        <v>111</v>
      </c>
      <c r="Q77" s="1">
        <v>5.1392688181788548E-2</v>
      </c>
      <c r="R77" s="1">
        <v>8.5234803750306454E-2</v>
      </c>
    </row>
    <row r="78" spans="1:18" x14ac:dyDescent="0.35">
      <c r="A78" t="s">
        <v>80</v>
      </c>
      <c r="B78" s="2">
        <f t="shared" si="9"/>
        <v>45751</v>
      </c>
      <c r="C78" s="3">
        <f t="shared" si="15"/>
        <v>-45751</v>
      </c>
      <c r="D78">
        <f t="shared" si="10"/>
        <v>1267</v>
      </c>
      <c r="E78">
        <f t="shared" si="11"/>
        <v>42</v>
      </c>
      <c r="F78">
        <f t="shared" si="12"/>
        <v>5</v>
      </c>
      <c r="G78">
        <f t="shared" si="16"/>
        <v>5</v>
      </c>
      <c r="H78">
        <f t="shared" si="13"/>
        <v>5</v>
      </c>
      <c r="I78" s="4" t="str">
        <f t="shared" si="14"/>
        <v>555</v>
      </c>
      <c r="Q78" s="1">
        <v>0.71514510696260336</v>
      </c>
      <c r="R78" s="1">
        <v>0.84058691412923159</v>
      </c>
    </row>
    <row r="79" spans="1:18" x14ac:dyDescent="0.35">
      <c r="A79" t="s">
        <v>81</v>
      </c>
      <c r="B79" s="2">
        <f t="shared" si="9"/>
        <v>45772</v>
      </c>
      <c r="C79" s="3">
        <f t="shared" si="15"/>
        <v>-45772</v>
      </c>
      <c r="D79">
        <f t="shared" si="10"/>
        <v>1323</v>
      </c>
      <c r="E79">
        <f t="shared" si="11"/>
        <v>44</v>
      </c>
      <c r="F79">
        <f t="shared" si="12"/>
        <v>5</v>
      </c>
      <c r="G79">
        <f t="shared" si="16"/>
        <v>5</v>
      </c>
      <c r="H79">
        <f t="shared" si="13"/>
        <v>5</v>
      </c>
      <c r="I79" s="4" t="str">
        <f t="shared" si="14"/>
        <v>555</v>
      </c>
      <c r="Q79" s="1">
        <v>0.40441996753068332</v>
      </c>
      <c r="R79" s="1">
        <v>0.8785872438711031</v>
      </c>
    </row>
    <row r="80" spans="1:18" x14ac:dyDescent="0.35">
      <c r="A80" t="s">
        <v>82</v>
      </c>
      <c r="B80" s="2">
        <f t="shared" si="9"/>
        <v>45561</v>
      </c>
      <c r="C80" s="3">
        <f t="shared" si="15"/>
        <v>-45561</v>
      </c>
      <c r="D80">
        <f t="shared" si="10"/>
        <v>760</v>
      </c>
      <c r="E80">
        <f t="shared" si="11"/>
        <v>25</v>
      </c>
      <c r="F80">
        <f t="shared" si="12"/>
        <v>2</v>
      </c>
      <c r="G80">
        <f t="shared" si="16"/>
        <v>2</v>
      </c>
      <c r="H80">
        <f t="shared" si="13"/>
        <v>2</v>
      </c>
      <c r="I80" s="4" t="str">
        <f t="shared" si="14"/>
        <v>222</v>
      </c>
      <c r="Q80" s="1">
        <v>0.8060680682666389</v>
      </c>
      <c r="R80" s="1">
        <v>0.49304504860008613</v>
      </c>
    </row>
    <row r="81" spans="1:18" x14ac:dyDescent="0.35">
      <c r="A81" t="s">
        <v>83</v>
      </c>
      <c r="B81" s="2">
        <f t="shared" si="9"/>
        <v>45639</v>
      </c>
      <c r="C81" s="3">
        <f t="shared" si="15"/>
        <v>-45639</v>
      </c>
      <c r="D81">
        <f t="shared" si="10"/>
        <v>967</v>
      </c>
      <c r="E81">
        <f t="shared" si="11"/>
        <v>32</v>
      </c>
      <c r="F81">
        <f t="shared" si="12"/>
        <v>4</v>
      </c>
      <c r="G81">
        <f t="shared" si="16"/>
        <v>4</v>
      </c>
      <c r="H81">
        <f t="shared" si="13"/>
        <v>4</v>
      </c>
      <c r="I81" s="4" t="str">
        <f t="shared" si="14"/>
        <v>444</v>
      </c>
      <c r="Q81" s="1">
        <v>0.32419100967028702</v>
      </c>
      <c r="R81" s="1">
        <v>0.63495955145618532</v>
      </c>
    </row>
    <row r="82" spans="1:18" x14ac:dyDescent="0.35">
      <c r="A82" t="s">
        <v>84</v>
      </c>
      <c r="B82" s="2">
        <f t="shared" si="9"/>
        <v>45685</v>
      </c>
      <c r="C82" s="3">
        <f t="shared" si="15"/>
        <v>-45685</v>
      </c>
      <c r="D82">
        <f t="shared" si="10"/>
        <v>1091</v>
      </c>
      <c r="E82">
        <f t="shared" si="11"/>
        <v>36</v>
      </c>
      <c r="F82">
        <f t="shared" si="12"/>
        <v>4</v>
      </c>
      <c r="G82">
        <f t="shared" si="16"/>
        <v>4</v>
      </c>
      <c r="H82">
        <f t="shared" si="13"/>
        <v>4</v>
      </c>
      <c r="I82" s="4" t="str">
        <f t="shared" si="14"/>
        <v>444</v>
      </c>
      <c r="Q82" s="1">
        <v>0.86733140210046855</v>
      </c>
      <c r="R82" s="1">
        <v>0.72018252937423566</v>
      </c>
    </row>
    <row r="83" spans="1:18" x14ac:dyDescent="0.35">
      <c r="A83" t="s">
        <v>85</v>
      </c>
      <c r="B83" s="2">
        <f t="shared" si="9"/>
        <v>45484</v>
      </c>
      <c r="C83" s="3">
        <f t="shared" si="15"/>
        <v>-45484</v>
      </c>
      <c r="D83">
        <f t="shared" si="10"/>
        <v>552</v>
      </c>
      <c r="E83">
        <f t="shared" si="11"/>
        <v>18</v>
      </c>
      <c r="F83">
        <f t="shared" si="12"/>
        <v>2</v>
      </c>
      <c r="G83">
        <f t="shared" si="16"/>
        <v>2</v>
      </c>
      <c r="H83">
        <f t="shared" si="13"/>
        <v>2</v>
      </c>
      <c r="I83" s="4" t="str">
        <f t="shared" si="14"/>
        <v>222</v>
      </c>
      <c r="Q83" s="1">
        <v>0.91070917137824914</v>
      </c>
      <c r="R83" s="1">
        <v>0.35093459126224613</v>
      </c>
    </row>
    <row r="84" spans="1:18" x14ac:dyDescent="0.35">
      <c r="A84" t="s">
        <v>86</v>
      </c>
      <c r="B84" s="2">
        <f t="shared" si="9"/>
        <v>45511</v>
      </c>
      <c r="C84" s="3">
        <f t="shared" si="15"/>
        <v>-45511</v>
      </c>
      <c r="D84">
        <f t="shared" si="10"/>
        <v>627</v>
      </c>
      <c r="E84">
        <f t="shared" si="11"/>
        <v>21</v>
      </c>
      <c r="F84">
        <f t="shared" si="12"/>
        <v>2</v>
      </c>
      <c r="G84">
        <f t="shared" si="16"/>
        <v>2</v>
      </c>
      <c r="H84">
        <f t="shared" si="13"/>
        <v>2</v>
      </c>
      <c r="I84" s="4" t="str">
        <f t="shared" si="14"/>
        <v>222</v>
      </c>
      <c r="Q84" s="1">
        <v>0.78874697000112515</v>
      </c>
      <c r="R84" s="1">
        <v>0.40195993588848822</v>
      </c>
    </row>
    <row r="85" spans="1:18" x14ac:dyDescent="0.35">
      <c r="A85" t="s">
        <v>87</v>
      </c>
      <c r="B85" s="2">
        <f t="shared" si="9"/>
        <v>45768</v>
      </c>
      <c r="C85" s="3">
        <f t="shared" si="15"/>
        <v>-45768</v>
      </c>
      <c r="D85">
        <f t="shared" si="10"/>
        <v>1312</v>
      </c>
      <c r="E85">
        <f t="shared" si="11"/>
        <v>44</v>
      </c>
      <c r="F85">
        <f t="shared" si="12"/>
        <v>5</v>
      </c>
      <c r="G85">
        <f t="shared" si="16"/>
        <v>5</v>
      </c>
      <c r="H85">
        <f t="shared" si="13"/>
        <v>5</v>
      </c>
      <c r="I85" s="4" t="str">
        <f t="shared" si="14"/>
        <v>555</v>
      </c>
      <c r="Q85" s="1">
        <v>0.59609172201210614</v>
      </c>
      <c r="R85" s="1">
        <v>0.87125901947773943</v>
      </c>
    </row>
    <row r="86" spans="1:18" x14ac:dyDescent="0.35">
      <c r="A86" t="s">
        <v>88</v>
      </c>
      <c r="B86" s="2">
        <f t="shared" si="9"/>
        <v>45469</v>
      </c>
      <c r="C86" s="3">
        <f t="shared" si="15"/>
        <v>-45469</v>
      </c>
      <c r="D86">
        <f t="shared" si="10"/>
        <v>514</v>
      </c>
      <c r="E86">
        <f t="shared" si="11"/>
        <v>17</v>
      </c>
      <c r="F86">
        <f t="shared" si="12"/>
        <v>2</v>
      </c>
      <c r="G86">
        <f t="shared" si="16"/>
        <v>2</v>
      </c>
      <c r="H86">
        <f t="shared" si="13"/>
        <v>2</v>
      </c>
      <c r="I86" s="4" t="str">
        <f t="shared" si="14"/>
        <v>222</v>
      </c>
      <c r="Q86" s="1">
        <v>0.9501716674086671</v>
      </c>
      <c r="R86" s="1">
        <v>0.32445397041006274</v>
      </c>
    </row>
    <row r="87" spans="1:18" x14ac:dyDescent="0.35">
      <c r="A87" t="s">
        <v>89</v>
      </c>
      <c r="B87" s="2">
        <f t="shared" si="9"/>
        <v>45570</v>
      </c>
      <c r="C87" s="3">
        <f t="shared" si="15"/>
        <v>-45570</v>
      </c>
      <c r="D87">
        <f t="shared" si="10"/>
        <v>784</v>
      </c>
      <c r="E87">
        <f t="shared" si="11"/>
        <v>26</v>
      </c>
      <c r="F87">
        <f t="shared" si="12"/>
        <v>4</v>
      </c>
      <c r="G87">
        <f t="shared" si="16"/>
        <v>4</v>
      </c>
      <c r="H87">
        <f t="shared" si="13"/>
        <v>4</v>
      </c>
      <c r="I87" s="4" t="str">
        <f t="shared" si="14"/>
        <v>444</v>
      </c>
      <c r="Q87" s="1">
        <v>0.23628666066046577</v>
      </c>
      <c r="R87" s="1">
        <v>0.50982021280953294</v>
      </c>
    </row>
    <row r="88" spans="1:18" x14ac:dyDescent="0.35">
      <c r="A88" t="s">
        <v>90</v>
      </c>
      <c r="B88" s="2">
        <f t="shared" si="9"/>
        <v>45688</v>
      </c>
      <c r="C88" s="3">
        <f t="shared" si="15"/>
        <v>-45688</v>
      </c>
      <c r="D88">
        <f t="shared" si="10"/>
        <v>1100</v>
      </c>
      <c r="E88">
        <f t="shared" si="11"/>
        <v>37</v>
      </c>
      <c r="F88">
        <f t="shared" si="12"/>
        <v>4</v>
      </c>
      <c r="G88">
        <f t="shared" si="16"/>
        <v>4</v>
      </c>
      <c r="H88">
        <f t="shared" si="13"/>
        <v>4</v>
      </c>
      <c r="I88" s="4" t="str">
        <f t="shared" si="14"/>
        <v>444</v>
      </c>
      <c r="Q88" s="1">
        <v>0.70156258366256596</v>
      </c>
      <c r="R88" s="1">
        <v>0.72578663309789238</v>
      </c>
    </row>
    <row r="89" spans="1:18" x14ac:dyDescent="0.35">
      <c r="A89" t="s">
        <v>91</v>
      </c>
      <c r="B89" s="2">
        <f t="shared" si="9"/>
        <v>45734</v>
      </c>
      <c r="C89" s="3">
        <f t="shared" si="15"/>
        <v>-45734</v>
      </c>
      <c r="D89">
        <f t="shared" si="10"/>
        <v>1222</v>
      </c>
      <c r="E89">
        <f t="shared" si="11"/>
        <v>41</v>
      </c>
      <c r="F89">
        <f t="shared" si="12"/>
        <v>5</v>
      </c>
      <c r="G89">
        <f t="shared" si="16"/>
        <v>5</v>
      </c>
      <c r="H89">
        <f t="shared" si="13"/>
        <v>5</v>
      </c>
      <c r="I89" s="4" t="str">
        <f t="shared" si="14"/>
        <v>555</v>
      </c>
      <c r="Q89" s="1">
        <v>0.5653966461261557</v>
      </c>
      <c r="R89" s="1">
        <v>0.80973458158678846</v>
      </c>
    </row>
    <row r="90" spans="1:18" x14ac:dyDescent="0.35">
      <c r="A90" t="s">
        <v>92</v>
      </c>
      <c r="B90" s="2">
        <f t="shared" si="9"/>
        <v>45441</v>
      </c>
      <c r="C90" s="3">
        <f t="shared" si="15"/>
        <v>-45441</v>
      </c>
      <c r="D90">
        <f t="shared" si="10"/>
        <v>440</v>
      </c>
      <c r="E90">
        <f t="shared" si="11"/>
        <v>14</v>
      </c>
      <c r="F90">
        <f t="shared" si="12"/>
        <v>2</v>
      </c>
      <c r="G90">
        <f t="shared" si="16"/>
        <v>2</v>
      </c>
      <c r="H90">
        <f t="shared" si="13"/>
        <v>2</v>
      </c>
      <c r="I90" s="4" t="str">
        <f t="shared" si="14"/>
        <v>222</v>
      </c>
      <c r="Q90" s="1">
        <v>3.0434660930587665E-2</v>
      </c>
      <c r="R90" s="1">
        <v>0.27369255686391303</v>
      </c>
    </row>
    <row r="91" spans="1:18" x14ac:dyDescent="0.35">
      <c r="A91" t="s">
        <v>93</v>
      </c>
      <c r="B91" s="2">
        <f t="shared" si="9"/>
        <v>45577</v>
      </c>
      <c r="C91" s="3">
        <f t="shared" si="15"/>
        <v>-45577</v>
      </c>
      <c r="D91">
        <f t="shared" si="10"/>
        <v>803</v>
      </c>
      <c r="E91">
        <f t="shared" si="11"/>
        <v>27</v>
      </c>
      <c r="F91">
        <f t="shared" si="12"/>
        <v>4</v>
      </c>
      <c r="G91">
        <f t="shared" si="16"/>
        <v>4</v>
      </c>
      <c r="H91">
        <f t="shared" si="13"/>
        <v>4</v>
      </c>
      <c r="I91" s="4" t="str">
        <f t="shared" si="14"/>
        <v>444</v>
      </c>
      <c r="Q91" s="1">
        <v>0.76828238794048109</v>
      </c>
      <c r="R91" s="1">
        <v>0.52268011710129747</v>
      </c>
    </row>
    <row r="92" spans="1:18" x14ac:dyDescent="0.35">
      <c r="A92" t="s">
        <v>94</v>
      </c>
      <c r="B92" s="2">
        <f t="shared" si="9"/>
        <v>45825</v>
      </c>
      <c r="C92" s="3">
        <f t="shared" si="15"/>
        <v>-45825</v>
      </c>
      <c r="D92">
        <f t="shared" si="10"/>
        <v>1466</v>
      </c>
      <c r="E92">
        <f t="shared" si="11"/>
        <v>49</v>
      </c>
      <c r="F92">
        <f t="shared" si="12"/>
        <v>5</v>
      </c>
      <c r="G92">
        <f t="shared" si="16"/>
        <v>5</v>
      </c>
      <c r="H92">
        <f t="shared" si="13"/>
        <v>5</v>
      </c>
      <c r="I92" s="4" t="str">
        <f t="shared" si="14"/>
        <v>555</v>
      </c>
      <c r="Q92" s="1">
        <v>0.30632971066611947</v>
      </c>
      <c r="R92" s="1">
        <v>0.97669642407437862</v>
      </c>
    </row>
    <row r="93" spans="1:18" x14ac:dyDescent="0.35">
      <c r="A93" t="s">
        <v>95</v>
      </c>
      <c r="B93" s="2">
        <f t="shared" si="9"/>
        <v>45566</v>
      </c>
      <c r="C93" s="3">
        <f t="shared" si="15"/>
        <v>-45566</v>
      </c>
      <c r="D93">
        <f t="shared" si="10"/>
        <v>773</v>
      </c>
      <c r="E93">
        <f t="shared" si="11"/>
        <v>26</v>
      </c>
      <c r="F93">
        <f t="shared" si="12"/>
        <v>4</v>
      </c>
      <c r="G93">
        <f t="shared" si="16"/>
        <v>4</v>
      </c>
      <c r="H93">
        <f t="shared" si="13"/>
        <v>4</v>
      </c>
      <c r="I93" s="4" t="str">
        <f t="shared" si="14"/>
        <v>444</v>
      </c>
      <c r="Q93" s="1">
        <v>0.46956514596690591</v>
      </c>
      <c r="R93" s="1">
        <v>0.50172472432777926</v>
      </c>
    </row>
    <row r="94" spans="1:18" x14ac:dyDescent="0.35">
      <c r="A94" t="s">
        <v>96</v>
      </c>
      <c r="B94" s="2">
        <f t="shared" si="9"/>
        <v>45579</v>
      </c>
      <c r="C94" s="3">
        <f t="shared" si="15"/>
        <v>-45579</v>
      </c>
      <c r="D94">
        <f t="shared" si="10"/>
        <v>809</v>
      </c>
      <c r="E94">
        <f t="shared" si="11"/>
        <v>27</v>
      </c>
      <c r="F94">
        <f t="shared" si="12"/>
        <v>4</v>
      </c>
      <c r="G94">
        <f t="shared" si="16"/>
        <v>4</v>
      </c>
      <c r="H94">
        <f t="shared" si="13"/>
        <v>4</v>
      </c>
      <c r="I94" s="4" t="str">
        <f t="shared" si="14"/>
        <v>444</v>
      </c>
      <c r="Q94" s="1">
        <v>0.75303834338476217</v>
      </c>
      <c r="R94" s="1">
        <v>0.52639569358224614</v>
      </c>
    </row>
    <row r="95" spans="1:18" x14ac:dyDescent="0.35">
      <c r="A95" t="s">
        <v>97</v>
      </c>
      <c r="B95" s="2">
        <f t="shared" si="9"/>
        <v>45829</v>
      </c>
      <c r="C95" s="3">
        <f t="shared" si="15"/>
        <v>-45829</v>
      </c>
      <c r="D95">
        <f t="shared" si="10"/>
        <v>1475</v>
      </c>
      <c r="E95">
        <f t="shared" si="11"/>
        <v>49</v>
      </c>
      <c r="F95">
        <f t="shared" si="12"/>
        <v>5</v>
      </c>
      <c r="G95">
        <f t="shared" si="16"/>
        <v>5</v>
      </c>
      <c r="H95">
        <f t="shared" si="13"/>
        <v>5</v>
      </c>
      <c r="I95" s="4" t="str">
        <f t="shared" si="14"/>
        <v>555</v>
      </c>
      <c r="Q95" s="1">
        <v>0.36266321402574131</v>
      </c>
      <c r="R95" s="1">
        <v>0.98320870405422189</v>
      </c>
    </row>
    <row r="96" spans="1:18" x14ac:dyDescent="0.35">
      <c r="A96" t="s">
        <v>98</v>
      </c>
      <c r="B96" s="2">
        <f t="shared" si="9"/>
        <v>45820</v>
      </c>
      <c r="C96" s="3">
        <f t="shared" si="15"/>
        <v>-45820</v>
      </c>
      <c r="D96">
        <f t="shared" si="10"/>
        <v>1453</v>
      </c>
      <c r="E96">
        <f t="shared" si="11"/>
        <v>48</v>
      </c>
      <c r="F96">
        <f t="shared" si="12"/>
        <v>5</v>
      </c>
      <c r="G96">
        <f t="shared" si="16"/>
        <v>5</v>
      </c>
      <c r="H96">
        <f t="shared" si="13"/>
        <v>5</v>
      </c>
      <c r="I96" s="4" t="str">
        <f t="shared" si="14"/>
        <v>555</v>
      </c>
      <c r="Q96" s="1">
        <v>0.97296319260087705</v>
      </c>
      <c r="R96" s="1">
        <v>0.96766400644165729</v>
      </c>
    </row>
    <row r="97" spans="1:18" x14ac:dyDescent="0.35">
      <c r="A97" t="s">
        <v>99</v>
      </c>
      <c r="B97" s="2">
        <f t="shared" si="9"/>
        <v>45472</v>
      </c>
      <c r="C97" s="3">
        <f t="shared" si="15"/>
        <v>-45472</v>
      </c>
      <c r="D97">
        <f t="shared" si="10"/>
        <v>521</v>
      </c>
      <c r="E97">
        <f t="shared" si="11"/>
        <v>17</v>
      </c>
      <c r="F97">
        <f t="shared" si="12"/>
        <v>2</v>
      </c>
      <c r="G97">
        <f t="shared" si="16"/>
        <v>2</v>
      </c>
      <c r="H97">
        <f t="shared" si="13"/>
        <v>2</v>
      </c>
      <c r="I97" s="4" t="str">
        <f t="shared" si="14"/>
        <v>222</v>
      </c>
      <c r="Q97" s="1">
        <v>0.72115318935933093</v>
      </c>
      <c r="R97" s="1">
        <v>0.32916668151003126</v>
      </c>
    </row>
    <row r="98" spans="1:18" x14ac:dyDescent="0.35">
      <c r="A98" t="s">
        <v>100</v>
      </c>
      <c r="B98" s="2">
        <f t="shared" si="9"/>
        <v>45563</v>
      </c>
      <c r="C98" s="3">
        <f t="shared" si="15"/>
        <v>-45563</v>
      </c>
      <c r="D98">
        <f t="shared" si="10"/>
        <v>765</v>
      </c>
      <c r="E98">
        <f t="shared" si="11"/>
        <v>25</v>
      </c>
      <c r="F98">
        <f t="shared" si="12"/>
        <v>3</v>
      </c>
      <c r="G98">
        <f t="shared" si="16"/>
        <v>2</v>
      </c>
      <c r="H98">
        <f t="shared" si="13"/>
        <v>3</v>
      </c>
      <c r="I98" s="4" t="str">
        <f t="shared" si="14"/>
        <v>323</v>
      </c>
      <c r="Q98" s="1">
        <v>0.24459926458247261</v>
      </c>
      <c r="R98" s="1">
        <v>0.4969064474599566</v>
      </c>
    </row>
    <row r="99" spans="1:18" x14ac:dyDescent="0.35">
      <c r="A99" t="s">
        <v>101</v>
      </c>
      <c r="B99" s="2">
        <f t="shared" si="9"/>
        <v>45722</v>
      </c>
      <c r="C99" s="3">
        <f t="shared" si="15"/>
        <v>-45722</v>
      </c>
      <c r="D99">
        <f t="shared" si="10"/>
        <v>1190</v>
      </c>
      <c r="E99">
        <f t="shared" si="11"/>
        <v>40</v>
      </c>
      <c r="F99">
        <f t="shared" si="12"/>
        <v>5</v>
      </c>
      <c r="G99">
        <f t="shared" si="16"/>
        <v>5</v>
      </c>
      <c r="H99">
        <f t="shared" si="13"/>
        <v>5</v>
      </c>
      <c r="I99" s="4" t="str">
        <f t="shared" si="14"/>
        <v>555</v>
      </c>
      <c r="Q99" s="1">
        <v>0.39905934262258269</v>
      </c>
      <c r="R99" s="1">
        <v>0.78792504470745539</v>
      </c>
    </row>
    <row r="100" spans="1:18" x14ac:dyDescent="0.35">
      <c r="A100" t="s">
        <v>102</v>
      </c>
      <c r="B100" s="2">
        <f t="shared" si="9"/>
        <v>45579</v>
      </c>
      <c r="C100" s="3">
        <f t="shared" si="15"/>
        <v>-45579</v>
      </c>
      <c r="D100">
        <f t="shared" si="10"/>
        <v>808</v>
      </c>
      <c r="E100">
        <f t="shared" si="11"/>
        <v>27</v>
      </c>
      <c r="F100">
        <f t="shared" si="12"/>
        <v>4</v>
      </c>
      <c r="G100">
        <f t="shared" si="16"/>
        <v>4</v>
      </c>
      <c r="H100">
        <f t="shared" si="13"/>
        <v>4</v>
      </c>
      <c r="I100" s="4" t="str">
        <f t="shared" si="14"/>
        <v>444</v>
      </c>
      <c r="Q100" s="1">
        <v>0.29051924560783815</v>
      </c>
      <c r="R100" s="1">
        <v>0.52615629398215924</v>
      </c>
    </row>
    <row r="101" spans="1:18" x14ac:dyDescent="0.35">
      <c r="A101" t="s">
        <v>103</v>
      </c>
      <c r="B101" s="2">
        <f t="shared" si="9"/>
        <v>45558</v>
      </c>
      <c r="C101" s="3">
        <f t="shared" si="15"/>
        <v>-45558</v>
      </c>
      <c r="D101">
        <f t="shared" si="10"/>
        <v>752</v>
      </c>
      <c r="E101">
        <f t="shared" si="11"/>
        <v>25</v>
      </c>
      <c r="F101">
        <f t="shared" si="12"/>
        <v>2</v>
      </c>
      <c r="G101">
        <f t="shared" si="16"/>
        <v>2</v>
      </c>
      <c r="H101">
        <f t="shared" si="13"/>
        <v>2</v>
      </c>
      <c r="I101" s="4" t="str">
        <f t="shared" si="14"/>
        <v>222</v>
      </c>
      <c r="Q101" s="1">
        <v>0.94866316926114103</v>
      </c>
      <c r="R101" s="1">
        <v>0.48784455708575536</v>
      </c>
    </row>
    <row r="102" spans="1:18" x14ac:dyDescent="0.35">
      <c r="A102" t="s">
        <v>104</v>
      </c>
      <c r="B102" s="2">
        <f t="shared" si="9"/>
        <v>45326</v>
      </c>
      <c r="C102" s="3">
        <f t="shared" si="15"/>
        <v>-45326</v>
      </c>
      <c r="D102">
        <f t="shared" si="10"/>
        <v>131</v>
      </c>
      <c r="E102">
        <f t="shared" si="11"/>
        <v>4</v>
      </c>
      <c r="F102">
        <f t="shared" si="12"/>
        <v>1</v>
      </c>
      <c r="G102">
        <f t="shared" si="16"/>
        <v>1</v>
      </c>
      <c r="H102">
        <f t="shared" si="13"/>
        <v>1</v>
      </c>
      <c r="I102" s="4" t="str">
        <f t="shared" si="14"/>
        <v>111</v>
      </c>
      <c r="Q102" s="1">
        <v>0.55893516062316972</v>
      </c>
      <c r="R102" s="1">
        <v>6.229855047437971E-2</v>
      </c>
    </row>
    <row r="103" spans="1:18" x14ac:dyDescent="0.35">
      <c r="A103" t="s">
        <v>105</v>
      </c>
      <c r="B103" s="2">
        <f t="shared" si="9"/>
        <v>45319</v>
      </c>
      <c r="C103" s="3">
        <f t="shared" si="15"/>
        <v>-45319</v>
      </c>
      <c r="D103">
        <f t="shared" si="10"/>
        <v>111</v>
      </c>
      <c r="E103">
        <f t="shared" si="11"/>
        <v>3</v>
      </c>
      <c r="F103">
        <f t="shared" si="12"/>
        <v>1</v>
      </c>
      <c r="G103">
        <f t="shared" si="16"/>
        <v>1</v>
      </c>
      <c r="H103">
        <f t="shared" si="13"/>
        <v>1</v>
      </c>
      <c r="I103" s="4" t="str">
        <f t="shared" si="14"/>
        <v>111</v>
      </c>
      <c r="Q103" s="1">
        <v>0.72662896063124749</v>
      </c>
      <c r="R103" s="1">
        <v>4.8669475325002876E-2</v>
      </c>
    </row>
    <row r="104" spans="1:18" x14ac:dyDescent="0.35">
      <c r="A104" t="s">
        <v>106</v>
      </c>
      <c r="B104" s="2">
        <f t="shared" si="9"/>
        <v>45729</v>
      </c>
      <c r="C104" s="3">
        <f t="shared" si="15"/>
        <v>-45729</v>
      </c>
      <c r="D104">
        <f t="shared" si="10"/>
        <v>1209</v>
      </c>
      <c r="E104">
        <f t="shared" si="11"/>
        <v>40</v>
      </c>
      <c r="F104">
        <f t="shared" si="12"/>
        <v>5</v>
      </c>
      <c r="G104">
        <f t="shared" si="16"/>
        <v>5</v>
      </c>
      <c r="H104">
        <f t="shared" si="13"/>
        <v>5</v>
      </c>
      <c r="I104" s="4" t="str">
        <f t="shared" si="14"/>
        <v>555</v>
      </c>
      <c r="Q104" s="1">
        <v>0.9887593842565916</v>
      </c>
      <c r="R104" s="1">
        <v>0.80079268092248612</v>
      </c>
    </row>
    <row r="105" spans="1:18" x14ac:dyDescent="0.35">
      <c r="A105" t="s">
        <v>107</v>
      </c>
      <c r="B105" s="2">
        <f t="shared" si="9"/>
        <v>45747</v>
      </c>
      <c r="C105" s="3">
        <f t="shared" si="15"/>
        <v>-45747</v>
      </c>
      <c r="D105">
        <f t="shared" si="10"/>
        <v>1256</v>
      </c>
      <c r="E105">
        <f t="shared" si="11"/>
        <v>42</v>
      </c>
      <c r="F105">
        <f t="shared" si="12"/>
        <v>5</v>
      </c>
      <c r="G105">
        <f t="shared" si="16"/>
        <v>5</v>
      </c>
      <c r="H105">
        <f t="shared" si="13"/>
        <v>5</v>
      </c>
      <c r="I105" s="4" t="str">
        <f t="shared" si="14"/>
        <v>555</v>
      </c>
      <c r="Q105" s="1">
        <v>0.251794414606896</v>
      </c>
      <c r="R105" s="1">
        <v>0.8331860353642212</v>
      </c>
    </row>
    <row r="106" spans="1:18" x14ac:dyDescent="0.35">
      <c r="A106" t="s">
        <v>108</v>
      </c>
      <c r="B106" s="2">
        <f t="shared" si="9"/>
        <v>45562</v>
      </c>
      <c r="C106" s="3">
        <f t="shared" si="15"/>
        <v>-45562</v>
      </c>
      <c r="D106">
        <f t="shared" si="10"/>
        <v>763</v>
      </c>
      <c r="E106">
        <f t="shared" si="11"/>
        <v>25</v>
      </c>
      <c r="F106">
        <f t="shared" si="12"/>
        <v>2</v>
      </c>
      <c r="G106">
        <f t="shared" si="16"/>
        <v>2</v>
      </c>
      <c r="H106">
        <f t="shared" si="13"/>
        <v>2</v>
      </c>
      <c r="I106" s="4" t="str">
        <f t="shared" si="14"/>
        <v>222</v>
      </c>
      <c r="Q106" s="1">
        <v>6.3542554362746584E-3</v>
      </c>
      <c r="R106" s="1">
        <v>0.49535614525490324</v>
      </c>
    </row>
    <row r="107" spans="1:18" x14ac:dyDescent="0.35">
      <c r="A107" t="s">
        <v>109</v>
      </c>
      <c r="B107" s="2">
        <f t="shared" si="9"/>
        <v>45612</v>
      </c>
      <c r="C107" s="3">
        <f t="shared" si="15"/>
        <v>-45612</v>
      </c>
      <c r="D107">
        <f t="shared" si="10"/>
        <v>896</v>
      </c>
      <c r="E107">
        <f t="shared" si="11"/>
        <v>30</v>
      </c>
      <c r="F107">
        <f t="shared" si="12"/>
        <v>4</v>
      </c>
      <c r="G107">
        <f t="shared" si="16"/>
        <v>4</v>
      </c>
      <c r="H107">
        <f t="shared" si="13"/>
        <v>4</v>
      </c>
      <c r="I107" s="4" t="str">
        <f t="shared" si="14"/>
        <v>444</v>
      </c>
      <c r="Q107" s="1">
        <v>0.7929898345217038</v>
      </c>
      <c r="R107" s="1">
        <v>0.58597160784486491</v>
      </c>
    </row>
    <row r="108" spans="1:18" x14ac:dyDescent="0.35">
      <c r="A108" t="s">
        <v>110</v>
      </c>
      <c r="B108" s="2">
        <f t="shared" si="9"/>
        <v>45381</v>
      </c>
      <c r="C108" s="3">
        <f t="shared" si="15"/>
        <v>-45381</v>
      </c>
      <c r="D108">
        <f t="shared" si="10"/>
        <v>278</v>
      </c>
      <c r="E108">
        <f t="shared" si="11"/>
        <v>9</v>
      </c>
      <c r="F108">
        <f t="shared" si="12"/>
        <v>1</v>
      </c>
      <c r="G108">
        <f t="shared" si="16"/>
        <v>1</v>
      </c>
      <c r="H108">
        <f t="shared" si="13"/>
        <v>1</v>
      </c>
      <c r="I108" s="4" t="str">
        <f t="shared" si="14"/>
        <v>111</v>
      </c>
      <c r="Q108" s="1">
        <v>0.33817597766816876</v>
      </c>
      <c r="R108" s="1">
        <v>0.16332848805134126</v>
      </c>
    </row>
    <row r="109" spans="1:18" x14ac:dyDescent="0.35">
      <c r="A109" t="s">
        <v>111</v>
      </c>
      <c r="B109" s="2">
        <f t="shared" si="9"/>
        <v>45648</v>
      </c>
      <c r="C109" s="3">
        <f t="shared" si="15"/>
        <v>-45648</v>
      </c>
      <c r="D109">
        <f t="shared" si="10"/>
        <v>992</v>
      </c>
      <c r="E109">
        <f t="shared" si="11"/>
        <v>33</v>
      </c>
      <c r="F109">
        <f t="shared" si="12"/>
        <v>4</v>
      </c>
      <c r="G109">
        <f t="shared" si="16"/>
        <v>4</v>
      </c>
      <c r="H109">
        <f t="shared" si="13"/>
        <v>4</v>
      </c>
      <c r="I109" s="4" t="str">
        <f t="shared" si="14"/>
        <v>444</v>
      </c>
      <c r="Q109" s="1">
        <v>0.36057840644656802</v>
      </c>
      <c r="R109" s="1">
        <v>0.65191020253356813</v>
      </c>
    </row>
    <row r="110" spans="1:18" x14ac:dyDescent="0.35">
      <c r="A110" t="s">
        <v>112</v>
      </c>
      <c r="B110" s="2">
        <f t="shared" si="9"/>
        <v>45673</v>
      </c>
      <c r="C110" s="3">
        <f t="shared" si="15"/>
        <v>-45673</v>
      </c>
      <c r="D110">
        <f t="shared" si="10"/>
        <v>1058</v>
      </c>
      <c r="E110">
        <f t="shared" si="11"/>
        <v>35</v>
      </c>
      <c r="F110">
        <f t="shared" si="12"/>
        <v>4</v>
      </c>
      <c r="G110">
        <f t="shared" si="16"/>
        <v>4</v>
      </c>
      <c r="H110">
        <f t="shared" si="13"/>
        <v>4</v>
      </c>
      <c r="I110" s="4" t="str">
        <f t="shared" si="14"/>
        <v>444</v>
      </c>
      <c r="Q110" s="1">
        <v>0.45580324267676242</v>
      </c>
      <c r="R110" s="1">
        <v>0.69742003407055797</v>
      </c>
    </row>
    <row r="111" spans="1:18" x14ac:dyDescent="0.35">
      <c r="A111" t="s">
        <v>113</v>
      </c>
      <c r="B111" s="2">
        <f t="shared" si="9"/>
        <v>45364</v>
      </c>
      <c r="C111" s="3">
        <f t="shared" si="15"/>
        <v>-45364</v>
      </c>
      <c r="D111">
        <f t="shared" si="10"/>
        <v>232</v>
      </c>
      <c r="E111">
        <f t="shared" si="11"/>
        <v>7</v>
      </c>
      <c r="F111">
        <f t="shared" si="12"/>
        <v>1</v>
      </c>
      <c r="G111">
        <f t="shared" si="16"/>
        <v>1</v>
      </c>
      <c r="H111">
        <f t="shared" si="13"/>
        <v>1</v>
      </c>
      <c r="I111" s="4" t="str">
        <f t="shared" si="14"/>
        <v>111</v>
      </c>
      <c r="Q111" s="1">
        <v>0.75912491947993743</v>
      </c>
      <c r="R111" s="1">
        <v>0.13151052724516565</v>
      </c>
    </row>
    <row r="112" spans="1:18" x14ac:dyDescent="0.35">
      <c r="A112" t="s">
        <v>114</v>
      </c>
      <c r="B112" s="2">
        <f t="shared" si="9"/>
        <v>45837</v>
      </c>
      <c r="C112" s="3">
        <f t="shared" si="15"/>
        <v>-45837</v>
      </c>
      <c r="D112">
        <f t="shared" si="10"/>
        <v>1498</v>
      </c>
      <c r="E112">
        <f t="shared" si="11"/>
        <v>50</v>
      </c>
      <c r="F112">
        <f t="shared" si="12"/>
        <v>5</v>
      </c>
      <c r="G112">
        <f t="shared" si="16"/>
        <v>5</v>
      </c>
      <c r="H112">
        <f t="shared" si="13"/>
        <v>5</v>
      </c>
      <c r="I112" s="4" t="str">
        <f t="shared" si="14"/>
        <v>555</v>
      </c>
      <c r="Q112" s="1">
        <v>0.69516610160473535</v>
      </c>
      <c r="R112" s="1">
        <v>0.99892059264667032</v>
      </c>
    </row>
    <row r="113" spans="1:18" x14ac:dyDescent="0.35">
      <c r="A113" t="s">
        <v>115</v>
      </c>
      <c r="B113" s="2">
        <f t="shared" si="9"/>
        <v>45828</v>
      </c>
      <c r="C113" s="3">
        <f t="shared" si="15"/>
        <v>-45828</v>
      </c>
      <c r="D113">
        <f t="shared" si="10"/>
        <v>1473</v>
      </c>
      <c r="E113">
        <f t="shared" si="11"/>
        <v>49</v>
      </c>
      <c r="F113">
        <f t="shared" si="12"/>
        <v>5</v>
      </c>
      <c r="G113">
        <f t="shared" si="16"/>
        <v>5</v>
      </c>
      <c r="H113">
        <f t="shared" si="13"/>
        <v>5</v>
      </c>
      <c r="I113" s="4" t="str">
        <f t="shared" si="14"/>
        <v>555</v>
      </c>
      <c r="Q113" s="1">
        <v>0.54651099662361724</v>
      </c>
      <c r="R113" s="1">
        <v>0.98178255273565052</v>
      </c>
    </row>
    <row r="114" spans="1:18" x14ac:dyDescent="0.35">
      <c r="A114" t="s">
        <v>116</v>
      </c>
      <c r="B114" s="2">
        <f t="shared" si="9"/>
        <v>45525</v>
      </c>
      <c r="C114" s="3">
        <f t="shared" si="15"/>
        <v>-45525</v>
      </c>
      <c r="D114">
        <f t="shared" si="10"/>
        <v>663</v>
      </c>
      <c r="E114">
        <f t="shared" si="11"/>
        <v>22</v>
      </c>
      <c r="F114">
        <f t="shared" si="12"/>
        <v>2</v>
      </c>
      <c r="G114">
        <f t="shared" si="16"/>
        <v>2</v>
      </c>
      <c r="H114">
        <f t="shared" si="13"/>
        <v>2</v>
      </c>
      <c r="I114" s="4" t="str">
        <f t="shared" si="14"/>
        <v>222</v>
      </c>
      <c r="Q114" s="1">
        <v>0.33684700928104983</v>
      </c>
      <c r="R114" s="1">
        <v>0.42681528232413868</v>
      </c>
    </row>
    <row r="115" spans="1:18" x14ac:dyDescent="0.35">
      <c r="A115" t="s">
        <v>117</v>
      </c>
      <c r="B115" s="2">
        <f t="shared" si="9"/>
        <v>45445</v>
      </c>
      <c r="C115" s="3">
        <f t="shared" si="15"/>
        <v>-45445</v>
      </c>
      <c r="D115">
        <f t="shared" si="10"/>
        <v>450</v>
      </c>
      <c r="E115">
        <f t="shared" si="11"/>
        <v>15</v>
      </c>
      <c r="F115">
        <f t="shared" si="12"/>
        <v>2</v>
      </c>
      <c r="G115">
        <f t="shared" si="16"/>
        <v>2</v>
      </c>
      <c r="H115">
        <f t="shared" si="13"/>
        <v>2</v>
      </c>
      <c r="I115" s="4" t="str">
        <f t="shared" si="14"/>
        <v>222</v>
      </c>
      <c r="Q115" s="1">
        <v>0.64221771821709583</v>
      </c>
      <c r="R115" s="1">
        <v>0.28090104429910423</v>
      </c>
    </row>
    <row r="116" spans="1:18" x14ac:dyDescent="0.35">
      <c r="A116" t="s">
        <v>118</v>
      </c>
      <c r="B116" s="2">
        <f t="shared" si="9"/>
        <v>45574</v>
      </c>
      <c r="C116" s="3">
        <f t="shared" si="15"/>
        <v>-45574</v>
      </c>
      <c r="D116">
        <f t="shared" si="10"/>
        <v>793</v>
      </c>
      <c r="E116">
        <f t="shared" si="11"/>
        <v>26</v>
      </c>
      <c r="F116">
        <f t="shared" si="12"/>
        <v>4</v>
      </c>
      <c r="G116">
        <f t="shared" si="16"/>
        <v>4</v>
      </c>
      <c r="H116">
        <f t="shared" si="13"/>
        <v>4</v>
      </c>
      <c r="I116" s="4" t="str">
        <f t="shared" si="14"/>
        <v>444</v>
      </c>
      <c r="Q116" s="1">
        <v>0.47243541479864737</v>
      </c>
      <c r="R116" s="1">
        <v>0.5158532150806947</v>
      </c>
    </row>
    <row r="117" spans="1:18" x14ac:dyDescent="0.35">
      <c r="A117" t="s">
        <v>119</v>
      </c>
      <c r="B117" s="2">
        <f t="shared" si="9"/>
        <v>45390</v>
      </c>
      <c r="C117" s="3">
        <f t="shared" si="15"/>
        <v>-45390</v>
      </c>
      <c r="D117">
        <f t="shared" si="10"/>
        <v>301</v>
      </c>
      <c r="E117">
        <f t="shared" si="11"/>
        <v>10</v>
      </c>
      <c r="F117">
        <f t="shared" si="12"/>
        <v>1</v>
      </c>
      <c r="G117">
        <f t="shared" si="16"/>
        <v>1</v>
      </c>
      <c r="H117">
        <f t="shared" si="13"/>
        <v>1</v>
      </c>
      <c r="I117" s="4" t="str">
        <f t="shared" si="14"/>
        <v>111</v>
      </c>
      <c r="Q117" s="1">
        <v>0.15455739817816483</v>
      </c>
      <c r="R117" s="1">
        <v>0.17903655160574561</v>
      </c>
    </row>
    <row r="118" spans="1:18" x14ac:dyDescent="0.35">
      <c r="A118" t="s">
        <v>120</v>
      </c>
      <c r="B118" s="2">
        <f t="shared" si="9"/>
        <v>45547</v>
      </c>
      <c r="C118" s="3">
        <f t="shared" si="15"/>
        <v>-45547</v>
      </c>
      <c r="D118">
        <f t="shared" si="10"/>
        <v>721</v>
      </c>
      <c r="E118">
        <f t="shared" si="11"/>
        <v>24</v>
      </c>
      <c r="F118">
        <f t="shared" si="12"/>
        <v>2</v>
      </c>
      <c r="G118">
        <f t="shared" si="16"/>
        <v>2</v>
      </c>
      <c r="H118">
        <f t="shared" si="13"/>
        <v>2</v>
      </c>
      <c r="I118" s="4" t="str">
        <f t="shared" si="14"/>
        <v>222</v>
      </c>
      <c r="Q118" s="1">
        <v>0.9781887930484594</v>
      </c>
      <c r="R118" s="1">
        <v>0.4662653142894343</v>
      </c>
    </row>
    <row r="119" spans="1:18" x14ac:dyDescent="0.35">
      <c r="A119" t="s">
        <v>121</v>
      </c>
      <c r="B119" s="2">
        <f t="shared" si="9"/>
        <v>45448</v>
      </c>
      <c r="C119" s="3">
        <f t="shared" si="15"/>
        <v>-45448</v>
      </c>
      <c r="D119">
        <f t="shared" si="10"/>
        <v>457</v>
      </c>
      <c r="E119">
        <f t="shared" si="11"/>
        <v>15</v>
      </c>
      <c r="F119">
        <f t="shared" si="12"/>
        <v>2</v>
      </c>
      <c r="G119">
        <f t="shared" si="16"/>
        <v>2</v>
      </c>
      <c r="H119">
        <f t="shared" si="13"/>
        <v>2</v>
      </c>
      <c r="I119" s="4" t="str">
        <f t="shared" si="14"/>
        <v>222</v>
      </c>
      <c r="Q119" s="1">
        <v>0.55616562995584073</v>
      </c>
      <c r="R119" s="1">
        <v>0.28581164519163282</v>
      </c>
    </row>
    <row r="120" spans="1:18" x14ac:dyDescent="0.35">
      <c r="A120" t="s">
        <v>122</v>
      </c>
      <c r="B120" s="2">
        <f t="shared" si="9"/>
        <v>45548</v>
      </c>
      <c r="C120" s="3">
        <f t="shared" si="15"/>
        <v>-45548</v>
      </c>
      <c r="D120">
        <f t="shared" si="10"/>
        <v>726</v>
      </c>
      <c r="E120">
        <f t="shared" si="11"/>
        <v>24</v>
      </c>
      <c r="F120">
        <f t="shared" si="12"/>
        <v>2</v>
      </c>
      <c r="G120">
        <f t="shared" si="16"/>
        <v>2</v>
      </c>
      <c r="H120">
        <f t="shared" si="13"/>
        <v>2</v>
      </c>
      <c r="I120" s="4" t="str">
        <f t="shared" si="14"/>
        <v>222</v>
      </c>
      <c r="Q120" s="1">
        <v>0.60557378751035629</v>
      </c>
      <c r="R120" s="1">
        <v>0.46957742422502746</v>
      </c>
    </row>
    <row r="121" spans="1:18" x14ac:dyDescent="0.35">
      <c r="A121" t="s">
        <v>123</v>
      </c>
      <c r="B121" s="2">
        <f t="shared" si="9"/>
        <v>45764</v>
      </c>
      <c r="C121" s="3">
        <f t="shared" si="15"/>
        <v>-45764</v>
      </c>
      <c r="D121">
        <f t="shared" si="10"/>
        <v>1302</v>
      </c>
      <c r="E121">
        <f t="shared" si="11"/>
        <v>43</v>
      </c>
      <c r="F121">
        <f t="shared" si="12"/>
        <v>5</v>
      </c>
      <c r="G121">
        <f t="shared" si="16"/>
        <v>5</v>
      </c>
      <c r="H121">
        <f t="shared" si="13"/>
        <v>5</v>
      </c>
      <c r="I121" s="4" t="str">
        <f t="shared" si="14"/>
        <v>555</v>
      </c>
      <c r="Q121" s="1">
        <v>0.4615005302481564</v>
      </c>
      <c r="R121" s="1">
        <v>0.86438253631066131</v>
      </c>
    </row>
    <row r="122" spans="1:18" x14ac:dyDescent="0.35">
      <c r="A122" t="s">
        <v>124</v>
      </c>
      <c r="B122" s="2">
        <f t="shared" si="9"/>
        <v>45555</v>
      </c>
      <c r="C122" s="3">
        <f t="shared" si="15"/>
        <v>-45555</v>
      </c>
      <c r="D122">
        <f t="shared" si="10"/>
        <v>744</v>
      </c>
      <c r="E122">
        <f t="shared" si="11"/>
        <v>25</v>
      </c>
      <c r="F122">
        <f t="shared" si="12"/>
        <v>2</v>
      </c>
      <c r="G122">
        <f t="shared" si="16"/>
        <v>2</v>
      </c>
      <c r="H122">
        <f t="shared" si="13"/>
        <v>2</v>
      </c>
      <c r="I122" s="4" t="str">
        <f t="shared" si="14"/>
        <v>222</v>
      </c>
      <c r="Q122" s="1">
        <v>0.23510327631547945</v>
      </c>
      <c r="R122" s="1">
        <v>0.48249593894219722</v>
      </c>
    </row>
    <row r="123" spans="1:18" x14ac:dyDescent="0.35">
      <c r="A123" t="s">
        <v>125</v>
      </c>
      <c r="B123" s="2">
        <f t="shared" si="9"/>
        <v>45472</v>
      </c>
      <c r="C123" s="3">
        <f t="shared" si="15"/>
        <v>-45472</v>
      </c>
      <c r="D123">
        <f t="shared" si="10"/>
        <v>522</v>
      </c>
      <c r="E123">
        <f t="shared" si="11"/>
        <v>17</v>
      </c>
      <c r="F123">
        <f t="shared" si="12"/>
        <v>2</v>
      </c>
      <c r="G123">
        <f t="shared" si="16"/>
        <v>2</v>
      </c>
      <c r="H123">
        <f t="shared" si="13"/>
        <v>2</v>
      </c>
      <c r="I123" s="4" t="str">
        <f t="shared" si="14"/>
        <v>222</v>
      </c>
      <c r="Q123" s="1">
        <v>0.68130797375500396</v>
      </c>
      <c r="R123" s="1">
        <v>0.33023022329265039</v>
      </c>
    </row>
    <row r="124" spans="1:18" x14ac:dyDescent="0.35">
      <c r="A124" t="s">
        <v>126</v>
      </c>
      <c r="B124" s="2">
        <f t="shared" si="9"/>
        <v>45791</v>
      </c>
      <c r="C124" s="3">
        <f t="shared" si="15"/>
        <v>-45791</v>
      </c>
      <c r="D124">
        <f t="shared" si="10"/>
        <v>1375</v>
      </c>
      <c r="E124">
        <f t="shared" si="11"/>
        <v>46</v>
      </c>
      <c r="F124">
        <f t="shared" si="12"/>
        <v>5</v>
      </c>
      <c r="G124">
        <f t="shared" si="16"/>
        <v>5</v>
      </c>
      <c r="H124">
        <f t="shared" si="13"/>
        <v>5</v>
      </c>
      <c r="I124" s="4" t="str">
        <f t="shared" si="14"/>
        <v>555</v>
      </c>
      <c r="Q124" s="1">
        <v>0.1761021527475306</v>
      </c>
      <c r="R124" s="1">
        <v>0.91468263092909807</v>
      </c>
    </row>
    <row r="125" spans="1:18" x14ac:dyDescent="0.35">
      <c r="A125" t="s">
        <v>127</v>
      </c>
      <c r="B125" s="2">
        <f t="shared" si="9"/>
        <v>45690</v>
      </c>
      <c r="C125" s="3">
        <f t="shared" si="15"/>
        <v>-45690</v>
      </c>
      <c r="D125">
        <f t="shared" si="10"/>
        <v>1103</v>
      </c>
      <c r="E125">
        <f t="shared" si="11"/>
        <v>37</v>
      </c>
      <c r="F125">
        <f t="shared" si="12"/>
        <v>4</v>
      </c>
      <c r="G125">
        <f t="shared" si="16"/>
        <v>4</v>
      </c>
      <c r="H125">
        <f t="shared" si="13"/>
        <v>4</v>
      </c>
      <c r="I125" s="4" t="str">
        <f t="shared" si="14"/>
        <v>444</v>
      </c>
      <c r="Q125" s="1">
        <v>0.60634736152261537</v>
      </c>
      <c r="R125" s="1">
        <v>0.72814891040638607</v>
      </c>
    </row>
    <row r="126" spans="1:18" x14ac:dyDescent="0.35">
      <c r="A126" t="s">
        <v>128</v>
      </c>
      <c r="B126" s="2">
        <f t="shared" si="9"/>
        <v>45756</v>
      </c>
      <c r="C126" s="3">
        <f t="shared" si="15"/>
        <v>-45756</v>
      </c>
      <c r="D126">
        <f t="shared" si="10"/>
        <v>1281</v>
      </c>
      <c r="E126">
        <f t="shared" si="11"/>
        <v>43</v>
      </c>
      <c r="F126">
        <f t="shared" si="12"/>
        <v>5</v>
      </c>
      <c r="G126">
        <f t="shared" si="16"/>
        <v>5</v>
      </c>
      <c r="H126">
        <f t="shared" si="13"/>
        <v>5</v>
      </c>
      <c r="I126" s="4" t="str">
        <f t="shared" si="14"/>
        <v>555</v>
      </c>
      <c r="Q126" s="1">
        <v>9.3894063601063227E-3</v>
      </c>
      <c r="R126" s="1">
        <v>0.84987531139752459</v>
      </c>
    </row>
    <row r="127" spans="1:18" x14ac:dyDescent="0.35">
      <c r="A127" t="s">
        <v>129</v>
      </c>
      <c r="B127" s="2">
        <f t="shared" si="9"/>
        <v>45721</v>
      </c>
      <c r="C127" s="3">
        <f t="shared" si="15"/>
        <v>-45721</v>
      </c>
      <c r="D127">
        <f t="shared" si="10"/>
        <v>1186</v>
      </c>
      <c r="E127">
        <f t="shared" si="11"/>
        <v>39</v>
      </c>
      <c r="F127">
        <f t="shared" si="12"/>
        <v>5</v>
      </c>
      <c r="G127">
        <f t="shared" si="16"/>
        <v>4</v>
      </c>
      <c r="H127">
        <f t="shared" si="13"/>
        <v>5</v>
      </c>
      <c r="I127" s="4" t="str">
        <f t="shared" si="14"/>
        <v>545</v>
      </c>
      <c r="Q127" s="1">
        <v>0.8392321402063464</v>
      </c>
      <c r="R127" s="1">
        <v>0.78485867323848246</v>
      </c>
    </row>
    <row r="128" spans="1:18" x14ac:dyDescent="0.35">
      <c r="A128" t="s">
        <v>130</v>
      </c>
      <c r="B128" s="2">
        <f t="shared" si="9"/>
        <v>45618</v>
      </c>
      <c r="C128" s="3">
        <f t="shared" si="15"/>
        <v>-45618</v>
      </c>
      <c r="D128">
        <f t="shared" si="10"/>
        <v>913</v>
      </c>
      <c r="E128">
        <f t="shared" si="11"/>
        <v>30</v>
      </c>
      <c r="F128">
        <f t="shared" si="12"/>
        <v>4</v>
      </c>
      <c r="G128">
        <f t="shared" si="16"/>
        <v>4</v>
      </c>
      <c r="H128">
        <f t="shared" si="13"/>
        <v>4</v>
      </c>
      <c r="I128" s="4" t="str">
        <f t="shared" si="14"/>
        <v>444</v>
      </c>
      <c r="Q128" s="1">
        <v>0.78690070420479097</v>
      </c>
      <c r="R128" s="1">
        <v>0.5976395132262734</v>
      </c>
    </row>
    <row r="129" spans="1:18" x14ac:dyDescent="0.35">
      <c r="A129" t="s">
        <v>131</v>
      </c>
      <c r="B129" s="2">
        <f t="shared" si="9"/>
        <v>45370</v>
      </c>
      <c r="C129" s="3">
        <f t="shared" si="15"/>
        <v>-45370</v>
      </c>
      <c r="D129">
        <f t="shared" si="10"/>
        <v>249</v>
      </c>
      <c r="E129">
        <f t="shared" si="11"/>
        <v>8</v>
      </c>
      <c r="F129">
        <f t="shared" si="12"/>
        <v>1</v>
      </c>
      <c r="G129">
        <f t="shared" si="16"/>
        <v>1</v>
      </c>
      <c r="H129">
        <f t="shared" si="13"/>
        <v>1</v>
      </c>
      <c r="I129" s="4" t="str">
        <f t="shared" si="14"/>
        <v>111</v>
      </c>
      <c r="Q129" s="1">
        <v>0.45044942440511482</v>
      </c>
      <c r="R129" s="1">
        <v>0.14283187040926515</v>
      </c>
    </row>
    <row r="130" spans="1:18" x14ac:dyDescent="0.35">
      <c r="A130" t="s">
        <v>132</v>
      </c>
      <c r="B130" s="2">
        <f t="shared" si="9"/>
        <v>45576</v>
      </c>
      <c r="C130" s="3">
        <f t="shared" si="15"/>
        <v>-45576</v>
      </c>
      <c r="D130">
        <f t="shared" si="10"/>
        <v>798</v>
      </c>
      <c r="E130">
        <f t="shared" si="11"/>
        <v>26</v>
      </c>
      <c r="F130">
        <f t="shared" si="12"/>
        <v>4</v>
      </c>
      <c r="G130">
        <f t="shared" si="16"/>
        <v>4</v>
      </c>
      <c r="H130">
        <f t="shared" si="13"/>
        <v>4</v>
      </c>
      <c r="I130" s="4" t="str">
        <f t="shared" si="14"/>
        <v>444</v>
      </c>
      <c r="Q130" s="1">
        <v>0.68896526061173968</v>
      </c>
      <c r="R130" s="1">
        <v>0.51927511739629861</v>
      </c>
    </row>
    <row r="131" spans="1:18" x14ac:dyDescent="0.35">
      <c r="A131" t="s">
        <v>133</v>
      </c>
      <c r="B131" s="2">
        <f t="shared" ref="B131:B194" si="17">ROUND(R131*(45838-45292)+45292,0)</f>
        <v>45625</v>
      </c>
      <c r="C131" s="3">
        <f t="shared" si="15"/>
        <v>-45625</v>
      </c>
      <c r="D131">
        <f t="shared" ref="D131:D194" si="18">ROUND((R131)*(1500-40)+40,0)</f>
        <v>932</v>
      </c>
      <c r="E131">
        <f t="shared" ref="E131:E194" si="19">ROUND((R131)*(50-1)+1,0)</f>
        <v>31</v>
      </c>
      <c r="F131">
        <f t="shared" ref="F131:F194" si="20">IF(C131&lt;=$M$4,5,IF(C131&lt;=$M$9,4,IF(C131&lt;=$M$5,3,IF(C131&lt;=$M$6,2,1))))</f>
        <v>4</v>
      </c>
      <c r="G131">
        <f t="shared" si="16"/>
        <v>4</v>
      </c>
      <c r="H131">
        <f t="shared" ref="H131:H194" si="21">IF(D131&lt;=$M$24,1,IF(D131&lt;=$M$25,2,IF(D131&lt;=$M$29,3,IF(D131&lt;=$M$26,4,5))))</f>
        <v>4</v>
      </c>
      <c r="I131" s="4" t="str">
        <f t="shared" ref="I131:I194" si="22">CONCATENATE(F131,G131,H131)</f>
        <v>444</v>
      </c>
      <c r="Q131" s="1">
        <v>0.89129163680387902</v>
      </c>
      <c r="R131" s="1">
        <v>0.61063893158342009</v>
      </c>
    </row>
    <row r="132" spans="1:18" x14ac:dyDescent="0.35">
      <c r="A132" t="s">
        <v>134</v>
      </c>
      <c r="B132" s="2">
        <f t="shared" si="17"/>
        <v>45558</v>
      </c>
      <c r="C132" s="3">
        <f t="shared" ref="C132:C195" si="23">$S$4-B132</f>
        <v>-45558</v>
      </c>
      <c r="D132">
        <f t="shared" si="18"/>
        <v>751</v>
      </c>
      <c r="E132">
        <f t="shared" si="19"/>
        <v>25</v>
      </c>
      <c r="F132">
        <f t="shared" si="20"/>
        <v>2</v>
      </c>
      <c r="G132">
        <f t="shared" ref="G132:G195" si="24">IF(E132&lt;=$M$14,1,IF(E132&lt;=$M$15,2,IF(E132&lt;=$M$19,3,IF(E132&lt;=$M$16,4,5))))</f>
        <v>2</v>
      </c>
      <c r="H132">
        <f t="shared" si="21"/>
        <v>2</v>
      </c>
      <c r="I132" s="4" t="str">
        <f t="shared" si="22"/>
        <v>222</v>
      </c>
      <c r="Q132" s="1">
        <v>0.55600400856780485</v>
      </c>
      <c r="R132" s="1">
        <v>0.48714318721659655</v>
      </c>
    </row>
    <row r="133" spans="1:18" x14ac:dyDescent="0.35">
      <c r="A133" t="s">
        <v>135</v>
      </c>
      <c r="B133" s="2">
        <f t="shared" si="17"/>
        <v>45729</v>
      </c>
      <c r="C133" s="3">
        <f t="shared" si="23"/>
        <v>-45729</v>
      </c>
      <c r="D133">
        <f t="shared" si="18"/>
        <v>1209</v>
      </c>
      <c r="E133">
        <f t="shared" si="19"/>
        <v>40</v>
      </c>
      <c r="F133">
        <f t="shared" si="20"/>
        <v>5</v>
      </c>
      <c r="G133">
        <f t="shared" si="24"/>
        <v>5</v>
      </c>
      <c r="H133">
        <f t="shared" si="21"/>
        <v>5</v>
      </c>
      <c r="I133" s="4" t="str">
        <f t="shared" si="22"/>
        <v>555</v>
      </c>
      <c r="Q133" s="1">
        <v>0.32020471536208561</v>
      </c>
      <c r="R133" s="1">
        <v>0.8008156009729086</v>
      </c>
    </row>
    <row r="134" spans="1:18" x14ac:dyDescent="0.35">
      <c r="A134" t="s">
        <v>136</v>
      </c>
      <c r="B134" s="2">
        <f t="shared" si="17"/>
        <v>45471</v>
      </c>
      <c r="C134" s="3">
        <f t="shared" si="23"/>
        <v>-45471</v>
      </c>
      <c r="D134">
        <f t="shared" si="18"/>
        <v>518</v>
      </c>
      <c r="E134">
        <f t="shared" si="19"/>
        <v>17</v>
      </c>
      <c r="F134">
        <f t="shared" si="20"/>
        <v>2</v>
      </c>
      <c r="G134">
        <f t="shared" si="24"/>
        <v>2</v>
      </c>
      <c r="H134">
        <f t="shared" si="21"/>
        <v>2</v>
      </c>
      <c r="I134" s="4" t="str">
        <f t="shared" si="22"/>
        <v>222</v>
      </c>
      <c r="Q134" s="1">
        <v>5.9152284252482201E-2</v>
      </c>
      <c r="R134" s="1">
        <v>0.32717847386137933</v>
      </c>
    </row>
    <row r="135" spans="1:18" x14ac:dyDescent="0.35">
      <c r="A135" t="s">
        <v>137</v>
      </c>
      <c r="B135" s="2">
        <f t="shared" si="17"/>
        <v>45442</v>
      </c>
      <c r="C135" s="3">
        <f t="shared" si="23"/>
        <v>-45442</v>
      </c>
      <c r="D135">
        <f t="shared" si="18"/>
        <v>441</v>
      </c>
      <c r="E135">
        <f t="shared" si="19"/>
        <v>14</v>
      </c>
      <c r="F135">
        <f t="shared" si="20"/>
        <v>2</v>
      </c>
      <c r="G135">
        <f t="shared" si="24"/>
        <v>2</v>
      </c>
      <c r="H135">
        <f t="shared" si="21"/>
        <v>2</v>
      </c>
      <c r="I135" s="4" t="str">
        <f t="shared" si="22"/>
        <v>222</v>
      </c>
      <c r="Q135" s="1">
        <v>0.40466381424970232</v>
      </c>
      <c r="R135" s="1">
        <v>0.27466134607588599</v>
      </c>
    </row>
    <row r="136" spans="1:18" x14ac:dyDescent="0.35">
      <c r="A136" t="s">
        <v>138</v>
      </c>
      <c r="B136" s="2">
        <f t="shared" si="17"/>
        <v>45807</v>
      </c>
      <c r="C136" s="3">
        <f t="shared" si="23"/>
        <v>-45807</v>
      </c>
      <c r="D136">
        <f t="shared" si="18"/>
        <v>1417</v>
      </c>
      <c r="E136">
        <f t="shared" si="19"/>
        <v>47</v>
      </c>
      <c r="F136">
        <f t="shared" si="20"/>
        <v>5</v>
      </c>
      <c r="G136">
        <f t="shared" si="24"/>
        <v>5</v>
      </c>
      <c r="H136">
        <f t="shared" si="21"/>
        <v>5</v>
      </c>
      <c r="I136" s="4" t="str">
        <f t="shared" si="22"/>
        <v>555</v>
      </c>
      <c r="Q136" s="1">
        <v>0.31500260602159247</v>
      </c>
      <c r="R136" s="1">
        <v>0.94312319768117714</v>
      </c>
    </row>
    <row r="137" spans="1:18" x14ac:dyDescent="0.35">
      <c r="A137" t="s">
        <v>139</v>
      </c>
      <c r="B137" s="2">
        <f t="shared" si="17"/>
        <v>45684</v>
      </c>
      <c r="C137" s="3">
        <f t="shared" si="23"/>
        <v>-45684</v>
      </c>
      <c r="D137">
        <f t="shared" si="18"/>
        <v>1089</v>
      </c>
      <c r="E137">
        <f t="shared" si="19"/>
        <v>36</v>
      </c>
      <c r="F137">
        <f t="shared" si="20"/>
        <v>4</v>
      </c>
      <c r="G137">
        <f t="shared" si="24"/>
        <v>4</v>
      </c>
      <c r="H137">
        <f t="shared" si="21"/>
        <v>4</v>
      </c>
      <c r="I137" s="4" t="str">
        <f t="shared" si="22"/>
        <v>444</v>
      </c>
      <c r="Q137" s="1">
        <v>0.98496942677425936</v>
      </c>
      <c r="R137" s="1">
        <v>0.71818194723982975</v>
      </c>
    </row>
    <row r="138" spans="1:18" x14ac:dyDescent="0.35">
      <c r="A138" t="s">
        <v>140</v>
      </c>
      <c r="B138" s="2">
        <f t="shared" si="17"/>
        <v>45765</v>
      </c>
      <c r="C138" s="3">
        <f t="shared" si="23"/>
        <v>-45765</v>
      </c>
      <c r="D138">
        <f t="shared" si="18"/>
        <v>1305</v>
      </c>
      <c r="E138">
        <f t="shared" si="19"/>
        <v>43</v>
      </c>
      <c r="F138">
        <f t="shared" si="20"/>
        <v>5</v>
      </c>
      <c r="G138">
        <f t="shared" si="24"/>
        <v>5</v>
      </c>
      <c r="H138">
        <f t="shared" si="21"/>
        <v>5</v>
      </c>
      <c r="I138" s="4" t="str">
        <f t="shared" si="22"/>
        <v>555</v>
      </c>
      <c r="Q138" s="1">
        <v>0.83875368765966007</v>
      </c>
      <c r="R138" s="1">
        <v>0.86647732546027034</v>
      </c>
    </row>
    <row r="139" spans="1:18" x14ac:dyDescent="0.35">
      <c r="A139" t="s">
        <v>141</v>
      </c>
      <c r="B139" s="2">
        <f t="shared" si="17"/>
        <v>45826</v>
      </c>
      <c r="C139" s="3">
        <f t="shared" si="23"/>
        <v>-45826</v>
      </c>
      <c r="D139">
        <f t="shared" si="18"/>
        <v>1467</v>
      </c>
      <c r="E139">
        <f t="shared" si="19"/>
        <v>49</v>
      </c>
      <c r="F139">
        <f t="shared" si="20"/>
        <v>5</v>
      </c>
      <c r="G139">
        <f t="shared" si="24"/>
        <v>5</v>
      </c>
      <c r="H139">
        <f t="shared" si="21"/>
        <v>5</v>
      </c>
      <c r="I139" s="4" t="str">
        <f t="shared" si="22"/>
        <v>555</v>
      </c>
      <c r="Q139" s="1">
        <v>0.38998973295385908</v>
      </c>
      <c r="R139" s="1">
        <v>0.97771226709791259</v>
      </c>
    </row>
    <row r="140" spans="1:18" x14ac:dyDescent="0.35">
      <c r="A140" t="s">
        <v>142</v>
      </c>
      <c r="B140" s="2">
        <f t="shared" si="17"/>
        <v>45368</v>
      </c>
      <c r="C140" s="3">
        <f t="shared" si="23"/>
        <v>-45368</v>
      </c>
      <c r="D140">
        <f t="shared" si="18"/>
        <v>244</v>
      </c>
      <c r="E140">
        <f t="shared" si="19"/>
        <v>8</v>
      </c>
      <c r="F140">
        <f t="shared" si="20"/>
        <v>1</v>
      </c>
      <c r="G140">
        <f t="shared" si="24"/>
        <v>1</v>
      </c>
      <c r="H140">
        <f t="shared" si="21"/>
        <v>1</v>
      </c>
      <c r="I140" s="4" t="str">
        <f t="shared" si="22"/>
        <v>111</v>
      </c>
      <c r="Q140" s="1">
        <v>0.22584954094835885</v>
      </c>
      <c r="R140" s="1">
        <v>0.13996270328141647</v>
      </c>
    </row>
    <row r="141" spans="1:18" x14ac:dyDescent="0.35">
      <c r="A141" t="s">
        <v>143</v>
      </c>
      <c r="B141" s="2">
        <f t="shared" si="17"/>
        <v>45345</v>
      </c>
      <c r="C141" s="3">
        <f t="shared" si="23"/>
        <v>-45345</v>
      </c>
      <c r="D141">
        <f t="shared" si="18"/>
        <v>182</v>
      </c>
      <c r="E141">
        <f t="shared" si="19"/>
        <v>6</v>
      </c>
      <c r="F141">
        <f t="shared" si="20"/>
        <v>1</v>
      </c>
      <c r="G141">
        <f t="shared" si="24"/>
        <v>1</v>
      </c>
      <c r="H141">
        <f t="shared" si="21"/>
        <v>1</v>
      </c>
      <c r="I141" s="4" t="str">
        <f t="shared" si="22"/>
        <v>111</v>
      </c>
      <c r="Q141" s="1">
        <v>0.66762047225179333</v>
      </c>
      <c r="R141" s="1">
        <v>9.7116258331919947E-2</v>
      </c>
    </row>
    <row r="142" spans="1:18" x14ac:dyDescent="0.35">
      <c r="A142" t="s">
        <v>144</v>
      </c>
      <c r="B142" s="2">
        <f t="shared" si="17"/>
        <v>45395</v>
      </c>
      <c r="C142" s="3">
        <f t="shared" si="23"/>
        <v>-45395</v>
      </c>
      <c r="D142">
        <f t="shared" si="18"/>
        <v>315</v>
      </c>
      <c r="E142">
        <f t="shared" si="19"/>
        <v>10</v>
      </c>
      <c r="F142">
        <f t="shared" si="20"/>
        <v>1</v>
      </c>
      <c r="G142">
        <f t="shared" si="24"/>
        <v>1</v>
      </c>
      <c r="H142">
        <f t="shared" si="21"/>
        <v>1</v>
      </c>
      <c r="I142" s="4" t="str">
        <f t="shared" si="22"/>
        <v>111</v>
      </c>
      <c r="Q142" s="1">
        <v>0.22160593584544275</v>
      </c>
      <c r="R142" s="1">
        <v>0.18854431982520303</v>
      </c>
    </row>
    <row r="143" spans="1:18" x14ac:dyDescent="0.35">
      <c r="A143" t="s">
        <v>145</v>
      </c>
      <c r="B143" s="2">
        <f t="shared" si="17"/>
        <v>45834</v>
      </c>
      <c r="C143" s="3">
        <f t="shared" si="23"/>
        <v>-45834</v>
      </c>
      <c r="D143">
        <f t="shared" si="18"/>
        <v>1488</v>
      </c>
      <c r="E143">
        <f t="shared" si="19"/>
        <v>50</v>
      </c>
      <c r="F143">
        <f t="shared" si="20"/>
        <v>5</v>
      </c>
      <c r="G143">
        <f t="shared" si="24"/>
        <v>5</v>
      </c>
      <c r="H143">
        <f t="shared" si="21"/>
        <v>5</v>
      </c>
      <c r="I143" s="4" t="str">
        <f t="shared" si="22"/>
        <v>555</v>
      </c>
      <c r="Q143" s="1">
        <v>0.70346360506880967</v>
      </c>
      <c r="R143" s="1">
        <v>0.99205876039216734</v>
      </c>
    </row>
    <row r="144" spans="1:18" x14ac:dyDescent="0.35">
      <c r="A144" t="s">
        <v>146</v>
      </c>
      <c r="B144" s="2">
        <f t="shared" si="17"/>
        <v>45370</v>
      </c>
      <c r="C144" s="3">
        <f t="shared" si="23"/>
        <v>-45370</v>
      </c>
      <c r="D144">
        <f t="shared" si="18"/>
        <v>248</v>
      </c>
      <c r="E144">
        <f t="shared" si="19"/>
        <v>8</v>
      </c>
      <c r="F144">
        <f t="shared" si="20"/>
        <v>1</v>
      </c>
      <c r="G144">
        <f t="shared" si="24"/>
        <v>1</v>
      </c>
      <c r="H144">
        <f t="shared" si="21"/>
        <v>1</v>
      </c>
      <c r="I144" s="4" t="str">
        <f t="shared" si="22"/>
        <v>111</v>
      </c>
      <c r="Q144" s="1">
        <v>0.55735457033009717</v>
      </c>
      <c r="R144" s="1">
        <v>0.14277872138300529</v>
      </c>
    </row>
    <row r="145" spans="1:18" x14ac:dyDescent="0.35">
      <c r="A145" t="s">
        <v>147</v>
      </c>
      <c r="B145" s="2">
        <f t="shared" si="17"/>
        <v>45739</v>
      </c>
      <c r="C145" s="3">
        <f t="shared" si="23"/>
        <v>-45739</v>
      </c>
      <c r="D145">
        <f t="shared" si="18"/>
        <v>1236</v>
      </c>
      <c r="E145">
        <f t="shared" si="19"/>
        <v>41</v>
      </c>
      <c r="F145">
        <f t="shared" si="20"/>
        <v>5</v>
      </c>
      <c r="G145">
        <f t="shared" si="24"/>
        <v>5</v>
      </c>
      <c r="H145">
        <f t="shared" si="21"/>
        <v>5</v>
      </c>
      <c r="I145" s="4" t="str">
        <f t="shared" si="22"/>
        <v>555</v>
      </c>
      <c r="Q145" s="1">
        <v>0.50822096350405344</v>
      </c>
      <c r="R145" s="1">
        <v>0.81906765457781772</v>
      </c>
    </row>
    <row r="146" spans="1:18" x14ac:dyDescent="0.35">
      <c r="A146" t="s">
        <v>148</v>
      </c>
      <c r="B146" s="2">
        <f t="shared" si="17"/>
        <v>45470</v>
      </c>
      <c r="C146" s="3">
        <f t="shared" si="23"/>
        <v>-45470</v>
      </c>
      <c r="D146">
        <f t="shared" si="18"/>
        <v>516</v>
      </c>
      <c r="E146">
        <f t="shared" si="19"/>
        <v>17</v>
      </c>
      <c r="F146">
        <f t="shared" si="20"/>
        <v>2</v>
      </c>
      <c r="G146">
        <f t="shared" si="24"/>
        <v>2</v>
      </c>
      <c r="H146">
        <f t="shared" si="21"/>
        <v>2</v>
      </c>
      <c r="I146" s="4" t="str">
        <f t="shared" si="22"/>
        <v>222</v>
      </c>
      <c r="Q146" s="1">
        <v>0.49346258350687444</v>
      </c>
      <c r="R146" s="1">
        <v>0.32609800466481376</v>
      </c>
    </row>
    <row r="147" spans="1:18" x14ac:dyDescent="0.35">
      <c r="A147" t="s">
        <v>149</v>
      </c>
      <c r="B147" s="2">
        <f t="shared" si="17"/>
        <v>45397</v>
      </c>
      <c r="C147" s="3">
        <f t="shared" si="23"/>
        <v>-45397</v>
      </c>
      <c r="D147">
        <f t="shared" si="18"/>
        <v>320</v>
      </c>
      <c r="E147">
        <f t="shared" si="19"/>
        <v>10</v>
      </c>
      <c r="F147">
        <f t="shared" si="20"/>
        <v>1</v>
      </c>
      <c r="G147">
        <f t="shared" si="24"/>
        <v>1</v>
      </c>
      <c r="H147">
        <f t="shared" si="21"/>
        <v>1</v>
      </c>
      <c r="I147" s="4" t="str">
        <f t="shared" si="22"/>
        <v>111</v>
      </c>
      <c r="Q147" s="1">
        <v>0.17113153827284777</v>
      </c>
      <c r="R147" s="1">
        <v>0.19171800842563669</v>
      </c>
    </row>
    <row r="148" spans="1:18" x14ac:dyDescent="0.35">
      <c r="A148" t="s">
        <v>150</v>
      </c>
      <c r="B148" s="2">
        <f t="shared" si="17"/>
        <v>45422</v>
      </c>
      <c r="C148" s="3">
        <f t="shared" si="23"/>
        <v>-45422</v>
      </c>
      <c r="D148">
        <f t="shared" si="18"/>
        <v>389</v>
      </c>
      <c r="E148">
        <f t="shared" si="19"/>
        <v>13</v>
      </c>
      <c r="F148">
        <f t="shared" si="20"/>
        <v>2</v>
      </c>
      <c r="G148">
        <f t="shared" si="24"/>
        <v>2</v>
      </c>
      <c r="H148">
        <f t="shared" si="21"/>
        <v>2</v>
      </c>
      <c r="I148" s="4" t="str">
        <f t="shared" si="22"/>
        <v>222</v>
      </c>
      <c r="Q148" s="1">
        <v>0.25940156111413137</v>
      </c>
      <c r="R148" s="1">
        <v>0.23871440011532885</v>
      </c>
    </row>
    <row r="149" spans="1:18" x14ac:dyDescent="0.35">
      <c r="A149" t="s">
        <v>151</v>
      </c>
      <c r="B149" s="2">
        <f t="shared" si="17"/>
        <v>45415</v>
      </c>
      <c r="C149" s="3">
        <f t="shared" si="23"/>
        <v>-45415</v>
      </c>
      <c r="D149">
        <f t="shared" si="18"/>
        <v>368</v>
      </c>
      <c r="E149">
        <f t="shared" si="19"/>
        <v>12</v>
      </c>
      <c r="F149">
        <f t="shared" si="20"/>
        <v>1</v>
      </c>
      <c r="G149">
        <f t="shared" si="24"/>
        <v>1</v>
      </c>
      <c r="H149">
        <f t="shared" si="21"/>
        <v>1</v>
      </c>
      <c r="I149" s="4" t="str">
        <f t="shared" si="22"/>
        <v>111</v>
      </c>
      <c r="Q149" s="1">
        <v>0.77278805817808693</v>
      </c>
      <c r="R149" s="1">
        <v>0.22478820513012476</v>
      </c>
    </row>
    <row r="150" spans="1:18" x14ac:dyDescent="0.35">
      <c r="A150" t="s">
        <v>152</v>
      </c>
      <c r="B150" s="2">
        <f t="shared" si="17"/>
        <v>45740</v>
      </c>
      <c r="C150" s="3">
        <f t="shared" si="23"/>
        <v>-45740</v>
      </c>
      <c r="D150">
        <f t="shared" si="18"/>
        <v>1238</v>
      </c>
      <c r="E150">
        <f t="shared" si="19"/>
        <v>41</v>
      </c>
      <c r="F150">
        <f t="shared" si="20"/>
        <v>5</v>
      </c>
      <c r="G150">
        <f t="shared" si="24"/>
        <v>5</v>
      </c>
      <c r="H150">
        <f t="shared" si="21"/>
        <v>5</v>
      </c>
      <c r="I150" s="4" t="str">
        <f t="shared" si="22"/>
        <v>555</v>
      </c>
      <c r="Q150" s="1">
        <v>4.6588264864856344E-2</v>
      </c>
      <c r="R150" s="1">
        <v>0.82082104005314094</v>
      </c>
    </row>
    <row r="151" spans="1:18" x14ac:dyDescent="0.35">
      <c r="A151" t="s">
        <v>153</v>
      </c>
      <c r="B151" s="2">
        <f t="shared" si="17"/>
        <v>45487</v>
      </c>
      <c r="C151" s="3">
        <f t="shared" si="23"/>
        <v>-45487</v>
      </c>
      <c r="D151">
        <f t="shared" si="18"/>
        <v>562</v>
      </c>
      <c r="E151">
        <f t="shared" si="19"/>
        <v>19</v>
      </c>
      <c r="F151">
        <f t="shared" si="20"/>
        <v>2</v>
      </c>
      <c r="G151">
        <f t="shared" si="24"/>
        <v>2</v>
      </c>
      <c r="H151">
        <f t="shared" si="21"/>
        <v>2</v>
      </c>
      <c r="I151" s="4" t="str">
        <f t="shared" si="22"/>
        <v>222</v>
      </c>
      <c r="Q151" s="1">
        <v>0.41021494016489479</v>
      </c>
      <c r="R151" s="1">
        <v>0.35754856580391647</v>
      </c>
    </row>
    <row r="152" spans="1:18" x14ac:dyDescent="0.35">
      <c r="A152" t="s">
        <v>154</v>
      </c>
      <c r="B152" s="2">
        <f t="shared" si="17"/>
        <v>45741</v>
      </c>
      <c r="C152" s="3">
        <f t="shared" si="23"/>
        <v>-45741</v>
      </c>
      <c r="D152">
        <f t="shared" si="18"/>
        <v>1240</v>
      </c>
      <c r="E152">
        <f t="shared" si="19"/>
        <v>41</v>
      </c>
      <c r="F152">
        <f t="shared" si="20"/>
        <v>5</v>
      </c>
      <c r="G152">
        <f t="shared" si="24"/>
        <v>5</v>
      </c>
      <c r="H152">
        <f t="shared" si="21"/>
        <v>5</v>
      </c>
      <c r="I152" s="4" t="str">
        <f t="shared" si="22"/>
        <v>555</v>
      </c>
      <c r="Q152" s="1">
        <v>0.49091518306377513</v>
      </c>
      <c r="R152" s="1">
        <v>0.82190122772853869</v>
      </c>
    </row>
    <row r="153" spans="1:18" x14ac:dyDescent="0.35">
      <c r="A153" t="s">
        <v>155</v>
      </c>
      <c r="B153" s="2">
        <f t="shared" si="17"/>
        <v>45571</v>
      </c>
      <c r="C153" s="3">
        <f t="shared" si="23"/>
        <v>-45571</v>
      </c>
      <c r="D153">
        <f t="shared" si="18"/>
        <v>785</v>
      </c>
      <c r="E153">
        <f t="shared" si="19"/>
        <v>26</v>
      </c>
      <c r="F153">
        <f t="shared" si="20"/>
        <v>4</v>
      </c>
      <c r="G153">
        <f t="shared" si="24"/>
        <v>4</v>
      </c>
      <c r="H153">
        <f t="shared" si="21"/>
        <v>4</v>
      </c>
      <c r="I153" s="4" t="str">
        <f t="shared" si="22"/>
        <v>444</v>
      </c>
      <c r="Q153" s="1">
        <v>0.17688911003459951</v>
      </c>
      <c r="R153" s="1">
        <v>0.51017843329174473</v>
      </c>
    </row>
    <row r="154" spans="1:18" x14ac:dyDescent="0.35">
      <c r="A154" t="s">
        <v>156</v>
      </c>
      <c r="B154" s="2">
        <f t="shared" si="17"/>
        <v>45344</v>
      </c>
      <c r="C154" s="3">
        <f t="shared" si="23"/>
        <v>-45344</v>
      </c>
      <c r="D154">
        <f t="shared" si="18"/>
        <v>180</v>
      </c>
      <c r="E154">
        <f t="shared" si="19"/>
        <v>6</v>
      </c>
      <c r="F154">
        <f t="shared" si="20"/>
        <v>1</v>
      </c>
      <c r="G154">
        <f t="shared" si="24"/>
        <v>1</v>
      </c>
      <c r="H154">
        <f t="shared" si="21"/>
        <v>1</v>
      </c>
      <c r="I154" s="4" t="str">
        <f t="shared" si="22"/>
        <v>111</v>
      </c>
      <c r="Q154" s="1">
        <v>0.14613776808465728</v>
      </c>
      <c r="R154" s="1">
        <v>9.6093621088631842E-2</v>
      </c>
    </row>
    <row r="155" spans="1:18" x14ac:dyDescent="0.35">
      <c r="A155" t="s">
        <v>157</v>
      </c>
      <c r="B155" s="2">
        <f t="shared" si="17"/>
        <v>45295</v>
      </c>
      <c r="C155" s="3">
        <f t="shared" si="23"/>
        <v>-45295</v>
      </c>
      <c r="D155">
        <f t="shared" si="18"/>
        <v>48</v>
      </c>
      <c r="E155">
        <f t="shared" si="19"/>
        <v>1</v>
      </c>
      <c r="F155">
        <f t="shared" si="20"/>
        <v>1</v>
      </c>
      <c r="G155">
        <f t="shared" si="24"/>
        <v>1</v>
      </c>
      <c r="H155">
        <f t="shared" si="21"/>
        <v>1</v>
      </c>
      <c r="I155" s="4" t="str">
        <f t="shared" si="22"/>
        <v>111</v>
      </c>
      <c r="Q155" s="1">
        <v>0.30456310721878432</v>
      </c>
      <c r="R155" s="1">
        <v>5.5642794710347721E-3</v>
      </c>
    </row>
    <row r="156" spans="1:18" x14ac:dyDescent="0.35">
      <c r="A156" t="s">
        <v>158</v>
      </c>
      <c r="B156" s="2">
        <f t="shared" si="17"/>
        <v>45769</v>
      </c>
      <c r="C156" s="3">
        <f t="shared" si="23"/>
        <v>-45769</v>
      </c>
      <c r="D156">
        <f t="shared" si="18"/>
        <v>1316</v>
      </c>
      <c r="E156">
        <f t="shared" si="19"/>
        <v>44</v>
      </c>
      <c r="F156">
        <f t="shared" si="20"/>
        <v>5</v>
      </c>
      <c r="G156">
        <f t="shared" si="24"/>
        <v>5</v>
      </c>
      <c r="H156">
        <f t="shared" si="21"/>
        <v>5</v>
      </c>
      <c r="I156" s="4" t="str">
        <f t="shared" si="22"/>
        <v>555</v>
      </c>
      <c r="Q156" s="1">
        <v>0.81541091561494705</v>
      </c>
      <c r="R156" s="1">
        <v>0.87429559867174722</v>
      </c>
    </row>
    <row r="157" spans="1:18" x14ac:dyDescent="0.35">
      <c r="A157" t="s">
        <v>159</v>
      </c>
      <c r="B157" s="2">
        <f t="shared" si="17"/>
        <v>45350</v>
      </c>
      <c r="C157" s="3">
        <f t="shared" si="23"/>
        <v>-45350</v>
      </c>
      <c r="D157">
        <f t="shared" si="18"/>
        <v>196</v>
      </c>
      <c r="E157">
        <f t="shared" si="19"/>
        <v>6</v>
      </c>
      <c r="F157">
        <f t="shared" si="20"/>
        <v>1</v>
      </c>
      <c r="G157">
        <f t="shared" si="24"/>
        <v>1</v>
      </c>
      <c r="H157">
        <f t="shared" si="21"/>
        <v>1</v>
      </c>
      <c r="I157" s="4" t="str">
        <f t="shared" si="22"/>
        <v>111</v>
      </c>
      <c r="Q157" s="1">
        <v>0.63521817656941504</v>
      </c>
      <c r="R157" s="1">
        <v>0.10685886582563053</v>
      </c>
    </row>
    <row r="158" spans="1:18" x14ac:dyDescent="0.35">
      <c r="A158" t="s">
        <v>160</v>
      </c>
      <c r="B158" s="2">
        <f t="shared" si="17"/>
        <v>45744</v>
      </c>
      <c r="C158" s="3">
        <f t="shared" si="23"/>
        <v>-45744</v>
      </c>
      <c r="D158">
        <f t="shared" si="18"/>
        <v>1250</v>
      </c>
      <c r="E158">
        <f t="shared" si="19"/>
        <v>42</v>
      </c>
      <c r="F158">
        <f t="shared" si="20"/>
        <v>5</v>
      </c>
      <c r="G158">
        <f t="shared" si="24"/>
        <v>5</v>
      </c>
      <c r="H158">
        <f t="shared" si="21"/>
        <v>5</v>
      </c>
      <c r="I158" s="4" t="str">
        <f t="shared" si="22"/>
        <v>555</v>
      </c>
      <c r="Q158" s="1">
        <v>0.99539714801934676</v>
      </c>
      <c r="R158" s="1">
        <v>0.82870868633159311</v>
      </c>
    </row>
    <row r="159" spans="1:18" x14ac:dyDescent="0.35">
      <c r="A159" t="s">
        <v>161</v>
      </c>
      <c r="B159" s="2">
        <f t="shared" si="17"/>
        <v>45709</v>
      </c>
      <c r="C159" s="3">
        <f t="shared" si="23"/>
        <v>-45709</v>
      </c>
      <c r="D159">
        <f t="shared" si="18"/>
        <v>1154</v>
      </c>
      <c r="E159">
        <f t="shared" si="19"/>
        <v>38</v>
      </c>
      <c r="F159">
        <f t="shared" si="20"/>
        <v>4</v>
      </c>
      <c r="G159">
        <f t="shared" si="24"/>
        <v>4</v>
      </c>
      <c r="H159">
        <f t="shared" si="21"/>
        <v>4</v>
      </c>
      <c r="I159" s="4" t="str">
        <f t="shared" si="22"/>
        <v>444</v>
      </c>
      <c r="Q159" s="1">
        <v>0.2358161835959961</v>
      </c>
      <c r="R159" s="1">
        <v>0.76285729533526569</v>
      </c>
    </row>
    <row r="160" spans="1:18" x14ac:dyDescent="0.35">
      <c r="A160" t="s">
        <v>162</v>
      </c>
      <c r="B160" s="2">
        <f t="shared" si="17"/>
        <v>45298</v>
      </c>
      <c r="C160" s="3">
        <f t="shared" si="23"/>
        <v>-45298</v>
      </c>
      <c r="D160">
        <f t="shared" si="18"/>
        <v>56</v>
      </c>
      <c r="E160">
        <f t="shared" si="19"/>
        <v>2</v>
      </c>
      <c r="F160">
        <f t="shared" si="20"/>
        <v>1</v>
      </c>
      <c r="G160">
        <f t="shared" si="24"/>
        <v>1</v>
      </c>
      <c r="H160">
        <f t="shared" si="21"/>
        <v>1</v>
      </c>
      <c r="I160" s="4" t="str">
        <f t="shared" si="22"/>
        <v>111</v>
      </c>
      <c r="Q160" s="1">
        <v>7.3040731455758512E-2</v>
      </c>
      <c r="R160" s="1">
        <v>1.1114229439162959E-2</v>
      </c>
    </row>
    <row r="161" spans="1:18" x14ac:dyDescent="0.35">
      <c r="A161" t="s">
        <v>163</v>
      </c>
      <c r="B161" s="2">
        <f t="shared" si="17"/>
        <v>45603</v>
      </c>
      <c r="C161" s="3">
        <f t="shared" si="23"/>
        <v>-45603</v>
      </c>
      <c r="D161">
        <f t="shared" si="18"/>
        <v>870</v>
      </c>
      <c r="E161">
        <f t="shared" si="19"/>
        <v>29</v>
      </c>
      <c r="F161">
        <f t="shared" si="20"/>
        <v>4</v>
      </c>
      <c r="G161">
        <f t="shared" si="24"/>
        <v>4</v>
      </c>
      <c r="H161">
        <f t="shared" si="21"/>
        <v>4</v>
      </c>
      <c r="I161" s="4" t="str">
        <f t="shared" si="22"/>
        <v>444</v>
      </c>
      <c r="Q161" s="1">
        <v>0.89364394981565543</v>
      </c>
      <c r="R161" s="1">
        <v>0.56870064175795465</v>
      </c>
    </row>
    <row r="162" spans="1:18" x14ac:dyDescent="0.35">
      <c r="A162" t="s">
        <v>164</v>
      </c>
      <c r="B162" s="2">
        <f t="shared" si="17"/>
        <v>45722</v>
      </c>
      <c r="C162" s="3">
        <f t="shared" si="23"/>
        <v>-45722</v>
      </c>
      <c r="D162">
        <f t="shared" si="18"/>
        <v>1191</v>
      </c>
      <c r="E162">
        <f t="shared" si="19"/>
        <v>40</v>
      </c>
      <c r="F162">
        <f t="shared" si="20"/>
        <v>5</v>
      </c>
      <c r="G162">
        <f t="shared" si="24"/>
        <v>5</v>
      </c>
      <c r="H162">
        <f t="shared" si="21"/>
        <v>5</v>
      </c>
      <c r="I162" s="4" t="str">
        <f t="shared" si="22"/>
        <v>555</v>
      </c>
      <c r="Q162" s="1">
        <v>0.91530622399331241</v>
      </c>
      <c r="R162" s="1">
        <v>0.78820898803875339</v>
      </c>
    </row>
    <row r="163" spans="1:18" x14ac:dyDescent="0.35">
      <c r="A163" t="s">
        <v>165</v>
      </c>
      <c r="B163" s="2">
        <f t="shared" si="17"/>
        <v>45509</v>
      </c>
      <c r="C163" s="3">
        <f t="shared" si="23"/>
        <v>-45509</v>
      </c>
      <c r="D163">
        <f t="shared" si="18"/>
        <v>620</v>
      </c>
      <c r="E163">
        <f t="shared" si="19"/>
        <v>20</v>
      </c>
      <c r="F163">
        <f t="shared" si="20"/>
        <v>2</v>
      </c>
      <c r="G163">
        <f t="shared" si="24"/>
        <v>2</v>
      </c>
      <c r="H163">
        <f t="shared" si="21"/>
        <v>2</v>
      </c>
      <c r="I163" s="4" t="str">
        <f t="shared" si="22"/>
        <v>222</v>
      </c>
      <c r="Q163" s="1">
        <v>0.73928620203941864</v>
      </c>
      <c r="R163" s="1">
        <v>0.39756499722225647</v>
      </c>
    </row>
    <row r="164" spans="1:18" x14ac:dyDescent="0.35">
      <c r="A164" t="s">
        <v>166</v>
      </c>
      <c r="B164" s="2">
        <f t="shared" si="17"/>
        <v>45420</v>
      </c>
      <c r="C164" s="3">
        <f t="shared" si="23"/>
        <v>-45420</v>
      </c>
      <c r="D164">
        <f t="shared" si="18"/>
        <v>382</v>
      </c>
      <c r="E164">
        <f t="shared" si="19"/>
        <v>12</v>
      </c>
      <c r="F164">
        <f t="shared" si="20"/>
        <v>2</v>
      </c>
      <c r="G164">
        <f t="shared" si="24"/>
        <v>1</v>
      </c>
      <c r="H164">
        <f t="shared" si="21"/>
        <v>1</v>
      </c>
      <c r="I164" s="4" t="str">
        <f t="shared" si="22"/>
        <v>211</v>
      </c>
      <c r="Q164" s="1">
        <v>2.4733606137174458E-2</v>
      </c>
      <c r="R164" s="1">
        <v>0.23404996422754021</v>
      </c>
    </row>
    <row r="165" spans="1:18" x14ac:dyDescent="0.35">
      <c r="A165" t="s">
        <v>167</v>
      </c>
      <c r="B165" s="2">
        <f t="shared" si="17"/>
        <v>45600</v>
      </c>
      <c r="C165" s="3">
        <f t="shared" si="23"/>
        <v>-45600</v>
      </c>
      <c r="D165">
        <f t="shared" si="18"/>
        <v>864</v>
      </c>
      <c r="E165">
        <f t="shared" si="19"/>
        <v>29</v>
      </c>
      <c r="F165">
        <f t="shared" si="20"/>
        <v>4</v>
      </c>
      <c r="G165">
        <f t="shared" si="24"/>
        <v>4</v>
      </c>
      <c r="H165">
        <f t="shared" si="21"/>
        <v>4</v>
      </c>
      <c r="I165" s="4" t="str">
        <f t="shared" si="22"/>
        <v>444</v>
      </c>
      <c r="Q165" s="1">
        <v>0.7250411400567498</v>
      </c>
      <c r="R165" s="1">
        <v>0.56424455203618629</v>
      </c>
    </row>
    <row r="166" spans="1:18" x14ac:dyDescent="0.35">
      <c r="A166" t="s">
        <v>168</v>
      </c>
      <c r="B166" s="2">
        <f t="shared" si="17"/>
        <v>45551</v>
      </c>
      <c r="C166" s="3">
        <f t="shared" si="23"/>
        <v>-45551</v>
      </c>
      <c r="D166">
        <f t="shared" si="18"/>
        <v>733</v>
      </c>
      <c r="E166">
        <f t="shared" si="19"/>
        <v>24</v>
      </c>
      <c r="F166">
        <f t="shared" si="20"/>
        <v>2</v>
      </c>
      <c r="G166">
        <f t="shared" si="24"/>
        <v>2</v>
      </c>
      <c r="H166">
        <f t="shared" si="21"/>
        <v>2</v>
      </c>
      <c r="I166" s="4" t="str">
        <f t="shared" si="22"/>
        <v>222</v>
      </c>
      <c r="Q166" s="1">
        <v>0.67166214936374879</v>
      </c>
      <c r="R166" s="1">
        <v>0.47444676919315609</v>
      </c>
    </row>
    <row r="167" spans="1:18" x14ac:dyDescent="0.35">
      <c r="A167" t="s">
        <v>169</v>
      </c>
      <c r="B167" s="2">
        <f t="shared" si="17"/>
        <v>45541</v>
      </c>
      <c r="C167" s="3">
        <f t="shared" si="23"/>
        <v>-45541</v>
      </c>
      <c r="D167">
        <f t="shared" si="18"/>
        <v>707</v>
      </c>
      <c r="E167">
        <f t="shared" si="19"/>
        <v>23</v>
      </c>
      <c r="F167">
        <f t="shared" si="20"/>
        <v>2</v>
      </c>
      <c r="G167">
        <f t="shared" si="24"/>
        <v>2</v>
      </c>
      <c r="H167">
        <f t="shared" si="21"/>
        <v>2</v>
      </c>
      <c r="I167" s="4" t="str">
        <f t="shared" si="22"/>
        <v>222</v>
      </c>
      <c r="Q167" s="1">
        <v>0.78651289256368995</v>
      </c>
      <c r="R167" s="1">
        <v>0.45670925714791244</v>
      </c>
    </row>
    <row r="168" spans="1:18" x14ac:dyDescent="0.35">
      <c r="A168" t="s">
        <v>170</v>
      </c>
      <c r="B168" s="2">
        <f t="shared" si="17"/>
        <v>45409</v>
      </c>
      <c r="C168" s="3">
        <f t="shared" si="23"/>
        <v>-45409</v>
      </c>
      <c r="D168">
        <f t="shared" si="18"/>
        <v>353</v>
      </c>
      <c r="E168">
        <f t="shared" si="19"/>
        <v>12</v>
      </c>
      <c r="F168">
        <f t="shared" si="20"/>
        <v>1</v>
      </c>
      <c r="G168">
        <f t="shared" si="24"/>
        <v>1</v>
      </c>
      <c r="H168">
        <f t="shared" si="21"/>
        <v>1</v>
      </c>
      <c r="I168" s="4" t="str">
        <f t="shared" si="22"/>
        <v>111</v>
      </c>
      <c r="Q168" s="1">
        <v>0.61725196467831622</v>
      </c>
      <c r="R168" s="1">
        <v>0.21470023317052811</v>
      </c>
    </row>
    <row r="169" spans="1:18" x14ac:dyDescent="0.35">
      <c r="A169" t="s">
        <v>171</v>
      </c>
      <c r="B169" s="2">
        <f t="shared" si="17"/>
        <v>45828</v>
      </c>
      <c r="C169" s="3">
        <f t="shared" si="23"/>
        <v>-45828</v>
      </c>
      <c r="D169">
        <f t="shared" si="18"/>
        <v>1473</v>
      </c>
      <c r="E169">
        <f t="shared" si="19"/>
        <v>49</v>
      </c>
      <c r="F169">
        <f t="shared" si="20"/>
        <v>5</v>
      </c>
      <c r="G169">
        <f t="shared" si="24"/>
        <v>5</v>
      </c>
      <c r="H169">
        <f t="shared" si="21"/>
        <v>5</v>
      </c>
      <c r="I169" s="4" t="str">
        <f t="shared" si="22"/>
        <v>555</v>
      </c>
      <c r="Q169" s="1">
        <v>0.13736838258131689</v>
      </c>
      <c r="R169" s="1">
        <v>0.98147016753613159</v>
      </c>
    </row>
    <row r="170" spans="1:18" x14ac:dyDescent="0.35">
      <c r="A170" t="s">
        <v>172</v>
      </c>
      <c r="B170" s="2">
        <f t="shared" si="17"/>
        <v>45618</v>
      </c>
      <c r="C170" s="3">
        <f t="shared" si="23"/>
        <v>-45618</v>
      </c>
      <c r="D170">
        <f t="shared" si="18"/>
        <v>910</v>
      </c>
      <c r="E170">
        <f t="shared" si="19"/>
        <v>30</v>
      </c>
      <c r="F170">
        <f t="shared" si="20"/>
        <v>4</v>
      </c>
      <c r="G170">
        <f t="shared" si="24"/>
        <v>4</v>
      </c>
      <c r="H170">
        <f t="shared" si="21"/>
        <v>4</v>
      </c>
      <c r="I170" s="4" t="str">
        <f t="shared" si="22"/>
        <v>444</v>
      </c>
      <c r="Q170" s="1">
        <v>0.13846509275021324</v>
      </c>
      <c r="R170" s="1">
        <v>0.59616851937799165</v>
      </c>
    </row>
    <row r="171" spans="1:18" x14ac:dyDescent="0.35">
      <c r="A171" t="s">
        <v>173</v>
      </c>
      <c r="B171" s="2">
        <f t="shared" si="17"/>
        <v>45579</v>
      </c>
      <c r="C171" s="3">
        <f t="shared" si="23"/>
        <v>-45579</v>
      </c>
      <c r="D171">
        <f t="shared" si="18"/>
        <v>808</v>
      </c>
      <c r="E171">
        <f t="shared" si="19"/>
        <v>27</v>
      </c>
      <c r="F171">
        <f t="shared" si="20"/>
        <v>4</v>
      </c>
      <c r="G171">
        <f t="shared" si="24"/>
        <v>4</v>
      </c>
      <c r="H171">
        <f t="shared" si="21"/>
        <v>4</v>
      </c>
      <c r="I171" s="4" t="str">
        <f t="shared" si="22"/>
        <v>444</v>
      </c>
      <c r="Q171" s="1">
        <v>0.23034691718735756</v>
      </c>
      <c r="R171" s="1">
        <v>0.52611282002049753</v>
      </c>
    </row>
    <row r="172" spans="1:18" x14ac:dyDescent="0.35">
      <c r="A172" t="s">
        <v>174</v>
      </c>
      <c r="B172" s="2">
        <f t="shared" si="17"/>
        <v>45318</v>
      </c>
      <c r="C172" s="3">
        <f t="shared" si="23"/>
        <v>-45318</v>
      </c>
      <c r="D172">
        <f t="shared" si="18"/>
        <v>110</v>
      </c>
      <c r="E172">
        <f t="shared" si="19"/>
        <v>3</v>
      </c>
      <c r="F172">
        <f t="shared" si="20"/>
        <v>1</v>
      </c>
      <c r="G172">
        <f t="shared" si="24"/>
        <v>1</v>
      </c>
      <c r="H172">
        <f t="shared" si="21"/>
        <v>1</v>
      </c>
      <c r="I172" s="4" t="str">
        <f t="shared" si="22"/>
        <v>111</v>
      </c>
      <c r="Q172" s="1">
        <v>0.43617391697333407</v>
      </c>
      <c r="R172" s="1">
        <v>4.7769323574610056E-2</v>
      </c>
    </row>
    <row r="173" spans="1:18" x14ac:dyDescent="0.35">
      <c r="A173" t="s">
        <v>175</v>
      </c>
      <c r="B173" s="2">
        <f t="shared" si="17"/>
        <v>45398</v>
      </c>
      <c r="C173" s="3">
        <f t="shared" si="23"/>
        <v>-45398</v>
      </c>
      <c r="D173">
        <f t="shared" si="18"/>
        <v>324</v>
      </c>
      <c r="E173">
        <f t="shared" si="19"/>
        <v>11</v>
      </c>
      <c r="F173">
        <f t="shared" si="20"/>
        <v>1</v>
      </c>
      <c r="G173">
        <f t="shared" si="24"/>
        <v>1</v>
      </c>
      <c r="H173">
        <f t="shared" si="21"/>
        <v>1</v>
      </c>
      <c r="I173" s="4" t="str">
        <f t="shared" si="22"/>
        <v>111</v>
      </c>
      <c r="Q173" s="1">
        <v>0.61725853316460755</v>
      </c>
      <c r="R173" s="1">
        <v>0.19458867023532411</v>
      </c>
    </row>
    <row r="174" spans="1:18" x14ac:dyDescent="0.35">
      <c r="A174" t="s">
        <v>176</v>
      </c>
      <c r="B174" s="2">
        <f t="shared" si="17"/>
        <v>45638</v>
      </c>
      <c r="C174" s="3">
        <f t="shared" si="23"/>
        <v>-45638</v>
      </c>
      <c r="D174">
        <f t="shared" si="18"/>
        <v>965</v>
      </c>
      <c r="E174">
        <f t="shared" si="19"/>
        <v>32</v>
      </c>
      <c r="F174">
        <f t="shared" si="20"/>
        <v>4</v>
      </c>
      <c r="G174">
        <f t="shared" si="24"/>
        <v>4</v>
      </c>
      <c r="H174">
        <f t="shared" si="21"/>
        <v>4</v>
      </c>
      <c r="I174" s="4" t="str">
        <f t="shared" si="22"/>
        <v>444</v>
      </c>
      <c r="Q174" s="1">
        <v>0.77272636238549697</v>
      </c>
      <c r="R174" s="1">
        <v>0.63323286441520998</v>
      </c>
    </row>
    <row r="175" spans="1:18" x14ac:dyDescent="0.35">
      <c r="A175" t="s">
        <v>177</v>
      </c>
      <c r="B175" s="2">
        <f t="shared" si="17"/>
        <v>45313</v>
      </c>
      <c r="C175" s="3">
        <f t="shared" si="23"/>
        <v>-45313</v>
      </c>
      <c r="D175">
        <f t="shared" si="18"/>
        <v>97</v>
      </c>
      <c r="E175">
        <f t="shared" si="19"/>
        <v>3</v>
      </c>
      <c r="F175">
        <f t="shared" si="20"/>
        <v>1</v>
      </c>
      <c r="G175">
        <f t="shared" si="24"/>
        <v>1</v>
      </c>
      <c r="H175">
        <f t="shared" si="21"/>
        <v>1</v>
      </c>
      <c r="I175" s="4" t="str">
        <f t="shared" si="22"/>
        <v>111</v>
      </c>
      <c r="Q175" s="1">
        <v>0.73764533583317593</v>
      </c>
      <c r="R175" s="1">
        <v>3.9255259114485686E-2</v>
      </c>
    </row>
    <row r="176" spans="1:18" x14ac:dyDescent="0.35">
      <c r="A176" t="s">
        <v>178</v>
      </c>
      <c r="B176" s="2">
        <f t="shared" si="17"/>
        <v>45793</v>
      </c>
      <c r="C176" s="3">
        <f t="shared" si="23"/>
        <v>-45793</v>
      </c>
      <c r="D176">
        <f t="shared" si="18"/>
        <v>1379</v>
      </c>
      <c r="E176">
        <f t="shared" si="19"/>
        <v>46</v>
      </c>
      <c r="F176">
        <f t="shared" si="20"/>
        <v>5</v>
      </c>
      <c r="G176">
        <f t="shared" si="24"/>
        <v>5</v>
      </c>
      <c r="H176">
        <f t="shared" si="21"/>
        <v>5</v>
      </c>
      <c r="I176" s="4" t="str">
        <f t="shared" si="22"/>
        <v>555</v>
      </c>
      <c r="Q176" s="1">
        <v>0.3434396636310737</v>
      </c>
      <c r="R176" s="1">
        <v>0.91718475286745405</v>
      </c>
    </row>
    <row r="177" spans="1:18" x14ac:dyDescent="0.35">
      <c r="A177" t="s">
        <v>179</v>
      </c>
      <c r="B177" s="2">
        <f t="shared" si="17"/>
        <v>45357</v>
      </c>
      <c r="C177" s="3">
        <f t="shared" si="23"/>
        <v>-45357</v>
      </c>
      <c r="D177">
        <f t="shared" si="18"/>
        <v>214</v>
      </c>
      <c r="E177">
        <f t="shared" si="19"/>
        <v>7</v>
      </c>
      <c r="F177">
        <f t="shared" si="20"/>
        <v>1</v>
      </c>
      <c r="G177">
        <f t="shared" si="24"/>
        <v>1</v>
      </c>
      <c r="H177">
        <f t="shared" si="21"/>
        <v>1</v>
      </c>
      <c r="I177" s="4" t="str">
        <f t="shared" si="22"/>
        <v>111</v>
      </c>
      <c r="Q177" s="1">
        <v>0.6183521683606622</v>
      </c>
      <c r="R177" s="1">
        <v>0.11908373367920888</v>
      </c>
    </row>
    <row r="178" spans="1:18" x14ac:dyDescent="0.35">
      <c r="A178" t="s">
        <v>180</v>
      </c>
      <c r="B178" s="2">
        <f t="shared" si="17"/>
        <v>45789</v>
      </c>
      <c r="C178" s="3">
        <f t="shared" si="23"/>
        <v>-45789</v>
      </c>
      <c r="D178">
        <f t="shared" si="18"/>
        <v>1369</v>
      </c>
      <c r="E178">
        <f t="shared" si="19"/>
        <v>46</v>
      </c>
      <c r="F178">
        <f t="shared" si="20"/>
        <v>5</v>
      </c>
      <c r="G178">
        <f t="shared" si="24"/>
        <v>5</v>
      </c>
      <c r="H178">
        <f t="shared" si="21"/>
        <v>5</v>
      </c>
      <c r="I178" s="4" t="str">
        <f t="shared" si="22"/>
        <v>555</v>
      </c>
      <c r="Q178" s="1">
        <v>0.62411143019341686</v>
      </c>
      <c r="R178" s="1">
        <v>0.9100011996938393</v>
      </c>
    </row>
    <row r="179" spans="1:18" x14ac:dyDescent="0.35">
      <c r="A179" t="s">
        <v>181</v>
      </c>
      <c r="B179" s="2">
        <f t="shared" si="17"/>
        <v>45417</v>
      </c>
      <c r="C179" s="3">
        <f t="shared" si="23"/>
        <v>-45417</v>
      </c>
      <c r="D179">
        <f t="shared" si="18"/>
        <v>373</v>
      </c>
      <c r="E179">
        <f t="shared" si="19"/>
        <v>12</v>
      </c>
      <c r="F179">
        <f t="shared" si="20"/>
        <v>1</v>
      </c>
      <c r="G179">
        <f t="shared" si="24"/>
        <v>1</v>
      </c>
      <c r="H179">
        <f t="shared" si="21"/>
        <v>1</v>
      </c>
      <c r="I179" s="4" t="str">
        <f t="shared" si="22"/>
        <v>111</v>
      </c>
      <c r="Q179" s="1">
        <v>0.50205352357330824</v>
      </c>
      <c r="R179" s="1">
        <v>0.228384166508108</v>
      </c>
    </row>
    <row r="180" spans="1:18" x14ac:dyDescent="0.35">
      <c r="A180" t="s">
        <v>182</v>
      </c>
      <c r="B180" s="2">
        <f t="shared" si="17"/>
        <v>45394</v>
      </c>
      <c r="C180" s="3">
        <f t="shared" si="23"/>
        <v>-45394</v>
      </c>
      <c r="D180">
        <f t="shared" si="18"/>
        <v>313</v>
      </c>
      <c r="E180">
        <f t="shared" si="19"/>
        <v>10</v>
      </c>
      <c r="F180">
        <f t="shared" si="20"/>
        <v>1</v>
      </c>
      <c r="G180">
        <f t="shared" si="24"/>
        <v>1</v>
      </c>
      <c r="H180">
        <f t="shared" si="21"/>
        <v>1</v>
      </c>
      <c r="I180" s="4" t="str">
        <f t="shared" si="22"/>
        <v>111</v>
      </c>
      <c r="Q180" s="1">
        <v>0.86256005859727081</v>
      </c>
      <c r="R180" s="1">
        <v>0.18686573832804265</v>
      </c>
    </row>
    <row r="181" spans="1:18" x14ac:dyDescent="0.35">
      <c r="A181" t="s">
        <v>183</v>
      </c>
      <c r="B181" s="2">
        <f t="shared" si="17"/>
        <v>45357</v>
      </c>
      <c r="C181" s="3">
        <f t="shared" si="23"/>
        <v>-45357</v>
      </c>
      <c r="D181">
        <f t="shared" si="18"/>
        <v>214</v>
      </c>
      <c r="E181">
        <f t="shared" si="19"/>
        <v>7</v>
      </c>
      <c r="F181">
        <f t="shared" si="20"/>
        <v>1</v>
      </c>
      <c r="G181">
        <f t="shared" si="24"/>
        <v>1</v>
      </c>
      <c r="H181">
        <f t="shared" si="21"/>
        <v>1</v>
      </c>
      <c r="I181" s="4" t="str">
        <f t="shared" si="22"/>
        <v>111</v>
      </c>
      <c r="Q181" s="1">
        <v>0.9057286271691547</v>
      </c>
      <c r="R181" s="1">
        <v>0.11888118855164986</v>
      </c>
    </row>
    <row r="182" spans="1:18" x14ac:dyDescent="0.35">
      <c r="A182" t="s">
        <v>184</v>
      </c>
      <c r="B182" s="2">
        <f t="shared" si="17"/>
        <v>45316</v>
      </c>
      <c r="C182" s="3">
        <f t="shared" si="23"/>
        <v>-45316</v>
      </c>
      <c r="D182">
        <f t="shared" si="18"/>
        <v>104</v>
      </c>
      <c r="E182">
        <f t="shared" si="19"/>
        <v>3</v>
      </c>
      <c r="F182">
        <f t="shared" si="20"/>
        <v>1</v>
      </c>
      <c r="G182">
        <f t="shared" si="24"/>
        <v>1</v>
      </c>
      <c r="H182">
        <f t="shared" si="21"/>
        <v>1</v>
      </c>
      <c r="I182" s="4" t="str">
        <f t="shared" si="22"/>
        <v>111</v>
      </c>
      <c r="Q182" s="1">
        <v>0.6393155765607007</v>
      </c>
      <c r="R182" s="1">
        <v>4.4095284245286748E-2</v>
      </c>
    </row>
    <row r="183" spans="1:18" x14ac:dyDescent="0.35">
      <c r="A183" t="s">
        <v>185</v>
      </c>
      <c r="B183" s="2">
        <f t="shared" si="17"/>
        <v>45391</v>
      </c>
      <c r="C183" s="3">
        <f t="shared" si="23"/>
        <v>-45391</v>
      </c>
      <c r="D183">
        <f t="shared" si="18"/>
        <v>305</v>
      </c>
      <c r="E183">
        <f t="shared" si="19"/>
        <v>10</v>
      </c>
      <c r="F183">
        <f t="shared" si="20"/>
        <v>1</v>
      </c>
      <c r="G183">
        <f t="shared" si="24"/>
        <v>1</v>
      </c>
      <c r="H183">
        <f t="shared" si="21"/>
        <v>1</v>
      </c>
      <c r="I183" s="4" t="str">
        <f t="shared" si="22"/>
        <v>111</v>
      </c>
      <c r="Q183" s="1">
        <v>0.84684758887124378</v>
      </c>
      <c r="R183" s="1">
        <v>0.18152108419478263</v>
      </c>
    </row>
    <row r="184" spans="1:18" x14ac:dyDescent="0.35">
      <c r="A184" t="s">
        <v>186</v>
      </c>
      <c r="B184" s="2">
        <f t="shared" si="17"/>
        <v>45426</v>
      </c>
      <c r="C184" s="3">
        <f t="shared" si="23"/>
        <v>-45426</v>
      </c>
      <c r="D184">
        <f t="shared" si="18"/>
        <v>399</v>
      </c>
      <c r="E184">
        <f t="shared" si="19"/>
        <v>13</v>
      </c>
      <c r="F184">
        <f t="shared" si="20"/>
        <v>2</v>
      </c>
      <c r="G184">
        <f t="shared" si="24"/>
        <v>2</v>
      </c>
      <c r="H184">
        <f t="shared" si="21"/>
        <v>2</v>
      </c>
      <c r="I184" s="4" t="str">
        <f t="shared" si="22"/>
        <v>222</v>
      </c>
      <c r="Q184" s="1">
        <v>0.54413440345922026</v>
      </c>
      <c r="R184" s="1">
        <v>0.24568599214937625</v>
      </c>
    </row>
    <row r="185" spans="1:18" x14ac:dyDescent="0.35">
      <c r="A185" t="s">
        <v>187</v>
      </c>
      <c r="B185" s="2">
        <f t="shared" si="17"/>
        <v>45805</v>
      </c>
      <c r="C185" s="3">
        <f t="shared" si="23"/>
        <v>-45805</v>
      </c>
      <c r="D185">
        <f t="shared" si="18"/>
        <v>1412</v>
      </c>
      <c r="E185">
        <f t="shared" si="19"/>
        <v>47</v>
      </c>
      <c r="F185">
        <f t="shared" si="20"/>
        <v>5</v>
      </c>
      <c r="G185">
        <f t="shared" si="24"/>
        <v>5</v>
      </c>
      <c r="H185">
        <f t="shared" si="21"/>
        <v>5</v>
      </c>
      <c r="I185" s="4" t="str">
        <f t="shared" si="22"/>
        <v>555</v>
      </c>
      <c r="Q185" s="1">
        <v>0.90178157959544647</v>
      </c>
      <c r="R185" s="1">
        <v>0.93977436502978551</v>
      </c>
    </row>
    <row r="186" spans="1:18" x14ac:dyDescent="0.35">
      <c r="A186" t="s">
        <v>188</v>
      </c>
      <c r="B186" s="2">
        <f t="shared" si="17"/>
        <v>45665</v>
      </c>
      <c r="C186" s="3">
        <f t="shared" si="23"/>
        <v>-45665</v>
      </c>
      <c r="D186">
        <f t="shared" si="18"/>
        <v>1039</v>
      </c>
      <c r="E186">
        <f t="shared" si="19"/>
        <v>35</v>
      </c>
      <c r="F186">
        <f t="shared" si="20"/>
        <v>4</v>
      </c>
      <c r="G186">
        <f t="shared" si="24"/>
        <v>4</v>
      </c>
      <c r="H186">
        <f t="shared" si="21"/>
        <v>4</v>
      </c>
      <c r="I186" s="4" t="str">
        <f t="shared" si="22"/>
        <v>444</v>
      </c>
      <c r="Q186" s="1">
        <v>0.31993016170685662</v>
      </c>
      <c r="R186" s="1">
        <v>0.6840169075912309</v>
      </c>
    </row>
    <row r="187" spans="1:18" x14ac:dyDescent="0.35">
      <c r="A187" t="s">
        <v>189</v>
      </c>
      <c r="B187" s="2">
        <f t="shared" si="17"/>
        <v>45437</v>
      </c>
      <c r="C187" s="3">
        <f t="shared" si="23"/>
        <v>-45437</v>
      </c>
      <c r="D187">
        <f t="shared" si="18"/>
        <v>429</v>
      </c>
      <c r="E187">
        <f t="shared" si="19"/>
        <v>14</v>
      </c>
      <c r="F187">
        <f t="shared" si="20"/>
        <v>2</v>
      </c>
      <c r="G187">
        <f t="shared" si="24"/>
        <v>2</v>
      </c>
      <c r="H187">
        <f t="shared" si="21"/>
        <v>2</v>
      </c>
      <c r="I187" s="4" t="str">
        <f t="shared" si="22"/>
        <v>222</v>
      </c>
      <c r="Q187" s="1">
        <v>0.54956009258968064</v>
      </c>
      <c r="R187" s="1">
        <v>0.2663739409042678</v>
      </c>
    </row>
    <row r="188" spans="1:18" x14ac:dyDescent="0.35">
      <c r="A188" t="s">
        <v>190</v>
      </c>
      <c r="B188" s="2">
        <f t="shared" si="17"/>
        <v>45697</v>
      </c>
      <c r="C188" s="3">
        <f t="shared" si="23"/>
        <v>-45697</v>
      </c>
      <c r="D188">
        <f t="shared" si="18"/>
        <v>1122</v>
      </c>
      <c r="E188">
        <f t="shared" si="19"/>
        <v>37</v>
      </c>
      <c r="F188">
        <f t="shared" si="20"/>
        <v>4</v>
      </c>
      <c r="G188">
        <f t="shared" si="24"/>
        <v>4</v>
      </c>
      <c r="H188">
        <f t="shared" si="21"/>
        <v>4</v>
      </c>
      <c r="I188" s="4" t="str">
        <f t="shared" si="22"/>
        <v>444</v>
      </c>
      <c r="Q188" s="1">
        <v>0.32593790539230849</v>
      </c>
      <c r="R188" s="1">
        <v>0.7414351755434524</v>
      </c>
    </row>
    <row r="189" spans="1:18" x14ac:dyDescent="0.35">
      <c r="A189" t="s">
        <v>191</v>
      </c>
      <c r="B189" s="2">
        <f t="shared" si="17"/>
        <v>45830</v>
      </c>
      <c r="C189" s="3">
        <f t="shared" si="23"/>
        <v>-45830</v>
      </c>
      <c r="D189">
        <f t="shared" si="18"/>
        <v>1480</v>
      </c>
      <c r="E189">
        <f t="shared" si="19"/>
        <v>49</v>
      </c>
      <c r="F189">
        <f t="shared" si="20"/>
        <v>5</v>
      </c>
      <c r="G189">
        <f t="shared" si="24"/>
        <v>5</v>
      </c>
      <c r="H189">
        <f t="shared" si="21"/>
        <v>5</v>
      </c>
      <c r="I189" s="4" t="str">
        <f t="shared" si="22"/>
        <v>555</v>
      </c>
      <c r="Q189" s="1">
        <v>0.19204701388835499</v>
      </c>
      <c r="R189" s="1">
        <v>0.98606049038020727</v>
      </c>
    </row>
    <row r="190" spans="1:18" x14ac:dyDescent="0.35">
      <c r="A190" t="s">
        <v>192</v>
      </c>
      <c r="B190" s="2">
        <f t="shared" si="17"/>
        <v>45412</v>
      </c>
      <c r="C190" s="3">
        <f t="shared" si="23"/>
        <v>-45412</v>
      </c>
      <c r="D190">
        <f t="shared" si="18"/>
        <v>362</v>
      </c>
      <c r="E190">
        <f t="shared" si="19"/>
        <v>12</v>
      </c>
      <c r="F190">
        <f t="shared" si="20"/>
        <v>1</v>
      </c>
      <c r="G190">
        <f t="shared" si="24"/>
        <v>1</v>
      </c>
      <c r="H190">
        <f t="shared" si="21"/>
        <v>1</v>
      </c>
      <c r="I190" s="4" t="str">
        <f t="shared" si="22"/>
        <v>111</v>
      </c>
      <c r="Q190" s="1">
        <v>0.43838561530135733</v>
      </c>
      <c r="R190" s="1">
        <v>0.22045672905211389</v>
      </c>
    </row>
    <row r="191" spans="1:18" x14ac:dyDescent="0.35">
      <c r="A191" t="s">
        <v>193</v>
      </c>
      <c r="B191" s="2">
        <f t="shared" si="17"/>
        <v>45565</v>
      </c>
      <c r="C191" s="3">
        <f t="shared" si="23"/>
        <v>-45565</v>
      </c>
      <c r="D191">
        <f t="shared" si="18"/>
        <v>769</v>
      </c>
      <c r="E191">
        <f t="shared" si="19"/>
        <v>25</v>
      </c>
      <c r="F191">
        <f t="shared" si="20"/>
        <v>3</v>
      </c>
      <c r="G191">
        <f t="shared" si="24"/>
        <v>2</v>
      </c>
      <c r="H191">
        <f t="shared" si="21"/>
        <v>3</v>
      </c>
      <c r="I191" s="4" t="str">
        <f t="shared" si="22"/>
        <v>323</v>
      </c>
      <c r="Q191" s="1">
        <v>0.20688425664101706</v>
      </c>
      <c r="R191" s="1">
        <v>0.49938261872619549</v>
      </c>
    </row>
    <row r="192" spans="1:18" x14ac:dyDescent="0.35">
      <c r="A192" t="s">
        <v>194</v>
      </c>
      <c r="B192" s="2">
        <f t="shared" si="17"/>
        <v>45384</v>
      </c>
      <c r="C192" s="3">
        <f t="shared" si="23"/>
        <v>-45384</v>
      </c>
      <c r="D192">
        <f t="shared" si="18"/>
        <v>286</v>
      </c>
      <c r="E192">
        <f t="shared" si="19"/>
        <v>9</v>
      </c>
      <c r="F192">
        <f t="shared" si="20"/>
        <v>1</v>
      </c>
      <c r="G192">
        <f t="shared" si="24"/>
        <v>1</v>
      </c>
      <c r="H192">
        <f t="shared" si="21"/>
        <v>1</v>
      </c>
      <c r="I192" s="4" t="str">
        <f t="shared" si="22"/>
        <v>111</v>
      </c>
      <c r="Q192" s="1">
        <v>0.54315145124945163</v>
      </c>
      <c r="R192" s="1">
        <v>0.16835170541244704</v>
      </c>
    </row>
    <row r="193" spans="1:18" x14ac:dyDescent="0.35">
      <c r="A193" t="s">
        <v>195</v>
      </c>
      <c r="B193" s="2">
        <f t="shared" si="17"/>
        <v>45676</v>
      </c>
      <c r="C193" s="3">
        <f t="shared" si="23"/>
        <v>-45676</v>
      </c>
      <c r="D193">
        <f t="shared" si="18"/>
        <v>1066</v>
      </c>
      <c r="E193">
        <f t="shared" si="19"/>
        <v>35</v>
      </c>
      <c r="F193">
        <f t="shared" si="20"/>
        <v>4</v>
      </c>
      <c r="G193">
        <f t="shared" si="24"/>
        <v>4</v>
      </c>
      <c r="H193">
        <f t="shared" si="21"/>
        <v>4</v>
      </c>
      <c r="I193" s="4" t="str">
        <f t="shared" si="22"/>
        <v>444</v>
      </c>
      <c r="Q193" s="1">
        <v>0.97628968194311416</v>
      </c>
      <c r="R193" s="1">
        <v>0.70295577268473997</v>
      </c>
    </row>
    <row r="194" spans="1:18" x14ac:dyDescent="0.35">
      <c r="A194" t="s">
        <v>196</v>
      </c>
      <c r="B194" s="2">
        <f t="shared" si="17"/>
        <v>45352</v>
      </c>
      <c r="C194" s="3">
        <f t="shared" si="23"/>
        <v>-45352</v>
      </c>
      <c r="D194">
        <f t="shared" si="18"/>
        <v>199</v>
      </c>
      <c r="E194">
        <f t="shared" si="19"/>
        <v>6</v>
      </c>
      <c r="F194">
        <f t="shared" si="20"/>
        <v>1</v>
      </c>
      <c r="G194">
        <f t="shared" si="24"/>
        <v>1</v>
      </c>
      <c r="H194">
        <f t="shared" si="21"/>
        <v>1</v>
      </c>
      <c r="I194" s="4" t="str">
        <f t="shared" si="22"/>
        <v>111</v>
      </c>
      <c r="Q194" s="1">
        <v>0.40886426460430358</v>
      </c>
      <c r="R194" s="1">
        <v>0.10899034552298004</v>
      </c>
    </row>
    <row r="195" spans="1:18" x14ac:dyDescent="0.35">
      <c r="A195" t="s">
        <v>197</v>
      </c>
      <c r="B195" s="2">
        <f t="shared" ref="B195:B258" si="25">ROUND(R195*(45838-45292)+45292,0)</f>
        <v>45443</v>
      </c>
      <c r="C195" s="3">
        <f t="shared" si="23"/>
        <v>-45443</v>
      </c>
      <c r="D195">
        <f t="shared" ref="D195:D258" si="26">ROUND((R195)*(1500-40)+40,0)</f>
        <v>443</v>
      </c>
      <c r="E195">
        <f t="shared" ref="E195:E258" si="27">ROUND((R195)*(50-1)+1,0)</f>
        <v>15</v>
      </c>
      <c r="F195">
        <f t="shared" ref="F195:F258" si="28">IF(C195&lt;=$M$4,5,IF(C195&lt;=$M$9,4,IF(C195&lt;=$M$5,3,IF(C195&lt;=$M$6,2,1))))</f>
        <v>2</v>
      </c>
      <c r="G195">
        <f t="shared" si="24"/>
        <v>2</v>
      </c>
      <c r="H195">
        <f t="shared" ref="H195:H258" si="29">IF(D195&lt;=$M$24,1,IF(D195&lt;=$M$25,2,IF(D195&lt;=$M$29,3,IF(D195&lt;=$M$26,4,5))))</f>
        <v>2</v>
      </c>
      <c r="I195" s="4" t="str">
        <f t="shared" ref="I195:I258" si="30">CONCATENATE(F195,G195,H195)</f>
        <v>222</v>
      </c>
      <c r="Q195" s="1">
        <v>0.65818539129697151</v>
      </c>
      <c r="R195" s="1">
        <v>0.27569252245611153</v>
      </c>
    </row>
    <row r="196" spans="1:18" x14ac:dyDescent="0.35">
      <c r="A196" t="s">
        <v>198</v>
      </c>
      <c r="B196" s="2">
        <f t="shared" si="25"/>
        <v>45511</v>
      </c>
      <c r="C196" s="3">
        <f t="shared" ref="C196:C259" si="31">$S$4-B196</f>
        <v>-45511</v>
      </c>
      <c r="D196">
        <f t="shared" si="26"/>
        <v>627</v>
      </c>
      <c r="E196">
        <f t="shared" si="27"/>
        <v>21</v>
      </c>
      <c r="F196">
        <f t="shared" si="28"/>
        <v>2</v>
      </c>
      <c r="G196">
        <f t="shared" ref="G196:G259" si="32">IF(E196&lt;=$M$14,1,IF(E196&lt;=$M$15,2,IF(E196&lt;=$M$19,3,IF(E196&lt;=$M$16,4,5))))</f>
        <v>2</v>
      </c>
      <c r="H196">
        <f t="shared" si="29"/>
        <v>2</v>
      </c>
      <c r="I196" s="4" t="str">
        <f t="shared" si="30"/>
        <v>222</v>
      </c>
      <c r="Q196" s="1">
        <v>0.81211744829862897</v>
      </c>
      <c r="R196" s="1">
        <v>0.40181636262568488</v>
      </c>
    </row>
    <row r="197" spans="1:18" x14ac:dyDescent="0.35">
      <c r="A197" t="s">
        <v>199</v>
      </c>
      <c r="B197" s="2">
        <f t="shared" si="25"/>
        <v>45757</v>
      </c>
      <c r="C197" s="3">
        <f t="shared" si="31"/>
        <v>-45757</v>
      </c>
      <c r="D197">
        <f t="shared" si="26"/>
        <v>1282</v>
      </c>
      <c r="E197">
        <f t="shared" si="27"/>
        <v>43</v>
      </c>
      <c r="F197">
        <f t="shared" si="28"/>
        <v>5</v>
      </c>
      <c r="G197">
        <f t="shared" si="32"/>
        <v>5</v>
      </c>
      <c r="H197">
        <f t="shared" si="29"/>
        <v>5</v>
      </c>
      <c r="I197" s="4" t="str">
        <f t="shared" si="30"/>
        <v>555</v>
      </c>
      <c r="Q197" s="1">
        <v>0.71794481160924406</v>
      </c>
      <c r="R197" s="1">
        <v>0.8508902170288023</v>
      </c>
    </row>
    <row r="198" spans="1:18" x14ac:dyDescent="0.35">
      <c r="A198" t="s">
        <v>200</v>
      </c>
      <c r="B198" s="2">
        <f t="shared" si="25"/>
        <v>45552</v>
      </c>
      <c r="C198" s="3">
        <f t="shared" si="31"/>
        <v>-45552</v>
      </c>
      <c r="D198">
        <f t="shared" si="26"/>
        <v>736</v>
      </c>
      <c r="E198">
        <f t="shared" si="27"/>
        <v>24</v>
      </c>
      <c r="F198">
        <f t="shared" si="28"/>
        <v>2</v>
      </c>
      <c r="G198">
        <f t="shared" si="32"/>
        <v>2</v>
      </c>
      <c r="H198">
        <f t="shared" si="29"/>
        <v>2</v>
      </c>
      <c r="I198" s="4" t="str">
        <f t="shared" si="30"/>
        <v>222</v>
      </c>
      <c r="Q198" s="1">
        <v>0.66273273833069557</v>
      </c>
      <c r="R198" s="1">
        <v>0.47700449813723445</v>
      </c>
    </row>
    <row r="199" spans="1:18" x14ac:dyDescent="0.35">
      <c r="A199" t="s">
        <v>201</v>
      </c>
      <c r="B199" s="2">
        <f t="shared" si="25"/>
        <v>45583</v>
      </c>
      <c r="C199" s="3">
        <f t="shared" si="31"/>
        <v>-45583</v>
      </c>
      <c r="D199">
        <f t="shared" si="26"/>
        <v>817</v>
      </c>
      <c r="E199">
        <f t="shared" si="27"/>
        <v>27</v>
      </c>
      <c r="F199">
        <f t="shared" si="28"/>
        <v>4</v>
      </c>
      <c r="G199">
        <f t="shared" si="32"/>
        <v>4</v>
      </c>
      <c r="H199">
        <f t="shared" si="29"/>
        <v>4</v>
      </c>
      <c r="I199" s="4" t="str">
        <f t="shared" si="30"/>
        <v>444</v>
      </c>
      <c r="Q199" s="1">
        <v>2.145878737046536E-2</v>
      </c>
      <c r="R199" s="1">
        <v>0.53244144562290796</v>
      </c>
    </row>
    <row r="200" spans="1:18" x14ac:dyDescent="0.35">
      <c r="A200" t="s">
        <v>202</v>
      </c>
      <c r="B200" s="2">
        <f t="shared" si="25"/>
        <v>45498</v>
      </c>
      <c r="C200" s="3">
        <f t="shared" si="31"/>
        <v>-45498</v>
      </c>
      <c r="D200">
        <f t="shared" si="26"/>
        <v>590</v>
      </c>
      <c r="E200">
        <f t="shared" si="27"/>
        <v>19</v>
      </c>
      <c r="F200">
        <f t="shared" si="28"/>
        <v>2</v>
      </c>
      <c r="G200">
        <f t="shared" si="32"/>
        <v>2</v>
      </c>
      <c r="H200">
        <f t="shared" si="29"/>
        <v>2</v>
      </c>
      <c r="I200" s="4" t="str">
        <f t="shared" si="30"/>
        <v>222</v>
      </c>
      <c r="Q200" s="1">
        <v>0.60533733052974625</v>
      </c>
      <c r="R200" s="1">
        <v>0.37675158479185211</v>
      </c>
    </row>
    <row r="201" spans="1:18" x14ac:dyDescent="0.35">
      <c r="A201" t="s">
        <v>203</v>
      </c>
      <c r="B201" s="2">
        <f t="shared" si="25"/>
        <v>45641</v>
      </c>
      <c r="C201" s="3">
        <f t="shared" si="31"/>
        <v>-45641</v>
      </c>
      <c r="D201">
        <f t="shared" si="26"/>
        <v>973</v>
      </c>
      <c r="E201">
        <f t="shared" si="27"/>
        <v>32</v>
      </c>
      <c r="F201">
        <f t="shared" si="28"/>
        <v>4</v>
      </c>
      <c r="G201">
        <f t="shared" si="32"/>
        <v>4</v>
      </c>
      <c r="H201">
        <f t="shared" si="29"/>
        <v>4</v>
      </c>
      <c r="I201" s="4" t="str">
        <f t="shared" si="30"/>
        <v>444</v>
      </c>
      <c r="Q201" s="1">
        <v>0.61359406681460904</v>
      </c>
      <c r="R201" s="1">
        <v>0.63897686996776948</v>
      </c>
    </row>
    <row r="202" spans="1:18" x14ac:dyDescent="0.35">
      <c r="A202" t="s">
        <v>204</v>
      </c>
      <c r="B202" s="2">
        <f t="shared" si="25"/>
        <v>45654</v>
      </c>
      <c r="C202" s="3">
        <f t="shared" si="31"/>
        <v>-45654</v>
      </c>
      <c r="D202">
        <f t="shared" si="26"/>
        <v>1009</v>
      </c>
      <c r="E202">
        <f t="shared" si="27"/>
        <v>34</v>
      </c>
      <c r="F202">
        <f t="shared" si="28"/>
        <v>4</v>
      </c>
      <c r="G202">
        <f t="shared" si="32"/>
        <v>4</v>
      </c>
      <c r="H202">
        <f t="shared" si="29"/>
        <v>4</v>
      </c>
      <c r="I202" s="4" t="str">
        <f t="shared" si="30"/>
        <v>444</v>
      </c>
      <c r="Q202" s="1">
        <v>0.79615061383900199</v>
      </c>
      <c r="R202" s="1">
        <v>0.66374757344589397</v>
      </c>
    </row>
    <row r="203" spans="1:18" x14ac:dyDescent="0.35">
      <c r="A203" t="s">
        <v>205</v>
      </c>
      <c r="B203" s="2">
        <f t="shared" si="25"/>
        <v>45767</v>
      </c>
      <c r="C203" s="3">
        <f t="shared" si="31"/>
        <v>-45767</v>
      </c>
      <c r="D203">
        <f t="shared" si="26"/>
        <v>1310</v>
      </c>
      <c r="E203">
        <f t="shared" si="27"/>
        <v>44</v>
      </c>
      <c r="F203">
        <f t="shared" si="28"/>
        <v>5</v>
      </c>
      <c r="G203">
        <f t="shared" si="32"/>
        <v>5</v>
      </c>
      <c r="H203">
        <f t="shared" si="29"/>
        <v>5</v>
      </c>
      <c r="I203" s="4" t="str">
        <f t="shared" si="30"/>
        <v>555</v>
      </c>
      <c r="Q203" s="1">
        <v>0.89761684047278756</v>
      </c>
      <c r="R203" s="1">
        <v>0.87013741709605963</v>
      </c>
    </row>
    <row r="204" spans="1:18" x14ac:dyDescent="0.35">
      <c r="A204" t="s">
        <v>206</v>
      </c>
      <c r="B204" s="2">
        <f t="shared" si="25"/>
        <v>45757</v>
      </c>
      <c r="C204" s="3">
        <f t="shared" si="31"/>
        <v>-45757</v>
      </c>
      <c r="D204">
        <f t="shared" si="26"/>
        <v>1284</v>
      </c>
      <c r="E204">
        <f t="shared" si="27"/>
        <v>43</v>
      </c>
      <c r="F204">
        <f t="shared" si="28"/>
        <v>5</v>
      </c>
      <c r="G204">
        <f t="shared" si="32"/>
        <v>5</v>
      </c>
      <c r="H204">
        <f t="shared" si="29"/>
        <v>5</v>
      </c>
      <c r="I204" s="4" t="str">
        <f t="shared" si="30"/>
        <v>555</v>
      </c>
      <c r="Q204" s="1">
        <v>0.91758508863873467</v>
      </c>
      <c r="R204" s="1">
        <v>0.85209632708024685</v>
      </c>
    </row>
    <row r="205" spans="1:18" x14ac:dyDescent="0.35">
      <c r="A205" t="s">
        <v>207</v>
      </c>
      <c r="B205" s="2">
        <f t="shared" si="25"/>
        <v>45371</v>
      </c>
      <c r="C205" s="3">
        <f t="shared" si="31"/>
        <v>-45371</v>
      </c>
      <c r="D205">
        <f t="shared" si="26"/>
        <v>252</v>
      </c>
      <c r="E205">
        <f t="shared" si="27"/>
        <v>8</v>
      </c>
      <c r="F205">
        <f t="shared" si="28"/>
        <v>1</v>
      </c>
      <c r="G205">
        <f t="shared" si="32"/>
        <v>1</v>
      </c>
      <c r="H205">
        <f t="shared" si="29"/>
        <v>1</v>
      </c>
      <c r="I205" s="4" t="str">
        <f t="shared" si="30"/>
        <v>111</v>
      </c>
      <c r="Q205" s="1">
        <v>0.70578807589625048</v>
      </c>
      <c r="R205" s="1">
        <v>0.14538746799308777</v>
      </c>
    </row>
    <row r="206" spans="1:18" x14ac:dyDescent="0.35">
      <c r="A206" t="s">
        <v>208</v>
      </c>
      <c r="B206" s="2">
        <f t="shared" si="25"/>
        <v>45787</v>
      </c>
      <c r="C206" s="3">
        <f t="shared" si="31"/>
        <v>-45787</v>
      </c>
      <c r="D206">
        <f t="shared" si="26"/>
        <v>1364</v>
      </c>
      <c r="E206">
        <f t="shared" si="27"/>
        <v>45</v>
      </c>
      <c r="F206">
        <f t="shared" si="28"/>
        <v>5</v>
      </c>
      <c r="G206">
        <f t="shared" si="32"/>
        <v>5</v>
      </c>
      <c r="H206">
        <f t="shared" si="29"/>
        <v>5</v>
      </c>
      <c r="I206" s="4" t="str">
        <f t="shared" si="30"/>
        <v>555</v>
      </c>
      <c r="Q206" s="1">
        <v>0.4914354375664981</v>
      </c>
      <c r="R206" s="1">
        <v>0.90652577391685885</v>
      </c>
    </row>
    <row r="207" spans="1:18" x14ac:dyDescent="0.35">
      <c r="A207" t="s">
        <v>209</v>
      </c>
      <c r="B207" s="2">
        <f t="shared" si="25"/>
        <v>45535</v>
      </c>
      <c r="C207" s="3">
        <f t="shared" si="31"/>
        <v>-45535</v>
      </c>
      <c r="D207">
        <f t="shared" si="26"/>
        <v>689</v>
      </c>
      <c r="E207">
        <f t="shared" si="27"/>
        <v>23</v>
      </c>
      <c r="F207">
        <f t="shared" si="28"/>
        <v>2</v>
      </c>
      <c r="G207">
        <f t="shared" si="32"/>
        <v>2</v>
      </c>
      <c r="H207">
        <f t="shared" si="29"/>
        <v>2</v>
      </c>
      <c r="I207" s="4" t="str">
        <f t="shared" si="30"/>
        <v>222</v>
      </c>
      <c r="Q207" s="1">
        <v>0.9403413393662029</v>
      </c>
      <c r="R207" s="1">
        <v>0.44449172287671534</v>
      </c>
    </row>
    <row r="208" spans="1:18" x14ac:dyDescent="0.35">
      <c r="A208" t="s">
        <v>210</v>
      </c>
      <c r="B208" s="2">
        <f t="shared" si="25"/>
        <v>45384</v>
      </c>
      <c r="C208" s="3">
        <f t="shared" si="31"/>
        <v>-45384</v>
      </c>
      <c r="D208">
        <f t="shared" si="26"/>
        <v>286</v>
      </c>
      <c r="E208">
        <f t="shared" si="27"/>
        <v>9</v>
      </c>
      <c r="F208">
        <f t="shared" si="28"/>
        <v>1</v>
      </c>
      <c r="G208">
        <f t="shared" si="32"/>
        <v>1</v>
      </c>
      <c r="H208">
        <f t="shared" si="29"/>
        <v>1</v>
      </c>
      <c r="I208" s="4" t="str">
        <f t="shared" si="30"/>
        <v>111</v>
      </c>
      <c r="Q208" s="1">
        <v>0.48239958663414051</v>
      </c>
      <c r="R208" s="1">
        <v>0.16838841379135139</v>
      </c>
    </row>
    <row r="209" spans="1:18" x14ac:dyDescent="0.35">
      <c r="A209" t="s">
        <v>211</v>
      </c>
      <c r="B209" s="2">
        <f t="shared" si="25"/>
        <v>45544</v>
      </c>
      <c r="C209" s="3">
        <f t="shared" si="31"/>
        <v>-45544</v>
      </c>
      <c r="D209">
        <f t="shared" si="26"/>
        <v>714</v>
      </c>
      <c r="E209">
        <f t="shared" si="27"/>
        <v>24</v>
      </c>
      <c r="F209">
        <f t="shared" si="28"/>
        <v>2</v>
      </c>
      <c r="G209">
        <f t="shared" si="32"/>
        <v>2</v>
      </c>
      <c r="H209">
        <f t="shared" si="29"/>
        <v>2</v>
      </c>
      <c r="I209" s="4" t="str">
        <f t="shared" si="30"/>
        <v>222</v>
      </c>
      <c r="Q209" s="1">
        <v>0.91048742036852537</v>
      </c>
      <c r="R209" s="1">
        <v>0.46168252879525007</v>
      </c>
    </row>
    <row r="210" spans="1:18" x14ac:dyDescent="0.35">
      <c r="A210" t="s">
        <v>212</v>
      </c>
      <c r="B210" s="2">
        <f t="shared" si="25"/>
        <v>45826</v>
      </c>
      <c r="C210" s="3">
        <f t="shared" si="31"/>
        <v>-45826</v>
      </c>
      <c r="D210">
        <f t="shared" si="26"/>
        <v>1468</v>
      </c>
      <c r="E210">
        <f t="shared" si="27"/>
        <v>49</v>
      </c>
      <c r="F210">
        <f t="shared" si="28"/>
        <v>5</v>
      </c>
      <c r="G210">
        <f t="shared" si="32"/>
        <v>5</v>
      </c>
      <c r="H210">
        <f t="shared" si="29"/>
        <v>5</v>
      </c>
      <c r="I210" s="4" t="str">
        <f t="shared" si="30"/>
        <v>555</v>
      </c>
      <c r="Q210" s="1">
        <v>0.96342193957681554</v>
      </c>
      <c r="R210" s="1">
        <v>0.97782361366816883</v>
      </c>
    </row>
    <row r="211" spans="1:18" x14ac:dyDescent="0.35">
      <c r="A211" t="s">
        <v>213</v>
      </c>
      <c r="B211" s="2">
        <f t="shared" si="25"/>
        <v>45808</v>
      </c>
      <c r="C211" s="3">
        <f t="shared" si="31"/>
        <v>-45808</v>
      </c>
      <c r="D211">
        <f t="shared" si="26"/>
        <v>1421</v>
      </c>
      <c r="E211">
        <f t="shared" si="27"/>
        <v>47</v>
      </c>
      <c r="F211">
        <f t="shared" si="28"/>
        <v>5</v>
      </c>
      <c r="G211">
        <f t="shared" si="32"/>
        <v>5</v>
      </c>
      <c r="H211">
        <f t="shared" si="29"/>
        <v>5</v>
      </c>
      <c r="I211" s="4" t="str">
        <f t="shared" si="30"/>
        <v>555</v>
      </c>
      <c r="Q211" s="1">
        <v>0.25877041043278459</v>
      </c>
      <c r="R211" s="1">
        <v>0.94581965247712185</v>
      </c>
    </row>
    <row r="212" spans="1:18" x14ac:dyDescent="0.35">
      <c r="A212" t="s">
        <v>214</v>
      </c>
      <c r="B212" s="2">
        <f t="shared" si="25"/>
        <v>45531</v>
      </c>
      <c r="C212" s="3">
        <f t="shared" si="31"/>
        <v>-45531</v>
      </c>
      <c r="D212">
        <f t="shared" si="26"/>
        <v>679</v>
      </c>
      <c r="E212">
        <f t="shared" si="27"/>
        <v>22</v>
      </c>
      <c r="F212">
        <f t="shared" si="28"/>
        <v>2</v>
      </c>
      <c r="G212">
        <f t="shared" si="32"/>
        <v>2</v>
      </c>
      <c r="H212">
        <f t="shared" si="29"/>
        <v>2</v>
      </c>
      <c r="I212" s="4" t="str">
        <f t="shared" si="30"/>
        <v>222</v>
      </c>
      <c r="Q212" s="1">
        <v>0.72649212361483451</v>
      </c>
      <c r="R212" s="1">
        <v>0.43742356456317144</v>
      </c>
    </row>
    <row r="213" spans="1:18" x14ac:dyDescent="0.35">
      <c r="A213" t="s">
        <v>215</v>
      </c>
      <c r="B213" s="2">
        <f t="shared" si="25"/>
        <v>45752</v>
      </c>
      <c r="C213" s="3">
        <f t="shared" si="31"/>
        <v>-45752</v>
      </c>
      <c r="D213">
        <f t="shared" si="26"/>
        <v>1271</v>
      </c>
      <c r="E213">
        <f t="shared" si="27"/>
        <v>42</v>
      </c>
      <c r="F213">
        <f t="shared" si="28"/>
        <v>5</v>
      </c>
      <c r="G213">
        <f t="shared" si="32"/>
        <v>5</v>
      </c>
      <c r="H213">
        <f t="shared" si="29"/>
        <v>5</v>
      </c>
      <c r="I213" s="4" t="str">
        <f t="shared" si="30"/>
        <v>555</v>
      </c>
      <c r="Q213" s="1">
        <v>0.94608374338400791</v>
      </c>
      <c r="R213" s="1">
        <v>0.84287895334761787</v>
      </c>
    </row>
    <row r="214" spans="1:18" x14ac:dyDescent="0.35">
      <c r="A214" t="s">
        <v>216</v>
      </c>
      <c r="B214" s="2">
        <f t="shared" si="25"/>
        <v>45485</v>
      </c>
      <c r="C214" s="3">
        <f t="shared" si="31"/>
        <v>-45485</v>
      </c>
      <c r="D214">
        <f t="shared" si="26"/>
        <v>555</v>
      </c>
      <c r="E214">
        <f t="shared" si="27"/>
        <v>18</v>
      </c>
      <c r="F214">
        <f t="shared" si="28"/>
        <v>2</v>
      </c>
      <c r="G214">
        <f t="shared" si="32"/>
        <v>2</v>
      </c>
      <c r="H214">
        <f t="shared" si="29"/>
        <v>2</v>
      </c>
      <c r="I214" s="4" t="str">
        <f t="shared" si="30"/>
        <v>222</v>
      </c>
      <c r="Q214" s="1">
        <v>0.33273568750018545</v>
      </c>
      <c r="R214" s="1">
        <v>0.35289946279280238</v>
      </c>
    </row>
    <row r="215" spans="1:18" x14ac:dyDescent="0.35">
      <c r="A215" t="s">
        <v>217</v>
      </c>
      <c r="B215" s="2">
        <f t="shared" si="25"/>
        <v>45473</v>
      </c>
      <c r="C215" s="3">
        <f t="shared" si="31"/>
        <v>-45473</v>
      </c>
      <c r="D215">
        <f t="shared" si="26"/>
        <v>525</v>
      </c>
      <c r="E215">
        <f t="shared" si="27"/>
        <v>17</v>
      </c>
      <c r="F215">
        <f t="shared" si="28"/>
        <v>2</v>
      </c>
      <c r="G215">
        <f t="shared" si="32"/>
        <v>2</v>
      </c>
      <c r="H215">
        <f t="shared" si="29"/>
        <v>2</v>
      </c>
      <c r="I215" s="4" t="str">
        <f t="shared" si="30"/>
        <v>222</v>
      </c>
      <c r="Q215" s="1">
        <v>0.28015321551372352</v>
      </c>
      <c r="R215" s="1">
        <v>0.33208699426902299</v>
      </c>
    </row>
    <row r="216" spans="1:18" x14ac:dyDescent="0.35">
      <c r="A216" t="s">
        <v>218</v>
      </c>
      <c r="B216" s="2">
        <f t="shared" si="25"/>
        <v>45823</v>
      </c>
      <c r="C216" s="3">
        <f t="shared" si="31"/>
        <v>-45823</v>
      </c>
      <c r="D216">
        <f t="shared" si="26"/>
        <v>1460</v>
      </c>
      <c r="E216">
        <f t="shared" si="27"/>
        <v>49</v>
      </c>
      <c r="F216">
        <f t="shared" si="28"/>
        <v>5</v>
      </c>
      <c r="G216">
        <f t="shared" si="32"/>
        <v>5</v>
      </c>
      <c r="H216">
        <f t="shared" si="29"/>
        <v>5</v>
      </c>
      <c r="I216" s="4" t="str">
        <f t="shared" si="30"/>
        <v>555</v>
      </c>
      <c r="Q216" s="1">
        <v>0.37462558621890607</v>
      </c>
      <c r="R216" s="1">
        <v>0.9723316685599771</v>
      </c>
    </row>
    <row r="217" spans="1:18" x14ac:dyDescent="0.35">
      <c r="A217" t="s">
        <v>219</v>
      </c>
      <c r="B217" s="2">
        <f t="shared" si="25"/>
        <v>45677</v>
      </c>
      <c r="C217" s="3">
        <f t="shared" si="31"/>
        <v>-45677</v>
      </c>
      <c r="D217">
        <f t="shared" si="26"/>
        <v>1070</v>
      </c>
      <c r="E217">
        <f t="shared" si="27"/>
        <v>36</v>
      </c>
      <c r="F217">
        <f t="shared" si="28"/>
        <v>4</v>
      </c>
      <c r="G217">
        <f t="shared" si="32"/>
        <v>4</v>
      </c>
      <c r="H217">
        <f t="shared" si="29"/>
        <v>4</v>
      </c>
      <c r="I217" s="4" t="str">
        <f t="shared" si="30"/>
        <v>444</v>
      </c>
      <c r="Q217" s="1">
        <v>0.61006853345436041</v>
      </c>
      <c r="R217" s="1">
        <v>0.70571147170884374</v>
      </c>
    </row>
    <row r="218" spans="1:18" x14ac:dyDescent="0.35">
      <c r="A218" t="s">
        <v>220</v>
      </c>
      <c r="B218" s="2">
        <f t="shared" si="25"/>
        <v>45490</v>
      </c>
      <c r="C218" s="3">
        <f t="shared" si="31"/>
        <v>-45490</v>
      </c>
      <c r="D218">
        <f t="shared" si="26"/>
        <v>569</v>
      </c>
      <c r="E218">
        <f t="shared" si="27"/>
        <v>19</v>
      </c>
      <c r="F218">
        <f t="shared" si="28"/>
        <v>2</v>
      </c>
      <c r="G218">
        <f t="shared" si="32"/>
        <v>2</v>
      </c>
      <c r="H218">
        <f t="shared" si="29"/>
        <v>2</v>
      </c>
      <c r="I218" s="4" t="str">
        <f t="shared" si="30"/>
        <v>222</v>
      </c>
      <c r="Q218" s="1">
        <v>0.69887440319696859</v>
      </c>
      <c r="R218" s="1">
        <v>0.36220847829833713</v>
      </c>
    </row>
    <row r="219" spans="1:18" x14ac:dyDescent="0.35">
      <c r="A219" t="s">
        <v>221</v>
      </c>
      <c r="B219" s="2">
        <f t="shared" si="25"/>
        <v>45302</v>
      </c>
      <c r="C219" s="3">
        <f t="shared" si="31"/>
        <v>-45302</v>
      </c>
      <c r="D219">
        <f t="shared" si="26"/>
        <v>66</v>
      </c>
      <c r="E219">
        <f t="shared" si="27"/>
        <v>2</v>
      </c>
      <c r="F219">
        <f t="shared" si="28"/>
        <v>1</v>
      </c>
      <c r="G219">
        <f t="shared" si="32"/>
        <v>1</v>
      </c>
      <c r="H219">
        <f t="shared" si="29"/>
        <v>1</v>
      </c>
      <c r="I219" s="4" t="str">
        <f t="shared" si="30"/>
        <v>111</v>
      </c>
      <c r="Q219" s="1">
        <v>0.52315159593171234</v>
      </c>
      <c r="R219" s="1">
        <v>1.7682732679888069E-2</v>
      </c>
    </row>
    <row r="220" spans="1:18" x14ac:dyDescent="0.35">
      <c r="A220" t="s">
        <v>222</v>
      </c>
      <c r="B220" s="2">
        <f t="shared" si="25"/>
        <v>45466</v>
      </c>
      <c r="C220" s="3">
        <f t="shared" si="31"/>
        <v>-45466</v>
      </c>
      <c r="D220">
        <f t="shared" si="26"/>
        <v>506</v>
      </c>
      <c r="E220">
        <f t="shared" si="27"/>
        <v>17</v>
      </c>
      <c r="F220">
        <f t="shared" si="28"/>
        <v>2</v>
      </c>
      <c r="G220">
        <f t="shared" si="32"/>
        <v>2</v>
      </c>
      <c r="H220">
        <f t="shared" si="29"/>
        <v>2</v>
      </c>
      <c r="I220" s="4" t="str">
        <f t="shared" si="30"/>
        <v>222</v>
      </c>
      <c r="Q220" s="1">
        <v>0.99553219251339597</v>
      </c>
      <c r="R220" s="1">
        <v>0.31910325508848358</v>
      </c>
    </row>
    <row r="221" spans="1:18" x14ac:dyDescent="0.35">
      <c r="A221" t="s">
        <v>223</v>
      </c>
      <c r="B221" s="2">
        <f t="shared" si="25"/>
        <v>45597</v>
      </c>
      <c r="C221" s="3">
        <f t="shared" si="31"/>
        <v>-45597</v>
      </c>
      <c r="D221">
        <f t="shared" si="26"/>
        <v>856</v>
      </c>
      <c r="E221">
        <f t="shared" si="27"/>
        <v>28</v>
      </c>
      <c r="F221">
        <f t="shared" si="28"/>
        <v>4</v>
      </c>
      <c r="G221">
        <f t="shared" si="32"/>
        <v>4</v>
      </c>
      <c r="H221">
        <f t="shared" si="29"/>
        <v>4</v>
      </c>
      <c r="I221" s="4" t="str">
        <f t="shared" si="30"/>
        <v>444</v>
      </c>
      <c r="Q221" s="1">
        <v>0.27039816976575737</v>
      </c>
      <c r="R221" s="1">
        <v>0.55919528067399804</v>
      </c>
    </row>
    <row r="222" spans="1:18" x14ac:dyDescent="0.35">
      <c r="A222" t="s">
        <v>224</v>
      </c>
      <c r="B222" s="2">
        <f t="shared" si="25"/>
        <v>45359</v>
      </c>
      <c r="C222" s="3">
        <f t="shared" si="31"/>
        <v>-45359</v>
      </c>
      <c r="D222">
        <f t="shared" si="26"/>
        <v>220</v>
      </c>
      <c r="E222">
        <f t="shared" si="27"/>
        <v>7</v>
      </c>
      <c r="F222">
        <f t="shared" si="28"/>
        <v>1</v>
      </c>
      <c r="G222">
        <f t="shared" si="32"/>
        <v>1</v>
      </c>
      <c r="H222">
        <f t="shared" si="29"/>
        <v>1</v>
      </c>
      <c r="I222" s="4" t="str">
        <f t="shared" si="30"/>
        <v>111</v>
      </c>
      <c r="Q222" s="1">
        <v>0.25023717420986391</v>
      </c>
      <c r="R222" s="1">
        <v>0.12336205916474385</v>
      </c>
    </row>
    <row r="223" spans="1:18" x14ac:dyDescent="0.35">
      <c r="A223" t="s">
        <v>225</v>
      </c>
      <c r="B223" s="2">
        <f t="shared" si="25"/>
        <v>45633</v>
      </c>
      <c r="C223" s="3">
        <f t="shared" si="31"/>
        <v>-45633</v>
      </c>
      <c r="D223">
        <f t="shared" si="26"/>
        <v>953</v>
      </c>
      <c r="E223">
        <f t="shared" si="27"/>
        <v>32</v>
      </c>
      <c r="F223">
        <f t="shared" si="28"/>
        <v>4</v>
      </c>
      <c r="G223">
        <f t="shared" si="32"/>
        <v>4</v>
      </c>
      <c r="H223">
        <f t="shared" si="29"/>
        <v>4</v>
      </c>
      <c r="I223" s="4" t="str">
        <f t="shared" si="30"/>
        <v>444</v>
      </c>
      <c r="Q223" s="1">
        <v>0.43650827679844451</v>
      </c>
      <c r="R223" s="1">
        <v>0.62534858605321364</v>
      </c>
    </row>
    <row r="224" spans="1:18" x14ac:dyDescent="0.35">
      <c r="A224" t="s">
        <v>226</v>
      </c>
      <c r="B224" s="2">
        <f t="shared" si="25"/>
        <v>45692</v>
      </c>
      <c r="C224" s="3">
        <f t="shared" si="31"/>
        <v>-45692</v>
      </c>
      <c r="D224">
        <f t="shared" si="26"/>
        <v>1109</v>
      </c>
      <c r="E224">
        <f t="shared" si="27"/>
        <v>37</v>
      </c>
      <c r="F224">
        <f t="shared" si="28"/>
        <v>4</v>
      </c>
      <c r="G224">
        <f t="shared" si="32"/>
        <v>4</v>
      </c>
      <c r="H224">
        <f t="shared" si="29"/>
        <v>4</v>
      </c>
      <c r="I224" s="4" t="str">
        <f t="shared" si="30"/>
        <v>444</v>
      </c>
      <c r="Q224" s="1">
        <v>0.92049927319733038</v>
      </c>
      <c r="R224" s="1">
        <v>0.73193196759940005</v>
      </c>
    </row>
    <row r="225" spans="1:18" x14ac:dyDescent="0.35">
      <c r="A225" t="s">
        <v>227</v>
      </c>
      <c r="B225" s="2">
        <f t="shared" si="25"/>
        <v>45532</v>
      </c>
      <c r="C225" s="3">
        <f t="shared" si="31"/>
        <v>-45532</v>
      </c>
      <c r="D225">
        <f t="shared" si="26"/>
        <v>682</v>
      </c>
      <c r="E225">
        <f t="shared" si="27"/>
        <v>23</v>
      </c>
      <c r="F225">
        <f t="shared" si="28"/>
        <v>2</v>
      </c>
      <c r="G225">
        <f t="shared" si="32"/>
        <v>2</v>
      </c>
      <c r="H225">
        <f t="shared" si="29"/>
        <v>2</v>
      </c>
      <c r="I225" s="4" t="str">
        <f t="shared" si="30"/>
        <v>222</v>
      </c>
      <c r="Q225" s="1">
        <v>4.195418316250954E-2</v>
      </c>
      <c r="R225" s="1">
        <v>0.43991520693906272</v>
      </c>
    </row>
    <row r="226" spans="1:18" x14ac:dyDescent="0.35">
      <c r="A226" t="s">
        <v>228</v>
      </c>
      <c r="B226" s="2">
        <f t="shared" si="25"/>
        <v>45424</v>
      </c>
      <c r="C226" s="3">
        <f t="shared" si="31"/>
        <v>-45424</v>
      </c>
      <c r="D226">
        <f t="shared" si="26"/>
        <v>394</v>
      </c>
      <c r="E226">
        <f t="shared" si="27"/>
        <v>13</v>
      </c>
      <c r="F226">
        <f t="shared" si="28"/>
        <v>2</v>
      </c>
      <c r="G226">
        <f t="shared" si="32"/>
        <v>2</v>
      </c>
      <c r="H226">
        <f t="shared" si="29"/>
        <v>2</v>
      </c>
      <c r="I226" s="4" t="str">
        <f t="shared" si="30"/>
        <v>222</v>
      </c>
      <c r="Q226" s="1">
        <v>0.80786626111179261</v>
      </c>
      <c r="R226" s="1">
        <v>0.24242875024260468</v>
      </c>
    </row>
    <row r="227" spans="1:18" x14ac:dyDescent="0.35">
      <c r="A227" t="s">
        <v>229</v>
      </c>
      <c r="B227" s="2">
        <f t="shared" si="25"/>
        <v>45804</v>
      </c>
      <c r="C227" s="3">
        <f t="shared" si="31"/>
        <v>-45804</v>
      </c>
      <c r="D227">
        <f t="shared" si="26"/>
        <v>1410</v>
      </c>
      <c r="E227">
        <f t="shared" si="27"/>
        <v>47</v>
      </c>
      <c r="F227">
        <f t="shared" si="28"/>
        <v>5</v>
      </c>
      <c r="G227">
        <f t="shared" si="32"/>
        <v>5</v>
      </c>
      <c r="H227">
        <f t="shared" si="29"/>
        <v>5</v>
      </c>
      <c r="I227" s="4" t="str">
        <f t="shared" si="30"/>
        <v>555</v>
      </c>
      <c r="Q227" s="1">
        <v>0.31182348390580517</v>
      </c>
      <c r="R227" s="1">
        <v>0.9382707654808764</v>
      </c>
    </row>
    <row r="228" spans="1:18" x14ac:dyDescent="0.35">
      <c r="A228" t="s">
        <v>230</v>
      </c>
      <c r="B228" s="2">
        <f t="shared" si="25"/>
        <v>45725</v>
      </c>
      <c r="C228" s="3">
        <f t="shared" si="31"/>
        <v>-45725</v>
      </c>
      <c r="D228">
        <f t="shared" si="26"/>
        <v>1199</v>
      </c>
      <c r="E228">
        <f t="shared" si="27"/>
        <v>40</v>
      </c>
      <c r="F228">
        <f t="shared" si="28"/>
        <v>5</v>
      </c>
      <c r="G228">
        <f t="shared" si="32"/>
        <v>5</v>
      </c>
      <c r="H228">
        <f t="shared" si="29"/>
        <v>5</v>
      </c>
      <c r="I228" s="4" t="str">
        <f t="shared" si="30"/>
        <v>555</v>
      </c>
      <c r="Q228" s="1">
        <v>0.36403612039296718</v>
      </c>
      <c r="R228" s="1">
        <v>0.79356799138029177</v>
      </c>
    </row>
    <row r="229" spans="1:18" x14ac:dyDescent="0.35">
      <c r="A229" t="s">
        <v>231</v>
      </c>
      <c r="B229" s="2">
        <f t="shared" si="25"/>
        <v>45387</v>
      </c>
      <c r="C229" s="3">
        <f t="shared" si="31"/>
        <v>-45387</v>
      </c>
      <c r="D229">
        <f t="shared" si="26"/>
        <v>295</v>
      </c>
      <c r="E229">
        <f t="shared" si="27"/>
        <v>10</v>
      </c>
      <c r="F229">
        <f t="shared" si="28"/>
        <v>1</v>
      </c>
      <c r="G229">
        <f t="shared" si="32"/>
        <v>1</v>
      </c>
      <c r="H229">
        <f t="shared" si="29"/>
        <v>1</v>
      </c>
      <c r="I229" s="4" t="str">
        <f t="shared" si="30"/>
        <v>111</v>
      </c>
      <c r="Q229" s="1">
        <v>0.12135054314625948</v>
      </c>
      <c r="R229" s="1">
        <v>0.17451063493394081</v>
      </c>
    </row>
    <row r="230" spans="1:18" x14ac:dyDescent="0.35">
      <c r="A230" t="s">
        <v>232</v>
      </c>
      <c r="B230" s="2">
        <f t="shared" si="25"/>
        <v>45295</v>
      </c>
      <c r="C230" s="3">
        <f t="shared" si="31"/>
        <v>-45295</v>
      </c>
      <c r="D230">
        <f t="shared" si="26"/>
        <v>48</v>
      </c>
      <c r="E230">
        <f t="shared" si="27"/>
        <v>1</v>
      </c>
      <c r="F230">
        <f t="shared" si="28"/>
        <v>1</v>
      </c>
      <c r="G230">
        <f t="shared" si="32"/>
        <v>1</v>
      </c>
      <c r="H230">
        <f t="shared" si="29"/>
        <v>1</v>
      </c>
      <c r="I230" s="4" t="str">
        <f t="shared" si="30"/>
        <v>111</v>
      </c>
      <c r="Q230" s="1">
        <v>0.38302172419397407</v>
      </c>
      <c r="R230" s="1">
        <v>5.467506358996177E-3</v>
      </c>
    </row>
    <row r="231" spans="1:18" x14ac:dyDescent="0.35">
      <c r="A231" t="s">
        <v>233</v>
      </c>
      <c r="B231" s="2">
        <f t="shared" si="25"/>
        <v>45664</v>
      </c>
      <c r="C231" s="3">
        <f t="shared" si="31"/>
        <v>-45664</v>
      </c>
      <c r="D231">
        <f t="shared" si="26"/>
        <v>1035</v>
      </c>
      <c r="E231">
        <f t="shared" si="27"/>
        <v>34</v>
      </c>
      <c r="F231">
        <f t="shared" si="28"/>
        <v>4</v>
      </c>
      <c r="G231">
        <f t="shared" si="32"/>
        <v>4</v>
      </c>
      <c r="H231">
        <f t="shared" si="29"/>
        <v>4</v>
      </c>
      <c r="I231" s="4" t="str">
        <f t="shared" si="30"/>
        <v>444</v>
      </c>
      <c r="Q231" s="1">
        <v>0.23024811098259146</v>
      </c>
      <c r="R231" s="1">
        <v>0.68130328392342299</v>
      </c>
    </row>
    <row r="232" spans="1:18" x14ac:dyDescent="0.35">
      <c r="A232" t="s">
        <v>234</v>
      </c>
      <c r="B232" s="2">
        <f t="shared" si="25"/>
        <v>45329</v>
      </c>
      <c r="C232" s="3">
        <f t="shared" si="31"/>
        <v>-45329</v>
      </c>
      <c r="D232">
        <f t="shared" si="26"/>
        <v>139</v>
      </c>
      <c r="E232">
        <f t="shared" si="27"/>
        <v>4</v>
      </c>
      <c r="F232">
        <f t="shared" si="28"/>
        <v>1</v>
      </c>
      <c r="G232">
        <f t="shared" si="32"/>
        <v>1</v>
      </c>
      <c r="H232">
        <f t="shared" si="29"/>
        <v>1</v>
      </c>
      <c r="I232" s="4" t="str">
        <f t="shared" si="30"/>
        <v>111</v>
      </c>
      <c r="Q232" s="1">
        <v>0.43551040157690857</v>
      </c>
      <c r="R232" s="1">
        <v>6.759282936114519E-2</v>
      </c>
    </row>
    <row r="233" spans="1:18" x14ac:dyDescent="0.35">
      <c r="A233" t="s">
        <v>235</v>
      </c>
      <c r="B233" s="2">
        <f t="shared" si="25"/>
        <v>45347</v>
      </c>
      <c r="C233" s="3">
        <f t="shared" si="31"/>
        <v>-45347</v>
      </c>
      <c r="D233">
        <f t="shared" si="26"/>
        <v>188</v>
      </c>
      <c r="E233">
        <f t="shared" si="27"/>
        <v>6</v>
      </c>
      <c r="F233">
        <f t="shared" si="28"/>
        <v>1</v>
      </c>
      <c r="G233">
        <f t="shared" si="32"/>
        <v>1</v>
      </c>
      <c r="H233">
        <f t="shared" si="29"/>
        <v>1</v>
      </c>
      <c r="I233" s="4" t="str">
        <f t="shared" si="30"/>
        <v>111</v>
      </c>
      <c r="Q233" s="1">
        <v>0.47922941528386598</v>
      </c>
      <c r="R233" s="1">
        <v>0.10136922717807173</v>
      </c>
    </row>
    <row r="234" spans="1:18" x14ac:dyDescent="0.35">
      <c r="A234" t="s">
        <v>236</v>
      </c>
      <c r="B234" s="2">
        <f t="shared" si="25"/>
        <v>45810</v>
      </c>
      <c r="C234" s="3">
        <f t="shared" si="31"/>
        <v>-45810</v>
      </c>
      <c r="D234">
        <f t="shared" si="26"/>
        <v>1426</v>
      </c>
      <c r="E234">
        <f t="shared" si="27"/>
        <v>48</v>
      </c>
      <c r="F234">
        <f t="shared" si="28"/>
        <v>5</v>
      </c>
      <c r="G234">
        <f t="shared" si="32"/>
        <v>5</v>
      </c>
      <c r="H234">
        <f t="shared" si="29"/>
        <v>5</v>
      </c>
      <c r="I234" s="4" t="str">
        <f t="shared" si="30"/>
        <v>555</v>
      </c>
      <c r="Q234" s="1">
        <v>0.55596186776635315</v>
      </c>
      <c r="R234" s="1">
        <v>0.94914868249671447</v>
      </c>
    </row>
    <row r="235" spans="1:18" x14ac:dyDescent="0.35">
      <c r="A235" t="s">
        <v>237</v>
      </c>
      <c r="B235" s="2">
        <f t="shared" si="25"/>
        <v>45343</v>
      </c>
      <c r="C235" s="3">
        <f t="shared" si="31"/>
        <v>-45343</v>
      </c>
      <c r="D235">
        <f t="shared" si="26"/>
        <v>175</v>
      </c>
      <c r="E235">
        <f t="shared" si="27"/>
        <v>6</v>
      </c>
      <c r="F235">
        <f t="shared" si="28"/>
        <v>1</v>
      </c>
      <c r="G235">
        <f t="shared" si="32"/>
        <v>1</v>
      </c>
      <c r="H235">
        <f t="shared" si="29"/>
        <v>1</v>
      </c>
      <c r="I235" s="4" t="str">
        <f t="shared" si="30"/>
        <v>111</v>
      </c>
      <c r="Q235" s="1">
        <v>0.21762085256738306</v>
      </c>
      <c r="R235" s="1">
        <v>9.2572389414267708E-2</v>
      </c>
    </row>
    <row r="236" spans="1:18" x14ac:dyDescent="0.35">
      <c r="A236" t="s">
        <v>238</v>
      </c>
      <c r="B236" s="2">
        <f t="shared" si="25"/>
        <v>45834</v>
      </c>
      <c r="C236" s="3">
        <f t="shared" si="31"/>
        <v>-45834</v>
      </c>
      <c r="D236">
        <f t="shared" si="26"/>
        <v>1488</v>
      </c>
      <c r="E236">
        <f t="shared" si="27"/>
        <v>50</v>
      </c>
      <c r="F236">
        <f t="shared" si="28"/>
        <v>5</v>
      </c>
      <c r="G236">
        <f t="shared" si="32"/>
        <v>5</v>
      </c>
      <c r="H236">
        <f t="shared" si="29"/>
        <v>5</v>
      </c>
      <c r="I236" s="4" t="str">
        <f t="shared" si="30"/>
        <v>555</v>
      </c>
      <c r="Q236" s="1">
        <v>9.0717829205854472E-2</v>
      </c>
      <c r="R236" s="1">
        <v>0.99185057461109127</v>
      </c>
    </row>
    <row r="237" spans="1:18" x14ac:dyDescent="0.35">
      <c r="A237" t="s">
        <v>239</v>
      </c>
      <c r="B237" s="2">
        <f t="shared" si="25"/>
        <v>45826</v>
      </c>
      <c r="C237" s="3">
        <f t="shared" si="31"/>
        <v>-45826</v>
      </c>
      <c r="D237">
        <f t="shared" si="26"/>
        <v>1467</v>
      </c>
      <c r="E237">
        <f t="shared" si="27"/>
        <v>49</v>
      </c>
      <c r="F237">
        <f t="shared" si="28"/>
        <v>5</v>
      </c>
      <c r="G237">
        <f t="shared" si="32"/>
        <v>5</v>
      </c>
      <c r="H237">
        <f t="shared" si="29"/>
        <v>5</v>
      </c>
      <c r="I237" s="4" t="str">
        <f t="shared" si="30"/>
        <v>555</v>
      </c>
      <c r="Q237" s="1">
        <v>7.3728296566731077E-2</v>
      </c>
      <c r="R237" s="1">
        <v>0.97770492480000326</v>
      </c>
    </row>
    <row r="238" spans="1:18" x14ac:dyDescent="0.35">
      <c r="A238" t="s">
        <v>240</v>
      </c>
      <c r="B238" s="2">
        <f t="shared" si="25"/>
        <v>45490</v>
      </c>
      <c r="C238" s="3">
        <f t="shared" si="31"/>
        <v>-45490</v>
      </c>
      <c r="D238">
        <f t="shared" si="26"/>
        <v>570</v>
      </c>
      <c r="E238">
        <f t="shared" si="27"/>
        <v>19</v>
      </c>
      <c r="F238">
        <f t="shared" si="28"/>
        <v>2</v>
      </c>
      <c r="G238">
        <f t="shared" si="32"/>
        <v>2</v>
      </c>
      <c r="H238">
        <f t="shared" si="29"/>
        <v>2</v>
      </c>
      <c r="I238" s="4" t="str">
        <f t="shared" si="30"/>
        <v>222</v>
      </c>
      <c r="Q238" s="1">
        <v>0.72664121594596864</v>
      </c>
      <c r="R238" s="1">
        <v>0.36320400773932682</v>
      </c>
    </row>
    <row r="239" spans="1:18" x14ac:dyDescent="0.35">
      <c r="A239" t="s">
        <v>241</v>
      </c>
      <c r="B239" s="2">
        <f t="shared" si="25"/>
        <v>45642</v>
      </c>
      <c r="C239" s="3">
        <f t="shared" si="31"/>
        <v>-45642</v>
      </c>
      <c r="D239">
        <f t="shared" si="26"/>
        <v>976</v>
      </c>
      <c r="E239">
        <f t="shared" si="27"/>
        <v>32</v>
      </c>
      <c r="F239">
        <f t="shared" si="28"/>
        <v>4</v>
      </c>
      <c r="G239">
        <f t="shared" si="32"/>
        <v>4</v>
      </c>
      <c r="H239">
        <f t="shared" si="29"/>
        <v>4</v>
      </c>
      <c r="I239" s="4" t="str">
        <f t="shared" si="30"/>
        <v>444</v>
      </c>
      <c r="Q239" s="1">
        <v>0.79972947616976686</v>
      </c>
      <c r="R239" s="1">
        <v>0.64142207007118102</v>
      </c>
    </row>
    <row r="240" spans="1:18" x14ac:dyDescent="0.35">
      <c r="A240" t="s">
        <v>242</v>
      </c>
      <c r="B240" s="2">
        <f t="shared" si="25"/>
        <v>45590</v>
      </c>
      <c r="C240" s="3">
        <f t="shared" si="31"/>
        <v>-45590</v>
      </c>
      <c r="D240">
        <f t="shared" si="26"/>
        <v>836</v>
      </c>
      <c r="E240">
        <f t="shared" si="27"/>
        <v>28</v>
      </c>
      <c r="F240">
        <f t="shared" si="28"/>
        <v>4</v>
      </c>
      <c r="G240">
        <f t="shared" si="32"/>
        <v>4</v>
      </c>
      <c r="H240">
        <f t="shared" si="29"/>
        <v>4</v>
      </c>
      <c r="I240" s="4" t="str">
        <f t="shared" si="30"/>
        <v>444</v>
      </c>
      <c r="Q240" s="1">
        <v>0.32761671726015118</v>
      </c>
      <c r="R240" s="1">
        <v>0.54523960562476714</v>
      </c>
    </row>
    <row r="241" spans="1:18" x14ac:dyDescent="0.35">
      <c r="A241" t="s">
        <v>243</v>
      </c>
      <c r="B241" s="2">
        <f t="shared" si="25"/>
        <v>45367</v>
      </c>
      <c r="C241" s="3">
        <f t="shared" si="31"/>
        <v>-45367</v>
      </c>
      <c r="D241">
        <f t="shared" si="26"/>
        <v>242</v>
      </c>
      <c r="E241">
        <f t="shared" si="27"/>
        <v>8</v>
      </c>
      <c r="F241">
        <f t="shared" si="28"/>
        <v>1</v>
      </c>
      <c r="G241">
        <f t="shared" si="32"/>
        <v>1</v>
      </c>
      <c r="H241">
        <f t="shared" si="29"/>
        <v>1</v>
      </c>
      <c r="I241" s="4" t="str">
        <f t="shared" si="30"/>
        <v>111</v>
      </c>
      <c r="Q241" s="1">
        <v>0.32015767893739766</v>
      </c>
      <c r="R241" s="1">
        <v>0.13821677107874775</v>
      </c>
    </row>
    <row r="242" spans="1:18" x14ac:dyDescent="0.35">
      <c r="A242" t="s">
        <v>244</v>
      </c>
      <c r="B242" s="2">
        <f t="shared" si="25"/>
        <v>45509</v>
      </c>
      <c r="C242" s="3">
        <f t="shared" si="31"/>
        <v>-45509</v>
      </c>
      <c r="D242">
        <f t="shared" si="26"/>
        <v>620</v>
      </c>
      <c r="E242">
        <f t="shared" si="27"/>
        <v>20</v>
      </c>
      <c r="F242">
        <f t="shared" si="28"/>
        <v>2</v>
      </c>
      <c r="G242">
        <f t="shared" si="32"/>
        <v>2</v>
      </c>
      <c r="H242">
        <f t="shared" si="29"/>
        <v>2</v>
      </c>
      <c r="I242" s="4" t="str">
        <f t="shared" si="30"/>
        <v>222</v>
      </c>
      <c r="Q242" s="1">
        <v>0.55499465427431594</v>
      </c>
      <c r="R242" s="1">
        <v>0.39748713829295179</v>
      </c>
    </row>
    <row r="243" spans="1:18" x14ac:dyDescent="0.35">
      <c r="A243" t="s">
        <v>245</v>
      </c>
      <c r="B243" s="2">
        <f t="shared" si="25"/>
        <v>45775</v>
      </c>
      <c r="C243" s="3">
        <f t="shared" si="31"/>
        <v>-45775</v>
      </c>
      <c r="D243">
        <f t="shared" si="26"/>
        <v>1332</v>
      </c>
      <c r="E243">
        <f t="shared" si="27"/>
        <v>44</v>
      </c>
      <c r="F243">
        <f t="shared" si="28"/>
        <v>5</v>
      </c>
      <c r="G243">
        <f t="shared" si="32"/>
        <v>5</v>
      </c>
      <c r="H243">
        <f t="shared" si="29"/>
        <v>5</v>
      </c>
      <c r="I243" s="4" t="str">
        <f t="shared" si="30"/>
        <v>555</v>
      </c>
      <c r="Q243" s="1">
        <v>0.33440657712362265</v>
      </c>
      <c r="R243" s="1">
        <v>0.88490071387781</v>
      </c>
    </row>
    <row r="244" spans="1:18" x14ac:dyDescent="0.35">
      <c r="A244" t="s">
        <v>246</v>
      </c>
      <c r="B244" s="2">
        <f t="shared" si="25"/>
        <v>45430</v>
      </c>
      <c r="C244" s="3">
        <f t="shared" si="31"/>
        <v>-45430</v>
      </c>
      <c r="D244">
        <f t="shared" si="26"/>
        <v>409</v>
      </c>
      <c r="E244">
        <f t="shared" si="27"/>
        <v>13</v>
      </c>
      <c r="F244">
        <f t="shared" si="28"/>
        <v>2</v>
      </c>
      <c r="G244">
        <f t="shared" si="32"/>
        <v>2</v>
      </c>
      <c r="H244">
        <f t="shared" si="29"/>
        <v>2</v>
      </c>
      <c r="I244" s="4" t="str">
        <f t="shared" si="30"/>
        <v>222</v>
      </c>
      <c r="Q244" s="1">
        <v>0.12658118129731422</v>
      </c>
      <c r="R244" s="1">
        <v>0.25295514031685185</v>
      </c>
    </row>
    <row r="245" spans="1:18" x14ac:dyDescent="0.35">
      <c r="A245" t="s">
        <v>247</v>
      </c>
      <c r="B245" s="2">
        <f t="shared" si="25"/>
        <v>45344</v>
      </c>
      <c r="C245" s="3">
        <f t="shared" si="31"/>
        <v>-45344</v>
      </c>
      <c r="D245">
        <f t="shared" si="26"/>
        <v>178</v>
      </c>
      <c r="E245">
        <f t="shared" si="27"/>
        <v>6</v>
      </c>
      <c r="F245">
        <f t="shared" si="28"/>
        <v>1</v>
      </c>
      <c r="G245">
        <f t="shared" si="32"/>
        <v>1</v>
      </c>
      <c r="H245">
        <f t="shared" si="29"/>
        <v>1</v>
      </c>
      <c r="I245" s="4" t="str">
        <f t="shared" si="30"/>
        <v>111</v>
      </c>
      <c r="Q245" s="1">
        <v>0.12402138094696857</v>
      </c>
      <c r="R245" s="1">
        <v>9.4813667126636303E-2</v>
      </c>
    </row>
    <row r="246" spans="1:18" x14ac:dyDescent="0.35">
      <c r="A246" t="s">
        <v>248</v>
      </c>
      <c r="B246" s="2">
        <f t="shared" si="25"/>
        <v>45777</v>
      </c>
      <c r="C246" s="3">
        <f t="shared" si="31"/>
        <v>-45777</v>
      </c>
      <c r="D246">
        <f t="shared" si="26"/>
        <v>1336</v>
      </c>
      <c r="E246">
        <f t="shared" si="27"/>
        <v>44</v>
      </c>
      <c r="F246">
        <f t="shared" si="28"/>
        <v>5</v>
      </c>
      <c r="G246">
        <f t="shared" si="32"/>
        <v>5</v>
      </c>
      <c r="H246">
        <f t="shared" si="29"/>
        <v>5</v>
      </c>
      <c r="I246" s="4" t="str">
        <f t="shared" si="30"/>
        <v>555</v>
      </c>
      <c r="Q246" s="1">
        <v>0.19272130387158604</v>
      </c>
      <c r="R246" s="1">
        <v>0.8876541736182314</v>
      </c>
    </row>
    <row r="247" spans="1:18" x14ac:dyDescent="0.35">
      <c r="A247" t="s">
        <v>249</v>
      </c>
      <c r="B247" s="2">
        <f t="shared" si="25"/>
        <v>45308</v>
      </c>
      <c r="C247" s="3">
        <f t="shared" si="31"/>
        <v>-45308</v>
      </c>
      <c r="D247">
        <f t="shared" si="26"/>
        <v>82</v>
      </c>
      <c r="E247">
        <f t="shared" si="27"/>
        <v>2</v>
      </c>
      <c r="F247">
        <f t="shared" si="28"/>
        <v>1</v>
      </c>
      <c r="G247">
        <f t="shared" si="32"/>
        <v>1</v>
      </c>
      <c r="H247">
        <f t="shared" si="29"/>
        <v>1</v>
      </c>
      <c r="I247" s="4" t="str">
        <f t="shared" si="30"/>
        <v>111</v>
      </c>
      <c r="Q247" s="1">
        <v>0.37878197424773041</v>
      </c>
      <c r="R247" s="1">
        <v>2.889045130312673E-2</v>
      </c>
    </row>
    <row r="248" spans="1:18" x14ac:dyDescent="0.35">
      <c r="A248" t="s">
        <v>250</v>
      </c>
      <c r="B248" s="2">
        <f t="shared" si="25"/>
        <v>45492</v>
      </c>
      <c r="C248" s="3">
        <f t="shared" si="31"/>
        <v>-45492</v>
      </c>
      <c r="D248">
        <f t="shared" si="26"/>
        <v>574</v>
      </c>
      <c r="E248">
        <f t="shared" si="27"/>
        <v>19</v>
      </c>
      <c r="F248">
        <f t="shared" si="28"/>
        <v>2</v>
      </c>
      <c r="G248">
        <f t="shared" si="32"/>
        <v>2</v>
      </c>
      <c r="H248">
        <f t="shared" si="29"/>
        <v>2</v>
      </c>
      <c r="I248" s="4" t="str">
        <f t="shared" si="30"/>
        <v>222</v>
      </c>
      <c r="Q248" s="1">
        <v>0.60061582937789848</v>
      </c>
      <c r="R248" s="1">
        <v>0.36541765493164258</v>
      </c>
    </row>
    <row r="249" spans="1:18" x14ac:dyDescent="0.35">
      <c r="A249" t="s">
        <v>251</v>
      </c>
      <c r="B249" s="2">
        <f t="shared" si="25"/>
        <v>45832</v>
      </c>
      <c r="C249" s="3">
        <f t="shared" si="31"/>
        <v>-45832</v>
      </c>
      <c r="D249">
        <f t="shared" si="26"/>
        <v>1483</v>
      </c>
      <c r="E249">
        <f t="shared" si="27"/>
        <v>49</v>
      </c>
      <c r="F249">
        <f t="shared" si="28"/>
        <v>5</v>
      </c>
      <c r="G249">
        <f t="shared" si="32"/>
        <v>5</v>
      </c>
      <c r="H249">
        <f t="shared" si="29"/>
        <v>5</v>
      </c>
      <c r="I249" s="4" t="str">
        <f t="shared" si="30"/>
        <v>555</v>
      </c>
      <c r="Q249" s="1">
        <v>3.2568502930395704E-2</v>
      </c>
      <c r="R249" s="1">
        <v>0.98822609026118347</v>
      </c>
    </row>
    <row r="250" spans="1:18" x14ac:dyDescent="0.35">
      <c r="A250" t="s">
        <v>252</v>
      </c>
      <c r="B250" s="2">
        <f t="shared" si="25"/>
        <v>45488</v>
      </c>
      <c r="C250" s="3">
        <f t="shared" si="31"/>
        <v>-45488</v>
      </c>
      <c r="D250">
        <f t="shared" si="26"/>
        <v>563</v>
      </c>
      <c r="E250">
        <f t="shared" si="27"/>
        <v>19</v>
      </c>
      <c r="F250">
        <f t="shared" si="28"/>
        <v>2</v>
      </c>
      <c r="G250">
        <f t="shared" si="32"/>
        <v>2</v>
      </c>
      <c r="H250">
        <f t="shared" si="29"/>
        <v>2</v>
      </c>
      <c r="I250" s="4" t="str">
        <f t="shared" si="30"/>
        <v>222</v>
      </c>
      <c r="Q250" s="1">
        <v>0.48419685054515071</v>
      </c>
      <c r="R250" s="1">
        <v>0.35854754025772739</v>
      </c>
    </row>
    <row r="251" spans="1:18" x14ac:dyDescent="0.35">
      <c r="A251" t="s">
        <v>253</v>
      </c>
      <c r="B251" s="2">
        <f t="shared" si="25"/>
        <v>45561</v>
      </c>
      <c r="C251" s="3">
        <f t="shared" si="31"/>
        <v>-45561</v>
      </c>
      <c r="D251">
        <f t="shared" si="26"/>
        <v>759</v>
      </c>
      <c r="E251">
        <f t="shared" si="27"/>
        <v>25</v>
      </c>
      <c r="F251">
        <f t="shared" si="28"/>
        <v>2</v>
      </c>
      <c r="G251">
        <f t="shared" si="32"/>
        <v>2</v>
      </c>
      <c r="H251">
        <f t="shared" si="29"/>
        <v>2</v>
      </c>
      <c r="I251" s="4" t="str">
        <f t="shared" si="30"/>
        <v>222</v>
      </c>
      <c r="Q251" s="1">
        <v>0.20574790905632856</v>
      </c>
      <c r="R251" s="1">
        <v>0.49230732809492939</v>
      </c>
    </row>
    <row r="252" spans="1:18" x14ac:dyDescent="0.35">
      <c r="A252" t="s">
        <v>254</v>
      </c>
      <c r="B252" s="2">
        <f t="shared" si="25"/>
        <v>45359</v>
      </c>
      <c r="C252" s="3">
        <f t="shared" si="31"/>
        <v>-45359</v>
      </c>
      <c r="D252">
        <f t="shared" si="26"/>
        <v>220</v>
      </c>
      <c r="E252">
        <f t="shared" si="27"/>
        <v>7</v>
      </c>
      <c r="F252">
        <f t="shared" si="28"/>
        <v>1</v>
      </c>
      <c r="G252">
        <f t="shared" si="32"/>
        <v>1</v>
      </c>
      <c r="H252">
        <f t="shared" si="29"/>
        <v>1</v>
      </c>
      <c r="I252" s="4" t="str">
        <f t="shared" si="30"/>
        <v>111</v>
      </c>
      <c r="Q252" s="1">
        <v>0.93196657897218238</v>
      </c>
      <c r="R252" s="1">
        <v>0.12358508791727429</v>
      </c>
    </row>
    <row r="253" spans="1:18" x14ac:dyDescent="0.35">
      <c r="A253" t="s">
        <v>255</v>
      </c>
      <c r="B253" s="2">
        <f t="shared" si="25"/>
        <v>45787</v>
      </c>
      <c r="C253" s="3">
        <f t="shared" si="31"/>
        <v>-45787</v>
      </c>
      <c r="D253">
        <f t="shared" si="26"/>
        <v>1365</v>
      </c>
      <c r="E253">
        <f t="shared" si="27"/>
        <v>45</v>
      </c>
      <c r="F253">
        <f t="shared" si="28"/>
        <v>5</v>
      </c>
      <c r="G253">
        <f t="shared" si="32"/>
        <v>5</v>
      </c>
      <c r="H253">
        <f t="shared" si="29"/>
        <v>5</v>
      </c>
      <c r="I253" s="4" t="str">
        <f t="shared" si="30"/>
        <v>555</v>
      </c>
      <c r="Q253" s="1">
        <v>0.46973034897313548</v>
      </c>
      <c r="R253" s="1">
        <v>0.90744294477305842</v>
      </c>
    </row>
    <row r="254" spans="1:18" x14ac:dyDescent="0.35">
      <c r="A254" t="s">
        <v>256</v>
      </c>
      <c r="B254" s="2">
        <f t="shared" si="25"/>
        <v>45508</v>
      </c>
      <c r="C254" s="3">
        <f t="shared" si="31"/>
        <v>-45508</v>
      </c>
      <c r="D254">
        <f t="shared" si="26"/>
        <v>618</v>
      </c>
      <c r="E254">
        <f t="shared" si="27"/>
        <v>20</v>
      </c>
      <c r="F254">
        <f t="shared" si="28"/>
        <v>2</v>
      </c>
      <c r="G254">
        <f t="shared" si="32"/>
        <v>2</v>
      </c>
      <c r="H254">
        <f t="shared" si="29"/>
        <v>2</v>
      </c>
      <c r="I254" s="4" t="str">
        <f t="shared" si="30"/>
        <v>222</v>
      </c>
      <c r="Q254" s="1">
        <v>0.94340518234664883</v>
      </c>
      <c r="R254" s="1">
        <v>0.3962199432805763</v>
      </c>
    </row>
    <row r="255" spans="1:18" x14ac:dyDescent="0.35">
      <c r="A255" t="s">
        <v>257</v>
      </c>
      <c r="B255" s="2">
        <f t="shared" si="25"/>
        <v>45786</v>
      </c>
      <c r="C255" s="3">
        <f t="shared" si="31"/>
        <v>-45786</v>
      </c>
      <c r="D255">
        <f t="shared" si="26"/>
        <v>1361</v>
      </c>
      <c r="E255">
        <f t="shared" si="27"/>
        <v>45</v>
      </c>
      <c r="F255">
        <f t="shared" si="28"/>
        <v>5</v>
      </c>
      <c r="G255">
        <f t="shared" si="32"/>
        <v>5</v>
      </c>
      <c r="H255">
        <f t="shared" si="29"/>
        <v>5</v>
      </c>
      <c r="I255" s="4" t="str">
        <f t="shared" si="30"/>
        <v>555</v>
      </c>
      <c r="Q255" s="1">
        <v>0.41589369885905902</v>
      </c>
      <c r="R255" s="1">
        <v>0.90500951782566652</v>
      </c>
    </row>
    <row r="256" spans="1:18" x14ac:dyDescent="0.35">
      <c r="A256" t="s">
        <v>258</v>
      </c>
      <c r="B256" s="2">
        <f t="shared" si="25"/>
        <v>45678</v>
      </c>
      <c r="C256" s="3">
        <f t="shared" si="31"/>
        <v>-45678</v>
      </c>
      <c r="D256">
        <f t="shared" si="26"/>
        <v>1072</v>
      </c>
      <c r="E256">
        <f t="shared" si="27"/>
        <v>36</v>
      </c>
      <c r="F256">
        <f t="shared" si="28"/>
        <v>4</v>
      </c>
      <c r="G256">
        <f t="shared" si="32"/>
        <v>4</v>
      </c>
      <c r="H256">
        <f t="shared" si="29"/>
        <v>4</v>
      </c>
      <c r="I256" s="4" t="str">
        <f t="shared" si="30"/>
        <v>444</v>
      </c>
      <c r="Q256" s="1">
        <v>0.16765350255894163</v>
      </c>
      <c r="R256" s="1">
        <v>0.70669318872501352</v>
      </c>
    </row>
    <row r="257" spans="1:18" x14ac:dyDescent="0.35">
      <c r="A257" t="s">
        <v>259</v>
      </c>
      <c r="B257" s="2">
        <f t="shared" si="25"/>
        <v>45418</v>
      </c>
      <c r="C257" s="3">
        <f t="shared" si="31"/>
        <v>-45418</v>
      </c>
      <c r="D257">
        <f t="shared" si="26"/>
        <v>377</v>
      </c>
      <c r="E257">
        <f t="shared" si="27"/>
        <v>12</v>
      </c>
      <c r="F257">
        <f t="shared" si="28"/>
        <v>1</v>
      </c>
      <c r="G257">
        <f t="shared" si="32"/>
        <v>1</v>
      </c>
      <c r="H257">
        <f t="shared" si="29"/>
        <v>1</v>
      </c>
      <c r="I257" s="4" t="str">
        <f t="shared" si="30"/>
        <v>111</v>
      </c>
      <c r="Q257" s="1">
        <v>0.56146271610715592</v>
      </c>
      <c r="R257" s="1">
        <v>0.23079489650853513</v>
      </c>
    </row>
    <row r="258" spans="1:18" x14ac:dyDescent="0.35">
      <c r="A258" t="s">
        <v>260</v>
      </c>
      <c r="B258" s="2">
        <f t="shared" si="25"/>
        <v>45497</v>
      </c>
      <c r="C258" s="3">
        <f t="shared" si="31"/>
        <v>-45497</v>
      </c>
      <c r="D258">
        <f t="shared" si="26"/>
        <v>588</v>
      </c>
      <c r="E258">
        <f t="shared" si="27"/>
        <v>19</v>
      </c>
      <c r="F258">
        <f t="shared" si="28"/>
        <v>2</v>
      </c>
      <c r="G258">
        <f t="shared" si="32"/>
        <v>2</v>
      </c>
      <c r="H258">
        <f t="shared" si="29"/>
        <v>2</v>
      </c>
      <c r="I258" s="4" t="str">
        <f t="shared" si="30"/>
        <v>222</v>
      </c>
      <c r="Q258" s="1">
        <v>0.73757233561980029</v>
      </c>
      <c r="R258" s="1">
        <v>0.37521846125621527</v>
      </c>
    </row>
    <row r="259" spans="1:18" x14ac:dyDescent="0.35">
      <c r="A259" t="s">
        <v>261</v>
      </c>
      <c r="B259" s="2">
        <f t="shared" ref="B259:B322" si="33">ROUND(R259*(45838-45292)+45292,0)</f>
        <v>45615</v>
      </c>
      <c r="C259" s="3">
        <f t="shared" si="31"/>
        <v>-45615</v>
      </c>
      <c r="D259">
        <f t="shared" ref="D259:D322" si="34">ROUND((R259)*(1500-40)+40,0)</f>
        <v>905</v>
      </c>
      <c r="E259">
        <f t="shared" ref="E259:E322" si="35">ROUND((R259)*(50-1)+1,0)</f>
        <v>30</v>
      </c>
      <c r="F259">
        <f t="shared" ref="F259:F322" si="36">IF(C259&lt;=$M$4,5,IF(C259&lt;=$M$9,4,IF(C259&lt;=$M$5,3,IF(C259&lt;=$M$6,2,1))))</f>
        <v>4</v>
      </c>
      <c r="G259">
        <f t="shared" si="32"/>
        <v>4</v>
      </c>
      <c r="H259">
        <f t="shared" ref="H259:H322" si="37">IF(D259&lt;=$M$24,1,IF(D259&lt;=$M$25,2,IF(D259&lt;=$M$29,3,IF(D259&lt;=$M$26,4,5))))</f>
        <v>4</v>
      </c>
      <c r="I259" s="4" t="str">
        <f t="shared" ref="I259:I322" si="38">CONCATENATE(F259,G259,H259)</f>
        <v>444</v>
      </c>
      <c r="Q259" s="1">
        <v>0.89329207459953985</v>
      </c>
      <c r="R259" s="1">
        <v>0.59222897075889058</v>
      </c>
    </row>
    <row r="260" spans="1:18" x14ac:dyDescent="0.35">
      <c r="A260" t="s">
        <v>262</v>
      </c>
      <c r="B260" s="2">
        <f t="shared" si="33"/>
        <v>45551</v>
      </c>
      <c r="C260" s="3">
        <f t="shared" ref="C260:C323" si="39">$S$4-B260</f>
        <v>-45551</v>
      </c>
      <c r="D260">
        <f t="shared" si="34"/>
        <v>732</v>
      </c>
      <c r="E260">
        <f t="shared" si="35"/>
        <v>24</v>
      </c>
      <c r="F260">
        <f t="shared" si="36"/>
        <v>2</v>
      </c>
      <c r="G260">
        <f t="shared" ref="G260:G323" si="40">IF(E260&lt;=$M$14,1,IF(E260&lt;=$M$15,2,IF(E260&lt;=$M$19,3,IF(E260&lt;=$M$16,4,5))))</f>
        <v>2</v>
      </c>
      <c r="H260">
        <f t="shared" si="37"/>
        <v>2</v>
      </c>
      <c r="I260" s="4" t="str">
        <f t="shared" si="38"/>
        <v>222</v>
      </c>
      <c r="Q260" s="1">
        <v>0.54173824832946604</v>
      </c>
      <c r="R260" s="1">
        <v>0.47413382521857161</v>
      </c>
    </row>
    <row r="261" spans="1:18" x14ac:dyDescent="0.35">
      <c r="A261" t="s">
        <v>263</v>
      </c>
      <c r="B261" s="2">
        <f t="shared" si="33"/>
        <v>45395</v>
      </c>
      <c r="C261" s="3">
        <f t="shared" si="39"/>
        <v>-45395</v>
      </c>
      <c r="D261">
        <f t="shared" si="34"/>
        <v>316</v>
      </c>
      <c r="E261">
        <f t="shared" si="35"/>
        <v>10</v>
      </c>
      <c r="F261">
        <f t="shared" si="36"/>
        <v>1</v>
      </c>
      <c r="G261">
        <f t="shared" si="40"/>
        <v>1</v>
      </c>
      <c r="H261">
        <f t="shared" si="37"/>
        <v>1</v>
      </c>
      <c r="I261" s="4" t="str">
        <f t="shared" si="38"/>
        <v>111</v>
      </c>
      <c r="Q261" s="1">
        <v>2.8428616812693264E-2</v>
      </c>
      <c r="R261" s="1">
        <v>0.18919466263331297</v>
      </c>
    </row>
    <row r="262" spans="1:18" x14ac:dyDescent="0.35">
      <c r="A262" t="s">
        <v>264</v>
      </c>
      <c r="B262" s="2">
        <f t="shared" si="33"/>
        <v>45360</v>
      </c>
      <c r="C262" s="3">
        <f t="shared" si="39"/>
        <v>-45360</v>
      </c>
      <c r="D262">
        <f t="shared" si="34"/>
        <v>223</v>
      </c>
      <c r="E262">
        <f t="shared" si="35"/>
        <v>7</v>
      </c>
      <c r="F262">
        <f t="shared" si="36"/>
        <v>1</v>
      </c>
      <c r="G262">
        <f t="shared" si="40"/>
        <v>1</v>
      </c>
      <c r="H262">
        <f t="shared" si="37"/>
        <v>1</v>
      </c>
      <c r="I262" s="4" t="str">
        <f t="shared" si="38"/>
        <v>111</v>
      </c>
      <c r="Q262" s="1">
        <v>0.44773961421164754</v>
      </c>
      <c r="R262" s="1">
        <v>0.12519201727852147</v>
      </c>
    </row>
    <row r="263" spans="1:18" x14ac:dyDescent="0.35">
      <c r="A263" t="s">
        <v>265</v>
      </c>
      <c r="B263" s="2">
        <f t="shared" si="33"/>
        <v>45785</v>
      </c>
      <c r="C263" s="3">
        <f t="shared" si="39"/>
        <v>-45785</v>
      </c>
      <c r="D263">
        <f t="shared" si="34"/>
        <v>1359</v>
      </c>
      <c r="E263">
        <f t="shared" si="35"/>
        <v>45</v>
      </c>
      <c r="F263">
        <f t="shared" si="36"/>
        <v>5</v>
      </c>
      <c r="G263">
        <f t="shared" si="40"/>
        <v>5</v>
      </c>
      <c r="H263">
        <f t="shared" si="37"/>
        <v>5</v>
      </c>
      <c r="I263" s="4" t="str">
        <f t="shared" si="38"/>
        <v>555</v>
      </c>
      <c r="Q263" s="1">
        <v>0.9775202917917194</v>
      </c>
      <c r="R263" s="1">
        <v>0.90326151029138468</v>
      </c>
    </row>
    <row r="264" spans="1:18" x14ac:dyDescent="0.35">
      <c r="A264" t="s">
        <v>266</v>
      </c>
      <c r="B264" s="2">
        <f t="shared" si="33"/>
        <v>45769</v>
      </c>
      <c r="C264" s="3">
        <f t="shared" si="39"/>
        <v>-45769</v>
      </c>
      <c r="D264">
        <f t="shared" si="34"/>
        <v>1315</v>
      </c>
      <c r="E264">
        <f t="shared" si="35"/>
        <v>44</v>
      </c>
      <c r="F264">
        <f t="shared" si="36"/>
        <v>5</v>
      </c>
      <c r="G264">
        <f t="shared" si="40"/>
        <v>5</v>
      </c>
      <c r="H264">
        <f t="shared" si="37"/>
        <v>5</v>
      </c>
      <c r="I264" s="4" t="str">
        <f t="shared" si="38"/>
        <v>555</v>
      </c>
      <c r="Q264" s="1">
        <v>0.70140836642083582</v>
      </c>
      <c r="R264" s="1">
        <v>0.87307499932059562</v>
      </c>
    </row>
    <row r="265" spans="1:18" x14ac:dyDescent="0.35">
      <c r="A265" t="s">
        <v>267</v>
      </c>
      <c r="B265" s="2">
        <f t="shared" si="33"/>
        <v>45499</v>
      </c>
      <c r="C265" s="3">
        <f t="shared" si="39"/>
        <v>-45499</v>
      </c>
      <c r="D265">
        <f t="shared" si="34"/>
        <v>595</v>
      </c>
      <c r="E265">
        <f t="shared" si="35"/>
        <v>20</v>
      </c>
      <c r="F265">
        <f t="shared" si="36"/>
        <v>2</v>
      </c>
      <c r="G265">
        <f t="shared" si="40"/>
        <v>2</v>
      </c>
      <c r="H265">
        <f t="shared" si="37"/>
        <v>2</v>
      </c>
      <c r="I265" s="4" t="str">
        <f t="shared" si="38"/>
        <v>222</v>
      </c>
      <c r="Q265" s="1">
        <v>0.95697713308033983</v>
      </c>
      <c r="R265" s="1">
        <v>0.37983380810540202</v>
      </c>
    </row>
    <row r="266" spans="1:18" x14ac:dyDescent="0.35">
      <c r="A266" t="s">
        <v>268</v>
      </c>
      <c r="B266" s="2">
        <f t="shared" si="33"/>
        <v>45392</v>
      </c>
      <c r="C266" s="3">
        <f t="shared" si="39"/>
        <v>-45392</v>
      </c>
      <c r="D266">
        <f t="shared" si="34"/>
        <v>308</v>
      </c>
      <c r="E266">
        <f t="shared" si="35"/>
        <v>10</v>
      </c>
      <c r="F266">
        <f t="shared" si="36"/>
        <v>1</v>
      </c>
      <c r="G266">
        <f t="shared" si="40"/>
        <v>1</v>
      </c>
      <c r="H266">
        <f t="shared" si="37"/>
        <v>1</v>
      </c>
      <c r="I266" s="4" t="str">
        <f t="shared" si="38"/>
        <v>111</v>
      </c>
      <c r="Q266" s="1">
        <v>0.67701536540923923</v>
      </c>
      <c r="R266" s="1">
        <v>0.18331039305151176</v>
      </c>
    </row>
    <row r="267" spans="1:18" x14ac:dyDescent="0.35">
      <c r="A267" t="s">
        <v>269</v>
      </c>
      <c r="B267" s="2">
        <f t="shared" si="33"/>
        <v>45710</v>
      </c>
      <c r="C267" s="3">
        <f t="shared" si="39"/>
        <v>-45710</v>
      </c>
      <c r="D267">
        <f t="shared" si="34"/>
        <v>1158</v>
      </c>
      <c r="E267">
        <f t="shared" si="35"/>
        <v>39</v>
      </c>
      <c r="F267">
        <f t="shared" si="36"/>
        <v>4</v>
      </c>
      <c r="G267">
        <f t="shared" si="40"/>
        <v>4</v>
      </c>
      <c r="H267">
        <f t="shared" si="37"/>
        <v>4</v>
      </c>
      <c r="I267" s="4" t="str">
        <f t="shared" si="38"/>
        <v>444</v>
      </c>
      <c r="Q267" s="1">
        <v>0.65575473300666176</v>
      </c>
      <c r="R267" s="1">
        <v>0.76580504954385487</v>
      </c>
    </row>
    <row r="268" spans="1:18" x14ac:dyDescent="0.35">
      <c r="A268" t="s">
        <v>270</v>
      </c>
      <c r="B268" s="2">
        <f t="shared" si="33"/>
        <v>45710</v>
      </c>
      <c r="C268" s="3">
        <f t="shared" si="39"/>
        <v>-45710</v>
      </c>
      <c r="D268">
        <f t="shared" si="34"/>
        <v>1159</v>
      </c>
      <c r="E268">
        <f t="shared" si="35"/>
        <v>39</v>
      </c>
      <c r="F268">
        <f t="shared" si="36"/>
        <v>4</v>
      </c>
      <c r="G268">
        <f t="shared" si="40"/>
        <v>4</v>
      </c>
      <c r="H268">
        <f t="shared" si="37"/>
        <v>4</v>
      </c>
      <c r="I268" s="4" t="str">
        <f t="shared" si="38"/>
        <v>444</v>
      </c>
      <c r="Q268" s="1">
        <v>0.71965647642565655</v>
      </c>
      <c r="R268" s="1">
        <v>0.76624363429721487</v>
      </c>
    </row>
    <row r="269" spans="1:18" x14ac:dyDescent="0.35">
      <c r="A269" t="s">
        <v>271</v>
      </c>
      <c r="B269" s="2">
        <f t="shared" si="33"/>
        <v>45789</v>
      </c>
      <c r="C269" s="3">
        <f t="shared" si="39"/>
        <v>-45789</v>
      </c>
      <c r="D269">
        <f t="shared" si="34"/>
        <v>1369</v>
      </c>
      <c r="E269">
        <f t="shared" si="35"/>
        <v>46</v>
      </c>
      <c r="F269">
        <f t="shared" si="36"/>
        <v>5</v>
      </c>
      <c r="G269">
        <f t="shared" si="40"/>
        <v>5</v>
      </c>
      <c r="H269">
        <f t="shared" si="37"/>
        <v>5</v>
      </c>
      <c r="I269" s="4" t="str">
        <f t="shared" si="38"/>
        <v>555</v>
      </c>
      <c r="Q269" s="1">
        <v>2.0842353169912564E-2</v>
      </c>
      <c r="R269" s="1">
        <v>0.91000872331013849</v>
      </c>
    </row>
    <row r="270" spans="1:18" x14ac:dyDescent="0.35">
      <c r="A270" t="s">
        <v>272</v>
      </c>
      <c r="B270" s="2">
        <f t="shared" si="33"/>
        <v>45766</v>
      </c>
      <c r="C270" s="3">
        <f t="shared" si="39"/>
        <v>-45766</v>
      </c>
      <c r="D270">
        <f t="shared" si="34"/>
        <v>1307</v>
      </c>
      <c r="E270">
        <f t="shared" si="35"/>
        <v>44</v>
      </c>
      <c r="F270">
        <f t="shared" si="36"/>
        <v>5</v>
      </c>
      <c r="G270">
        <f t="shared" si="40"/>
        <v>5</v>
      </c>
      <c r="H270">
        <f t="shared" si="37"/>
        <v>5</v>
      </c>
      <c r="I270" s="4" t="str">
        <f t="shared" si="38"/>
        <v>555</v>
      </c>
      <c r="Q270" s="1">
        <v>0.45101705179334683</v>
      </c>
      <c r="R270" s="1">
        <v>0.86800918014467654</v>
      </c>
    </row>
    <row r="271" spans="1:18" x14ac:dyDescent="0.35">
      <c r="A271" t="s">
        <v>273</v>
      </c>
      <c r="B271" s="2">
        <f t="shared" si="33"/>
        <v>45507</v>
      </c>
      <c r="C271" s="3">
        <f t="shared" si="39"/>
        <v>-45507</v>
      </c>
      <c r="D271">
        <f t="shared" si="34"/>
        <v>614</v>
      </c>
      <c r="E271">
        <f t="shared" si="35"/>
        <v>20</v>
      </c>
      <c r="F271">
        <f t="shared" si="36"/>
        <v>2</v>
      </c>
      <c r="G271">
        <f t="shared" si="40"/>
        <v>2</v>
      </c>
      <c r="H271">
        <f t="shared" si="37"/>
        <v>2</v>
      </c>
      <c r="I271" s="4" t="str">
        <f t="shared" si="38"/>
        <v>222</v>
      </c>
      <c r="Q271" s="1">
        <v>0.65016433751314884</v>
      </c>
      <c r="R271" s="1">
        <v>0.39295000080811004</v>
      </c>
    </row>
    <row r="272" spans="1:18" x14ac:dyDescent="0.35">
      <c r="A272" t="s">
        <v>274</v>
      </c>
      <c r="B272" s="2">
        <f t="shared" si="33"/>
        <v>45381</v>
      </c>
      <c r="C272" s="3">
        <f t="shared" si="39"/>
        <v>-45381</v>
      </c>
      <c r="D272">
        <f t="shared" si="34"/>
        <v>279</v>
      </c>
      <c r="E272">
        <f t="shared" si="35"/>
        <v>9</v>
      </c>
      <c r="F272">
        <f t="shared" si="36"/>
        <v>1</v>
      </c>
      <c r="G272">
        <f t="shared" si="40"/>
        <v>1</v>
      </c>
      <c r="H272">
        <f t="shared" si="37"/>
        <v>1</v>
      </c>
      <c r="I272" s="4" t="str">
        <f t="shared" si="38"/>
        <v>111</v>
      </c>
      <c r="Q272" s="1">
        <v>0.37191127169205329</v>
      </c>
      <c r="R272" s="1">
        <v>0.1635514412819512</v>
      </c>
    </row>
    <row r="273" spans="1:18" x14ac:dyDescent="0.35">
      <c r="A273" t="s">
        <v>275</v>
      </c>
      <c r="B273" s="2">
        <f t="shared" si="33"/>
        <v>45438</v>
      </c>
      <c r="C273" s="3">
        <f t="shared" si="39"/>
        <v>-45438</v>
      </c>
      <c r="D273">
        <f t="shared" si="34"/>
        <v>429</v>
      </c>
      <c r="E273">
        <f t="shared" si="35"/>
        <v>14</v>
      </c>
      <c r="F273">
        <f t="shared" si="36"/>
        <v>2</v>
      </c>
      <c r="G273">
        <f t="shared" si="40"/>
        <v>2</v>
      </c>
      <c r="H273">
        <f t="shared" si="37"/>
        <v>2</v>
      </c>
      <c r="I273" s="4" t="str">
        <f t="shared" si="38"/>
        <v>222</v>
      </c>
      <c r="Q273" s="1">
        <v>4.6371916197294194E-3</v>
      </c>
      <c r="R273" s="1">
        <v>0.26676945953577202</v>
      </c>
    </row>
    <row r="274" spans="1:18" x14ac:dyDescent="0.35">
      <c r="A274" t="s">
        <v>276</v>
      </c>
      <c r="B274" s="2">
        <f t="shared" si="33"/>
        <v>45447</v>
      </c>
      <c r="C274" s="3">
        <f t="shared" si="39"/>
        <v>-45447</v>
      </c>
      <c r="D274">
        <f t="shared" si="34"/>
        <v>454</v>
      </c>
      <c r="E274">
        <f t="shared" si="35"/>
        <v>15</v>
      </c>
      <c r="F274">
        <f t="shared" si="36"/>
        <v>2</v>
      </c>
      <c r="G274">
        <f t="shared" si="40"/>
        <v>2</v>
      </c>
      <c r="H274">
        <f t="shared" si="37"/>
        <v>2</v>
      </c>
      <c r="I274" s="4" t="str">
        <f t="shared" si="38"/>
        <v>222</v>
      </c>
      <c r="Q274" s="1">
        <v>0.26317511233651714</v>
      </c>
      <c r="R274" s="1">
        <v>0.28388688334996937</v>
      </c>
    </row>
    <row r="275" spans="1:18" x14ac:dyDescent="0.35">
      <c r="A275" t="s">
        <v>277</v>
      </c>
      <c r="B275" s="2">
        <f t="shared" si="33"/>
        <v>45599</v>
      </c>
      <c r="C275" s="3">
        <f t="shared" si="39"/>
        <v>-45599</v>
      </c>
      <c r="D275">
        <f t="shared" si="34"/>
        <v>861</v>
      </c>
      <c r="E275">
        <f t="shared" si="35"/>
        <v>29</v>
      </c>
      <c r="F275">
        <f t="shared" si="36"/>
        <v>4</v>
      </c>
      <c r="G275">
        <f t="shared" si="40"/>
        <v>4</v>
      </c>
      <c r="H275">
        <f t="shared" si="37"/>
        <v>4</v>
      </c>
      <c r="I275" s="4" t="str">
        <f t="shared" si="38"/>
        <v>444</v>
      </c>
      <c r="Q275" s="1">
        <v>0.51750260367706558</v>
      </c>
      <c r="R275" s="1">
        <v>0.56236386123074877</v>
      </c>
    </row>
    <row r="276" spans="1:18" x14ac:dyDescent="0.35">
      <c r="A276" t="s">
        <v>278</v>
      </c>
      <c r="B276" s="2">
        <f t="shared" si="33"/>
        <v>45663</v>
      </c>
      <c r="C276" s="3">
        <f t="shared" si="39"/>
        <v>-45663</v>
      </c>
      <c r="D276">
        <f t="shared" si="34"/>
        <v>1033</v>
      </c>
      <c r="E276">
        <f t="shared" si="35"/>
        <v>34</v>
      </c>
      <c r="F276">
        <f t="shared" si="36"/>
        <v>4</v>
      </c>
      <c r="G276">
        <f t="shared" si="40"/>
        <v>4</v>
      </c>
      <c r="H276">
        <f t="shared" si="37"/>
        <v>4</v>
      </c>
      <c r="I276" s="4" t="str">
        <f t="shared" si="38"/>
        <v>444</v>
      </c>
      <c r="Q276" s="1">
        <v>0.53676846878797457</v>
      </c>
      <c r="R276" s="1">
        <v>0.68036702180114383</v>
      </c>
    </row>
    <row r="277" spans="1:18" x14ac:dyDescent="0.35">
      <c r="A277" t="s">
        <v>279</v>
      </c>
      <c r="B277" s="2">
        <f t="shared" si="33"/>
        <v>45398</v>
      </c>
      <c r="C277" s="3">
        <f t="shared" si="39"/>
        <v>-45398</v>
      </c>
      <c r="D277">
        <f t="shared" si="34"/>
        <v>324</v>
      </c>
      <c r="E277">
        <f t="shared" si="35"/>
        <v>11</v>
      </c>
      <c r="F277">
        <f t="shared" si="36"/>
        <v>1</v>
      </c>
      <c r="G277">
        <f t="shared" si="40"/>
        <v>1</v>
      </c>
      <c r="H277">
        <f t="shared" si="37"/>
        <v>1</v>
      </c>
      <c r="I277" s="4" t="str">
        <f t="shared" si="38"/>
        <v>111</v>
      </c>
      <c r="Q277" s="1">
        <v>6.2197384168150793E-2</v>
      </c>
      <c r="R277" s="1">
        <v>0.19459688958019616</v>
      </c>
    </row>
    <row r="278" spans="1:18" x14ac:dyDescent="0.35">
      <c r="A278" t="s">
        <v>280</v>
      </c>
      <c r="B278" s="2">
        <f t="shared" si="33"/>
        <v>45436</v>
      </c>
      <c r="C278" s="3">
        <f t="shared" si="39"/>
        <v>-45436</v>
      </c>
      <c r="D278">
        <f t="shared" si="34"/>
        <v>425</v>
      </c>
      <c r="E278">
        <f t="shared" si="35"/>
        <v>14</v>
      </c>
      <c r="F278">
        <f t="shared" si="36"/>
        <v>2</v>
      </c>
      <c r="G278">
        <f t="shared" si="40"/>
        <v>2</v>
      </c>
      <c r="H278">
        <f t="shared" si="37"/>
        <v>2</v>
      </c>
      <c r="I278" s="4" t="str">
        <f t="shared" si="38"/>
        <v>222</v>
      </c>
      <c r="Q278" s="1">
        <v>0.93018875999620909</v>
      </c>
      <c r="R278" s="1">
        <v>0.26381488080563675</v>
      </c>
    </row>
    <row r="279" spans="1:18" x14ac:dyDescent="0.35">
      <c r="A279" t="s">
        <v>281</v>
      </c>
      <c r="B279" s="2">
        <f t="shared" si="33"/>
        <v>45720</v>
      </c>
      <c r="C279" s="3">
        <f t="shared" si="39"/>
        <v>-45720</v>
      </c>
      <c r="D279">
        <f t="shared" si="34"/>
        <v>1186</v>
      </c>
      <c r="E279">
        <f t="shared" si="35"/>
        <v>39</v>
      </c>
      <c r="F279">
        <f t="shared" si="36"/>
        <v>5</v>
      </c>
      <c r="G279">
        <f t="shared" si="40"/>
        <v>4</v>
      </c>
      <c r="H279">
        <f t="shared" si="37"/>
        <v>5</v>
      </c>
      <c r="I279" s="4" t="str">
        <f t="shared" si="38"/>
        <v>545</v>
      </c>
      <c r="Q279" s="1">
        <v>0.65048853644515103</v>
      </c>
      <c r="R279" s="1">
        <v>0.78459294203721475</v>
      </c>
    </row>
    <row r="280" spans="1:18" x14ac:dyDescent="0.35">
      <c r="A280" t="s">
        <v>282</v>
      </c>
      <c r="B280" s="2">
        <f t="shared" si="33"/>
        <v>45395</v>
      </c>
      <c r="C280" s="3">
        <f t="shared" si="39"/>
        <v>-45395</v>
      </c>
      <c r="D280">
        <f t="shared" si="34"/>
        <v>315</v>
      </c>
      <c r="E280">
        <f t="shared" si="35"/>
        <v>10</v>
      </c>
      <c r="F280">
        <f t="shared" si="36"/>
        <v>1</v>
      </c>
      <c r="G280">
        <f t="shared" si="40"/>
        <v>1</v>
      </c>
      <c r="H280">
        <f t="shared" si="37"/>
        <v>1</v>
      </c>
      <c r="I280" s="4" t="str">
        <f t="shared" si="38"/>
        <v>111</v>
      </c>
      <c r="Q280" s="1">
        <v>0.98839451387070376</v>
      </c>
      <c r="R280" s="1">
        <v>0.18846834532117396</v>
      </c>
    </row>
    <row r="281" spans="1:18" x14ac:dyDescent="0.35">
      <c r="A281" t="s">
        <v>283</v>
      </c>
      <c r="B281" s="2">
        <f t="shared" si="33"/>
        <v>45610</v>
      </c>
      <c r="C281" s="3">
        <f t="shared" si="39"/>
        <v>-45610</v>
      </c>
      <c r="D281">
        <f t="shared" si="34"/>
        <v>890</v>
      </c>
      <c r="E281">
        <f t="shared" si="35"/>
        <v>30</v>
      </c>
      <c r="F281">
        <f t="shared" si="36"/>
        <v>4</v>
      </c>
      <c r="G281">
        <f t="shared" si="40"/>
        <v>4</v>
      </c>
      <c r="H281">
        <f t="shared" si="37"/>
        <v>4</v>
      </c>
      <c r="I281" s="4" t="str">
        <f t="shared" si="38"/>
        <v>444</v>
      </c>
      <c r="Q281" s="1">
        <v>0.78815589749006876</v>
      </c>
      <c r="R281" s="1">
        <v>0.58193175183344048</v>
      </c>
    </row>
    <row r="282" spans="1:18" x14ac:dyDescent="0.35">
      <c r="A282" t="s">
        <v>284</v>
      </c>
      <c r="B282" s="2">
        <f t="shared" si="33"/>
        <v>45380</v>
      </c>
      <c r="C282" s="3">
        <f t="shared" si="39"/>
        <v>-45380</v>
      </c>
      <c r="D282">
        <f t="shared" si="34"/>
        <v>274</v>
      </c>
      <c r="E282">
        <f t="shared" si="35"/>
        <v>9</v>
      </c>
      <c r="F282">
        <f t="shared" si="36"/>
        <v>1</v>
      </c>
      <c r="G282">
        <f t="shared" si="40"/>
        <v>1</v>
      </c>
      <c r="H282">
        <f t="shared" si="37"/>
        <v>1</v>
      </c>
      <c r="I282" s="4" t="str">
        <f t="shared" si="38"/>
        <v>111</v>
      </c>
      <c r="Q282" s="1">
        <v>0.62259341762118636</v>
      </c>
      <c r="R282" s="1">
        <v>0.16061632425934191</v>
      </c>
    </row>
    <row r="283" spans="1:18" x14ac:dyDescent="0.35">
      <c r="A283" t="s">
        <v>285</v>
      </c>
      <c r="B283" s="2">
        <f t="shared" si="33"/>
        <v>45775</v>
      </c>
      <c r="C283" s="3">
        <f t="shared" si="39"/>
        <v>-45775</v>
      </c>
      <c r="D283">
        <f t="shared" si="34"/>
        <v>1333</v>
      </c>
      <c r="E283">
        <f t="shared" si="35"/>
        <v>44</v>
      </c>
      <c r="F283">
        <f t="shared" si="36"/>
        <v>5</v>
      </c>
      <c r="G283">
        <f t="shared" si="40"/>
        <v>5</v>
      </c>
      <c r="H283">
        <f t="shared" si="37"/>
        <v>5</v>
      </c>
      <c r="I283" s="4" t="str">
        <f t="shared" si="38"/>
        <v>555</v>
      </c>
      <c r="Q283" s="1">
        <v>0.56366235944504128</v>
      </c>
      <c r="R283" s="1">
        <v>0.88551960571045218</v>
      </c>
    </row>
    <row r="284" spans="1:18" x14ac:dyDescent="0.35">
      <c r="A284" t="s">
        <v>286</v>
      </c>
      <c r="B284" s="2">
        <f t="shared" si="33"/>
        <v>45653</v>
      </c>
      <c r="C284" s="3">
        <f t="shared" si="39"/>
        <v>-45653</v>
      </c>
      <c r="D284">
        <f t="shared" si="34"/>
        <v>1005</v>
      </c>
      <c r="E284">
        <f t="shared" si="35"/>
        <v>33</v>
      </c>
      <c r="F284">
        <f t="shared" si="36"/>
        <v>4</v>
      </c>
      <c r="G284">
        <f t="shared" si="40"/>
        <v>4</v>
      </c>
      <c r="H284">
        <f t="shared" si="37"/>
        <v>4</v>
      </c>
      <c r="I284" s="4" t="str">
        <f t="shared" si="38"/>
        <v>444</v>
      </c>
      <c r="Q284" s="1">
        <v>0.46372587900919127</v>
      </c>
      <c r="R284" s="1">
        <v>0.66108284583351695</v>
      </c>
    </row>
    <row r="285" spans="1:18" x14ac:dyDescent="0.35">
      <c r="A285" t="s">
        <v>287</v>
      </c>
      <c r="B285" s="2">
        <f t="shared" si="33"/>
        <v>45453</v>
      </c>
      <c r="C285" s="3">
        <f t="shared" si="39"/>
        <v>-45453</v>
      </c>
      <c r="D285">
        <f t="shared" si="34"/>
        <v>471</v>
      </c>
      <c r="E285">
        <f t="shared" si="35"/>
        <v>15</v>
      </c>
      <c r="F285">
        <f t="shared" si="36"/>
        <v>2</v>
      </c>
      <c r="G285">
        <f t="shared" si="40"/>
        <v>2</v>
      </c>
      <c r="H285">
        <f t="shared" si="37"/>
        <v>2</v>
      </c>
      <c r="I285" s="4" t="str">
        <f t="shared" si="38"/>
        <v>222</v>
      </c>
      <c r="Q285" s="1">
        <v>6.3919918448550272E-2</v>
      </c>
      <c r="R285" s="1">
        <v>0.29548308778391918</v>
      </c>
    </row>
    <row r="286" spans="1:18" x14ac:dyDescent="0.35">
      <c r="A286" t="s">
        <v>288</v>
      </c>
      <c r="B286" s="2">
        <f t="shared" si="33"/>
        <v>45789</v>
      </c>
      <c r="C286" s="3">
        <f t="shared" si="39"/>
        <v>-45789</v>
      </c>
      <c r="D286">
        <f t="shared" si="34"/>
        <v>1370</v>
      </c>
      <c r="E286">
        <f t="shared" si="35"/>
        <v>46</v>
      </c>
      <c r="F286">
        <f t="shared" si="36"/>
        <v>5</v>
      </c>
      <c r="G286">
        <f t="shared" si="40"/>
        <v>5</v>
      </c>
      <c r="H286">
        <f t="shared" si="37"/>
        <v>5</v>
      </c>
      <c r="I286" s="4" t="str">
        <f t="shared" si="38"/>
        <v>555</v>
      </c>
      <c r="Q286" s="1">
        <v>8.0389148529202537E-2</v>
      </c>
      <c r="R286" s="1">
        <v>0.91070966607588089</v>
      </c>
    </row>
    <row r="287" spans="1:18" x14ac:dyDescent="0.35">
      <c r="A287" t="s">
        <v>289</v>
      </c>
      <c r="B287" s="2">
        <f t="shared" si="33"/>
        <v>45808</v>
      </c>
      <c r="C287" s="3">
        <f t="shared" si="39"/>
        <v>-45808</v>
      </c>
      <c r="D287">
        <f t="shared" si="34"/>
        <v>1420</v>
      </c>
      <c r="E287">
        <f t="shared" si="35"/>
        <v>47</v>
      </c>
      <c r="F287">
        <f t="shared" si="36"/>
        <v>5</v>
      </c>
      <c r="G287">
        <f t="shared" si="40"/>
        <v>5</v>
      </c>
      <c r="H287">
        <f t="shared" si="37"/>
        <v>5</v>
      </c>
      <c r="I287" s="4" t="str">
        <f t="shared" si="38"/>
        <v>555</v>
      </c>
      <c r="Q287" s="1">
        <v>0.40101628429783032</v>
      </c>
      <c r="R287" s="1">
        <v>0.94519602092931265</v>
      </c>
    </row>
    <row r="288" spans="1:18" x14ac:dyDescent="0.35">
      <c r="A288" t="s">
        <v>290</v>
      </c>
      <c r="B288" s="2">
        <f t="shared" si="33"/>
        <v>45467</v>
      </c>
      <c r="C288" s="3">
        <f t="shared" si="39"/>
        <v>-45467</v>
      </c>
      <c r="D288">
        <f t="shared" si="34"/>
        <v>507</v>
      </c>
      <c r="E288">
        <f t="shared" si="35"/>
        <v>17</v>
      </c>
      <c r="F288">
        <f t="shared" si="36"/>
        <v>2</v>
      </c>
      <c r="G288">
        <f t="shared" si="40"/>
        <v>2</v>
      </c>
      <c r="H288">
        <f t="shared" si="37"/>
        <v>2</v>
      </c>
      <c r="I288" s="4" t="str">
        <f t="shared" si="38"/>
        <v>222</v>
      </c>
      <c r="Q288" s="1">
        <v>0.47671390569207261</v>
      </c>
      <c r="R288" s="1">
        <v>0.3196716565282709</v>
      </c>
    </row>
    <row r="289" spans="1:18" x14ac:dyDescent="0.35">
      <c r="A289" t="s">
        <v>291</v>
      </c>
      <c r="B289" s="2">
        <f t="shared" si="33"/>
        <v>45387</v>
      </c>
      <c r="C289" s="3">
        <f t="shared" si="39"/>
        <v>-45387</v>
      </c>
      <c r="D289">
        <f t="shared" si="34"/>
        <v>294</v>
      </c>
      <c r="E289">
        <f t="shared" si="35"/>
        <v>10</v>
      </c>
      <c r="F289">
        <f t="shared" si="36"/>
        <v>1</v>
      </c>
      <c r="G289">
        <f t="shared" si="40"/>
        <v>1</v>
      </c>
      <c r="H289">
        <f t="shared" si="37"/>
        <v>1</v>
      </c>
      <c r="I289" s="4" t="str">
        <f t="shared" si="38"/>
        <v>111</v>
      </c>
      <c r="Q289" s="1">
        <v>0.70301291996331816</v>
      </c>
      <c r="R289" s="1">
        <v>0.17423077012884058</v>
      </c>
    </row>
    <row r="290" spans="1:18" x14ac:dyDescent="0.35">
      <c r="A290" t="s">
        <v>292</v>
      </c>
      <c r="B290" s="2">
        <f t="shared" si="33"/>
        <v>45591</v>
      </c>
      <c r="C290" s="3">
        <f t="shared" si="39"/>
        <v>-45591</v>
      </c>
      <c r="D290">
        <f t="shared" si="34"/>
        <v>839</v>
      </c>
      <c r="E290">
        <f t="shared" si="35"/>
        <v>28</v>
      </c>
      <c r="F290">
        <f t="shared" si="36"/>
        <v>4</v>
      </c>
      <c r="G290">
        <f t="shared" si="40"/>
        <v>4</v>
      </c>
      <c r="H290">
        <f t="shared" si="37"/>
        <v>4</v>
      </c>
      <c r="I290" s="4" t="str">
        <f t="shared" si="38"/>
        <v>444</v>
      </c>
      <c r="Q290" s="1">
        <v>0.67136023735952521</v>
      </c>
      <c r="R290" s="1">
        <v>0.54701375563740073</v>
      </c>
    </row>
    <row r="291" spans="1:18" x14ac:dyDescent="0.35">
      <c r="A291" t="s">
        <v>293</v>
      </c>
      <c r="B291" s="2">
        <f t="shared" si="33"/>
        <v>45408</v>
      </c>
      <c r="C291" s="3">
        <f t="shared" si="39"/>
        <v>-45408</v>
      </c>
      <c r="D291">
        <f t="shared" si="34"/>
        <v>350</v>
      </c>
      <c r="E291">
        <f t="shared" si="35"/>
        <v>11</v>
      </c>
      <c r="F291">
        <f t="shared" si="36"/>
        <v>1</v>
      </c>
      <c r="G291">
        <f t="shared" si="40"/>
        <v>1</v>
      </c>
      <c r="H291">
        <f t="shared" si="37"/>
        <v>1</v>
      </c>
      <c r="I291" s="4" t="str">
        <f t="shared" si="38"/>
        <v>111</v>
      </c>
      <c r="Q291" s="1">
        <v>0.42505694637844893</v>
      </c>
      <c r="R291" s="1">
        <v>0.21252067988544987</v>
      </c>
    </row>
    <row r="292" spans="1:18" x14ac:dyDescent="0.35">
      <c r="A292" t="s">
        <v>294</v>
      </c>
      <c r="B292" s="2">
        <f t="shared" si="33"/>
        <v>45303</v>
      </c>
      <c r="C292" s="3">
        <f t="shared" si="39"/>
        <v>-45303</v>
      </c>
      <c r="D292">
        <f t="shared" si="34"/>
        <v>70</v>
      </c>
      <c r="E292">
        <f t="shared" si="35"/>
        <v>2</v>
      </c>
      <c r="F292">
        <f t="shared" si="36"/>
        <v>1</v>
      </c>
      <c r="G292">
        <f t="shared" si="40"/>
        <v>1</v>
      </c>
      <c r="H292">
        <f t="shared" si="37"/>
        <v>1</v>
      </c>
      <c r="I292" s="4" t="str">
        <f t="shared" si="38"/>
        <v>111</v>
      </c>
      <c r="Q292" s="1">
        <v>0.2722550509238626</v>
      </c>
      <c r="R292" s="1">
        <v>2.0397473205558625E-2</v>
      </c>
    </row>
    <row r="293" spans="1:18" x14ac:dyDescent="0.35">
      <c r="A293" t="s">
        <v>295</v>
      </c>
      <c r="B293" s="2">
        <f t="shared" si="33"/>
        <v>45648</v>
      </c>
      <c r="C293" s="3">
        <f t="shared" si="39"/>
        <v>-45648</v>
      </c>
      <c r="D293">
        <f t="shared" si="34"/>
        <v>993</v>
      </c>
      <c r="E293">
        <f t="shared" si="35"/>
        <v>33</v>
      </c>
      <c r="F293">
        <f t="shared" si="36"/>
        <v>4</v>
      </c>
      <c r="G293">
        <f t="shared" si="40"/>
        <v>4</v>
      </c>
      <c r="H293">
        <f t="shared" si="37"/>
        <v>4</v>
      </c>
      <c r="I293" s="4" t="str">
        <f t="shared" si="38"/>
        <v>444</v>
      </c>
      <c r="Q293" s="1">
        <v>1.5829218249601262E-2</v>
      </c>
      <c r="R293" s="1">
        <v>0.65261194817645174</v>
      </c>
    </row>
    <row r="294" spans="1:18" x14ac:dyDescent="0.35">
      <c r="A294" t="s">
        <v>296</v>
      </c>
      <c r="B294" s="2">
        <f t="shared" si="33"/>
        <v>45644</v>
      </c>
      <c r="C294" s="3">
        <f t="shared" si="39"/>
        <v>-45644</v>
      </c>
      <c r="D294">
        <f t="shared" si="34"/>
        <v>980</v>
      </c>
      <c r="E294">
        <f t="shared" si="35"/>
        <v>33</v>
      </c>
      <c r="F294">
        <f t="shared" si="36"/>
        <v>4</v>
      </c>
      <c r="G294">
        <f t="shared" si="40"/>
        <v>4</v>
      </c>
      <c r="H294">
        <f t="shared" si="37"/>
        <v>4</v>
      </c>
      <c r="I294" s="4" t="str">
        <f t="shared" si="38"/>
        <v>444</v>
      </c>
      <c r="Q294" s="1">
        <v>2.6143468780953305E-2</v>
      </c>
      <c r="R294" s="1">
        <v>0.64399651670464764</v>
      </c>
    </row>
    <row r="295" spans="1:18" x14ac:dyDescent="0.35">
      <c r="A295" t="s">
        <v>297</v>
      </c>
      <c r="B295" s="2">
        <f t="shared" si="33"/>
        <v>45671</v>
      </c>
      <c r="C295" s="3">
        <f t="shared" si="39"/>
        <v>-45671</v>
      </c>
      <c r="D295">
        <f t="shared" si="34"/>
        <v>1054</v>
      </c>
      <c r="E295">
        <f t="shared" si="35"/>
        <v>35</v>
      </c>
      <c r="F295">
        <f t="shared" si="36"/>
        <v>4</v>
      </c>
      <c r="G295">
        <f t="shared" si="40"/>
        <v>4</v>
      </c>
      <c r="H295">
        <f t="shared" si="37"/>
        <v>4</v>
      </c>
      <c r="I295" s="4" t="str">
        <f t="shared" si="38"/>
        <v>444</v>
      </c>
      <c r="Q295" s="1">
        <v>0.17238446479457081</v>
      </c>
      <c r="R295" s="1">
        <v>0.69483213613946504</v>
      </c>
    </row>
    <row r="296" spans="1:18" x14ac:dyDescent="0.35">
      <c r="A296" t="s">
        <v>298</v>
      </c>
      <c r="B296" s="2">
        <f t="shared" si="33"/>
        <v>45395</v>
      </c>
      <c r="C296" s="3">
        <f t="shared" si="39"/>
        <v>-45395</v>
      </c>
      <c r="D296">
        <f t="shared" si="34"/>
        <v>317</v>
      </c>
      <c r="E296">
        <f t="shared" si="35"/>
        <v>10</v>
      </c>
      <c r="F296">
        <f t="shared" si="36"/>
        <v>1</v>
      </c>
      <c r="G296">
        <f t="shared" si="40"/>
        <v>1</v>
      </c>
      <c r="H296">
        <f t="shared" si="37"/>
        <v>1</v>
      </c>
      <c r="I296" s="4" t="str">
        <f t="shared" si="38"/>
        <v>111</v>
      </c>
      <c r="Q296" s="1">
        <v>0.68619897391582996</v>
      </c>
      <c r="R296" s="1">
        <v>0.18955597732580742</v>
      </c>
    </row>
    <row r="297" spans="1:18" x14ac:dyDescent="0.35">
      <c r="A297" t="s">
        <v>299</v>
      </c>
      <c r="B297" s="2">
        <f t="shared" si="33"/>
        <v>45771</v>
      </c>
      <c r="C297" s="3">
        <f t="shared" si="39"/>
        <v>-45771</v>
      </c>
      <c r="D297">
        <f t="shared" si="34"/>
        <v>1320</v>
      </c>
      <c r="E297">
        <f t="shared" si="35"/>
        <v>44</v>
      </c>
      <c r="F297">
        <f t="shared" si="36"/>
        <v>5</v>
      </c>
      <c r="G297">
        <f t="shared" si="40"/>
        <v>5</v>
      </c>
      <c r="H297">
        <f t="shared" si="37"/>
        <v>5</v>
      </c>
      <c r="I297" s="4" t="str">
        <f t="shared" si="38"/>
        <v>555</v>
      </c>
      <c r="Q297" s="1">
        <v>0.54195872995520611</v>
      </c>
      <c r="R297" s="1">
        <v>0.87694234281851857</v>
      </c>
    </row>
    <row r="298" spans="1:18" x14ac:dyDescent="0.35">
      <c r="A298" t="s">
        <v>300</v>
      </c>
      <c r="B298" s="2">
        <f t="shared" si="33"/>
        <v>45595</v>
      </c>
      <c r="C298" s="3">
        <f t="shared" si="39"/>
        <v>-45595</v>
      </c>
      <c r="D298">
        <f t="shared" si="34"/>
        <v>850</v>
      </c>
      <c r="E298">
        <f t="shared" si="35"/>
        <v>28</v>
      </c>
      <c r="F298">
        <f t="shared" si="36"/>
        <v>4</v>
      </c>
      <c r="G298">
        <f t="shared" si="40"/>
        <v>4</v>
      </c>
      <c r="H298">
        <f t="shared" si="37"/>
        <v>4</v>
      </c>
      <c r="I298" s="4" t="str">
        <f t="shared" si="38"/>
        <v>444</v>
      </c>
      <c r="Q298" s="1">
        <v>0.66534673223881491</v>
      </c>
      <c r="R298" s="1">
        <v>0.55480745503884021</v>
      </c>
    </row>
    <row r="299" spans="1:18" x14ac:dyDescent="0.35">
      <c r="A299" t="s">
        <v>301</v>
      </c>
      <c r="B299" s="2">
        <f t="shared" si="33"/>
        <v>45669</v>
      </c>
      <c r="C299" s="3">
        <f t="shared" si="39"/>
        <v>-45669</v>
      </c>
      <c r="D299">
        <f t="shared" si="34"/>
        <v>1047</v>
      </c>
      <c r="E299">
        <f t="shared" si="35"/>
        <v>35</v>
      </c>
      <c r="F299">
        <f t="shared" si="36"/>
        <v>4</v>
      </c>
      <c r="G299">
        <f t="shared" si="40"/>
        <v>4</v>
      </c>
      <c r="H299">
        <f t="shared" si="37"/>
        <v>4</v>
      </c>
      <c r="I299" s="4" t="str">
        <f t="shared" si="38"/>
        <v>444</v>
      </c>
      <c r="Q299" s="1">
        <v>0.99358337076891678</v>
      </c>
      <c r="R299" s="1">
        <v>0.69002346712842788</v>
      </c>
    </row>
    <row r="300" spans="1:18" x14ac:dyDescent="0.35">
      <c r="A300" t="s">
        <v>302</v>
      </c>
      <c r="B300" s="2">
        <f t="shared" si="33"/>
        <v>45632</v>
      </c>
      <c r="C300" s="3">
        <f t="shared" si="39"/>
        <v>-45632</v>
      </c>
      <c r="D300">
        <f t="shared" si="34"/>
        <v>949</v>
      </c>
      <c r="E300">
        <f t="shared" si="35"/>
        <v>32</v>
      </c>
      <c r="F300">
        <f t="shared" si="36"/>
        <v>4</v>
      </c>
      <c r="G300">
        <f t="shared" si="40"/>
        <v>4</v>
      </c>
      <c r="H300">
        <f t="shared" si="37"/>
        <v>4</v>
      </c>
      <c r="I300" s="4" t="str">
        <f t="shared" si="38"/>
        <v>444</v>
      </c>
      <c r="Q300" s="1">
        <v>0.74837581098799166</v>
      </c>
      <c r="R300" s="1">
        <v>0.62281154000244388</v>
      </c>
    </row>
    <row r="301" spans="1:18" x14ac:dyDescent="0.35">
      <c r="A301" t="s">
        <v>303</v>
      </c>
      <c r="B301" s="2">
        <f t="shared" si="33"/>
        <v>45619</v>
      </c>
      <c r="C301" s="3">
        <f t="shared" si="39"/>
        <v>-45619</v>
      </c>
      <c r="D301">
        <f t="shared" si="34"/>
        <v>914</v>
      </c>
      <c r="E301">
        <f t="shared" si="35"/>
        <v>30</v>
      </c>
      <c r="F301">
        <f t="shared" si="36"/>
        <v>4</v>
      </c>
      <c r="G301">
        <f t="shared" si="40"/>
        <v>4</v>
      </c>
      <c r="H301">
        <f t="shared" si="37"/>
        <v>4</v>
      </c>
      <c r="I301" s="4" t="str">
        <f t="shared" si="38"/>
        <v>444</v>
      </c>
      <c r="Q301" s="1">
        <v>0.72893739352414899</v>
      </c>
      <c r="R301" s="1">
        <v>0.59877536860620362</v>
      </c>
    </row>
    <row r="302" spans="1:18" x14ac:dyDescent="0.35">
      <c r="A302" t="s">
        <v>304</v>
      </c>
      <c r="B302" s="2">
        <f t="shared" si="33"/>
        <v>45740</v>
      </c>
      <c r="C302" s="3">
        <f t="shared" si="39"/>
        <v>-45740</v>
      </c>
      <c r="D302">
        <f t="shared" si="34"/>
        <v>1238</v>
      </c>
      <c r="E302">
        <f t="shared" si="35"/>
        <v>41</v>
      </c>
      <c r="F302">
        <f t="shared" si="36"/>
        <v>5</v>
      </c>
      <c r="G302">
        <f t="shared" si="40"/>
        <v>5</v>
      </c>
      <c r="H302">
        <f t="shared" si="37"/>
        <v>5</v>
      </c>
      <c r="I302" s="4" t="str">
        <f t="shared" si="38"/>
        <v>555</v>
      </c>
      <c r="Q302" s="1">
        <v>0.48958194526054777</v>
      </c>
      <c r="R302" s="1">
        <v>0.82038440012874525</v>
      </c>
    </row>
    <row r="303" spans="1:18" x14ac:dyDescent="0.35">
      <c r="A303" t="s">
        <v>305</v>
      </c>
      <c r="B303" s="2">
        <f t="shared" si="33"/>
        <v>45337</v>
      </c>
      <c r="C303" s="3">
        <f t="shared" si="39"/>
        <v>-45337</v>
      </c>
      <c r="D303">
        <f t="shared" si="34"/>
        <v>160</v>
      </c>
      <c r="E303">
        <f t="shared" si="35"/>
        <v>5</v>
      </c>
      <c r="F303">
        <f t="shared" si="36"/>
        <v>1</v>
      </c>
      <c r="G303">
        <f t="shared" si="40"/>
        <v>1</v>
      </c>
      <c r="H303">
        <f t="shared" si="37"/>
        <v>1</v>
      </c>
      <c r="I303" s="4" t="str">
        <f t="shared" si="38"/>
        <v>111</v>
      </c>
      <c r="Q303" s="1">
        <v>0.6401108717851538</v>
      </c>
      <c r="R303" s="1">
        <v>8.2243253953651396E-2</v>
      </c>
    </row>
    <row r="304" spans="1:18" x14ac:dyDescent="0.35">
      <c r="A304" t="s">
        <v>306</v>
      </c>
      <c r="B304" s="2">
        <f t="shared" si="33"/>
        <v>45613</v>
      </c>
      <c r="C304" s="3">
        <f t="shared" si="39"/>
        <v>-45613</v>
      </c>
      <c r="D304">
        <f t="shared" si="34"/>
        <v>899</v>
      </c>
      <c r="E304">
        <f t="shared" si="35"/>
        <v>30</v>
      </c>
      <c r="F304">
        <f t="shared" si="36"/>
        <v>4</v>
      </c>
      <c r="G304">
        <f t="shared" si="40"/>
        <v>4</v>
      </c>
      <c r="H304">
        <f t="shared" si="37"/>
        <v>4</v>
      </c>
      <c r="I304" s="4" t="str">
        <f t="shared" si="38"/>
        <v>444</v>
      </c>
      <c r="Q304" s="1">
        <v>0.58655567601705472</v>
      </c>
      <c r="R304" s="1">
        <v>0.58855138073705038</v>
      </c>
    </row>
    <row r="305" spans="1:18" x14ac:dyDescent="0.35">
      <c r="A305" t="s">
        <v>307</v>
      </c>
      <c r="B305" s="2">
        <f t="shared" si="33"/>
        <v>45836</v>
      </c>
      <c r="C305" s="3">
        <f t="shared" si="39"/>
        <v>-45836</v>
      </c>
      <c r="D305">
        <f t="shared" si="34"/>
        <v>1495</v>
      </c>
      <c r="E305">
        <f t="shared" si="35"/>
        <v>50</v>
      </c>
      <c r="F305">
        <f t="shared" si="36"/>
        <v>5</v>
      </c>
      <c r="G305">
        <f t="shared" si="40"/>
        <v>5</v>
      </c>
      <c r="H305">
        <f t="shared" si="37"/>
        <v>5</v>
      </c>
      <c r="I305" s="4" t="str">
        <f t="shared" si="38"/>
        <v>555</v>
      </c>
      <c r="Q305" s="1">
        <v>0.35613680910238721</v>
      </c>
      <c r="R305" s="1">
        <v>0.99685074401917884</v>
      </c>
    </row>
    <row r="306" spans="1:18" x14ac:dyDescent="0.35">
      <c r="A306" t="s">
        <v>308</v>
      </c>
      <c r="B306" s="2">
        <f t="shared" si="33"/>
        <v>45794</v>
      </c>
      <c r="C306" s="3">
        <f t="shared" si="39"/>
        <v>-45794</v>
      </c>
      <c r="D306">
        <f t="shared" si="34"/>
        <v>1383</v>
      </c>
      <c r="E306">
        <f t="shared" si="35"/>
        <v>46</v>
      </c>
      <c r="F306">
        <f t="shared" si="36"/>
        <v>5</v>
      </c>
      <c r="G306">
        <f t="shared" si="40"/>
        <v>5</v>
      </c>
      <c r="H306">
        <f t="shared" si="37"/>
        <v>5</v>
      </c>
      <c r="I306" s="4" t="str">
        <f t="shared" si="38"/>
        <v>555</v>
      </c>
      <c r="Q306" s="1">
        <v>0.22068014314810847</v>
      </c>
      <c r="R306" s="1">
        <v>0.9200741880805503</v>
      </c>
    </row>
    <row r="307" spans="1:18" x14ac:dyDescent="0.35">
      <c r="A307" t="s">
        <v>309</v>
      </c>
      <c r="B307" s="2">
        <f t="shared" si="33"/>
        <v>45602</v>
      </c>
      <c r="C307" s="3">
        <f t="shared" si="39"/>
        <v>-45602</v>
      </c>
      <c r="D307">
        <f t="shared" si="34"/>
        <v>870</v>
      </c>
      <c r="E307">
        <f t="shared" si="35"/>
        <v>29</v>
      </c>
      <c r="F307">
        <f t="shared" si="36"/>
        <v>4</v>
      </c>
      <c r="G307">
        <f t="shared" si="40"/>
        <v>4</v>
      </c>
      <c r="H307">
        <f t="shared" si="37"/>
        <v>4</v>
      </c>
      <c r="I307" s="4" t="str">
        <f t="shared" si="38"/>
        <v>444</v>
      </c>
      <c r="Q307" s="1">
        <v>0.97509318486722718</v>
      </c>
      <c r="R307" s="1">
        <v>0.56834152176376407</v>
      </c>
    </row>
    <row r="308" spans="1:18" x14ac:dyDescent="0.35">
      <c r="A308" t="s">
        <v>310</v>
      </c>
      <c r="B308" s="2">
        <f t="shared" si="33"/>
        <v>45595</v>
      </c>
      <c r="C308" s="3">
        <f t="shared" si="39"/>
        <v>-45595</v>
      </c>
      <c r="D308">
        <f t="shared" si="34"/>
        <v>850</v>
      </c>
      <c r="E308">
        <f t="shared" si="35"/>
        <v>28</v>
      </c>
      <c r="F308">
        <f t="shared" si="36"/>
        <v>4</v>
      </c>
      <c r="G308">
        <f t="shared" si="40"/>
        <v>4</v>
      </c>
      <c r="H308">
        <f t="shared" si="37"/>
        <v>4</v>
      </c>
      <c r="I308" s="4" t="str">
        <f t="shared" si="38"/>
        <v>444</v>
      </c>
      <c r="Q308" s="1">
        <v>0.2587639114517758</v>
      </c>
      <c r="R308" s="1">
        <v>0.55466548101377988</v>
      </c>
    </row>
    <row r="309" spans="1:18" x14ac:dyDescent="0.35">
      <c r="A309" t="s">
        <v>311</v>
      </c>
      <c r="B309" s="2">
        <f t="shared" si="33"/>
        <v>45581</v>
      </c>
      <c r="C309" s="3">
        <f t="shared" si="39"/>
        <v>-45581</v>
      </c>
      <c r="D309">
        <f t="shared" si="34"/>
        <v>812</v>
      </c>
      <c r="E309">
        <f t="shared" si="35"/>
        <v>27</v>
      </c>
      <c r="F309">
        <f t="shared" si="36"/>
        <v>4</v>
      </c>
      <c r="G309">
        <f t="shared" si="40"/>
        <v>4</v>
      </c>
      <c r="H309">
        <f t="shared" si="37"/>
        <v>4</v>
      </c>
      <c r="I309" s="4" t="str">
        <f t="shared" si="38"/>
        <v>444</v>
      </c>
      <c r="Q309" s="1">
        <v>0.43262387118998435</v>
      </c>
      <c r="R309" s="1">
        <v>0.52882711289997164</v>
      </c>
    </row>
    <row r="310" spans="1:18" x14ac:dyDescent="0.35">
      <c r="A310" t="s">
        <v>312</v>
      </c>
      <c r="B310" s="2">
        <f t="shared" si="33"/>
        <v>45759</v>
      </c>
      <c r="C310" s="3">
        <f t="shared" si="39"/>
        <v>-45759</v>
      </c>
      <c r="D310">
        <f t="shared" si="34"/>
        <v>1289</v>
      </c>
      <c r="E310">
        <f t="shared" si="35"/>
        <v>43</v>
      </c>
      <c r="F310">
        <f t="shared" si="36"/>
        <v>5</v>
      </c>
      <c r="G310">
        <f t="shared" si="40"/>
        <v>5</v>
      </c>
      <c r="H310">
        <f t="shared" si="37"/>
        <v>5</v>
      </c>
      <c r="I310" s="4" t="str">
        <f t="shared" si="38"/>
        <v>555</v>
      </c>
      <c r="Q310" s="1">
        <v>0.40291645510208984</v>
      </c>
      <c r="R310" s="1">
        <v>0.85536258575386392</v>
      </c>
    </row>
    <row r="311" spans="1:18" x14ac:dyDescent="0.35">
      <c r="A311" t="s">
        <v>313</v>
      </c>
      <c r="B311" s="2">
        <f t="shared" si="33"/>
        <v>45569</v>
      </c>
      <c r="C311" s="3">
        <f t="shared" si="39"/>
        <v>-45569</v>
      </c>
      <c r="D311">
        <f t="shared" si="34"/>
        <v>780</v>
      </c>
      <c r="E311">
        <f t="shared" si="35"/>
        <v>26</v>
      </c>
      <c r="F311">
        <f t="shared" si="36"/>
        <v>4</v>
      </c>
      <c r="G311">
        <f t="shared" si="40"/>
        <v>4</v>
      </c>
      <c r="H311">
        <f t="shared" si="37"/>
        <v>4</v>
      </c>
      <c r="I311" s="4" t="str">
        <f t="shared" si="38"/>
        <v>444</v>
      </c>
      <c r="Q311" s="1">
        <v>0.21301601134011872</v>
      </c>
      <c r="R311" s="1">
        <v>0.50687659032877985</v>
      </c>
    </row>
    <row r="312" spans="1:18" x14ac:dyDescent="0.35">
      <c r="A312" t="s">
        <v>314</v>
      </c>
      <c r="B312" s="2">
        <f t="shared" si="33"/>
        <v>45474</v>
      </c>
      <c r="C312" s="3">
        <f t="shared" si="39"/>
        <v>-45474</v>
      </c>
      <c r="D312">
        <f t="shared" si="34"/>
        <v>526</v>
      </c>
      <c r="E312">
        <f t="shared" si="35"/>
        <v>17</v>
      </c>
      <c r="F312">
        <f t="shared" si="36"/>
        <v>2</v>
      </c>
      <c r="G312">
        <f t="shared" si="40"/>
        <v>2</v>
      </c>
      <c r="H312">
        <f t="shared" si="37"/>
        <v>2</v>
      </c>
      <c r="I312" s="4" t="str">
        <f t="shared" si="38"/>
        <v>222</v>
      </c>
      <c r="Q312" s="1">
        <v>9.3088630979130338E-2</v>
      </c>
      <c r="R312" s="1">
        <v>0.33295744046523279</v>
      </c>
    </row>
    <row r="313" spans="1:18" x14ac:dyDescent="0.35">
      <c r="A313" t="s">
        <v>315</v>
      </c>
      <c r="B313" s="2">
        <f t="shared" si="33"/>
        <v>45630</v>
      </c>
      <c r="C313" s="3">
        <f t="shared" si="39"/>
        <v>-45630</v>
      </c>
      <c r="D313">
        <f t="shared" si="34"/>
        <v>943</v>
      </c>
      <c r="E313">
        <f t="shared" si="35"/>
        <v>31</v>
      </c>
      <c r="F313">
        <f t="shared" si="36"/>
        <v>4</v>
      </c>
      <c r="G313">
        <f t="shared" si="40"/>
        <v>4</v>
      </c>
      <c r="H313">
        <f t="shared" si="37"/>
        <v>4</v>
      </c>
      <c r="I313" s="4" t="str">
        <f t="shared" si="38"/>
        <v>444</v>
      </c>
      <c r="Q313" s="1">
        <v>0.43650957063359253</v>
      </c>
      <c r="R313" s="1">
        <v>0.61863644992983524</v>
      </c>
    </row>
    <row r="314" spans="1:18" x14ac:dyDescent="0.35">
      <c r="A314" t="s">
        <v>316</v>
      </c>
      <c r="B314" s="2">
        <f t="shared" si="33"/>
        <v>45415</v>
      </c>
      <c r="C314" s="3">
        <f t="shared" si="39"/>
        <v>-45415</v>
      </c>
      <c r="D314">
        <f t="shared" si="34"/>
        <v>368</v>
      </c>
      <c r="E314">
        <f t="shared" si="35"/>
        <v>12</v>
      </c>
      <c r="F314">
        <f t="shared" si="36"/>
        <v>1</v>
      </c>
      <c r="G314">
        <f t="shared" si="40"/>
        <v>1</v>
      </c>
      <c r="H314">
        <f t="shared" si="37"/>
        <v>1</v>
      </c>
      <c r="I314" s="4" t="str">
        <f t="shared" si="38"/>
        <v>111</v>
      </c>
      <c r="Q314" s="1">
        <v>0.91448055963937003</v>
      </c>
      <c r="R314" s="1">
        <v>0.224590148737008</v>
      </c>
    </row>
    <row r="315" spans="1:18" x14ac:dyDescent="0.35">
      <c r="A315" t="s">
        <v>317</v>
      </c>
      <c r="B315" s="2">
        <f t="shared" si="33"/>
        <v>45739</v>
      </c>
      <c r="C315" s="3">
        <f t="shared" si="39"/>
        <v>-45739</v>
      </c>
      <c r="D315">
        <f t="shared" si="34"/>
        <v>1235</v>
      </c>
      <c r="E315">
        <f t="shared" si="35"/>
        <v>41</v>
      </c>
      <c r="F315">
        <f t="shared" si="36"/>
        <v>5</v>
      </c>
      <c r="G315">
        <f t="shared" si="40"/>
        <v>5</v>
      </c>
      <c r="H315">
        <f t="shared" si="37"/>
        <v>5</v>
      </c>
      <c r="I315" s="4" t="str">
        <f t="shared" si="38"/>
        <v>555</v>
      </c>
      <c r="Q315" s="1">
        <v>0.23815322366999669</v>
      </c>
      <c r="R315" s="1">
        <v>0.81821819434823906</v>
      </c>
    </row>
    <row r="316" spans="1:18" x14ac:dyDescent="0.35">
      <c r="A316" t="s">
        <v>318</v>
      </c>
      <c r="B316" s="2">
        <f t="shared" si="33"/>
        <v>45412</v>
      </c>
      <c r="C316" s="3">
        <f t="shared" si="39"/>
        <v>-45412</v>
      </c>
      <c r="D316">
        <f t="shared" si="34"/>
        <v>362</v>
      </c>
      <c r="E316">
        <f t="shared" si="35"/>
        <v>12</v>
      </c>
      <c r="F316">
        <f t="shared" si="36"/>
        <v>1</v>
      </c>
      <c r="G316">
        <f t="shared" si="40"/>
        <v>1</v>
      </c>
      <c r="H316">
        <f t="shared" si="37"/>
        <v>1</v>
      </c>
      <c r="I316" s="4" t="str">
        <f t="shared" si="38"/>
        <v>111</v>
      </c>
      <c r="Q316" s="1">
        <v>0.54636838658555875</v>
      </c>
      <c r="R316" s="1">
        <v>0.22068449452656402</v>
      </c>
    </row>
    <row r="317" spans="1:18" x14ac:dyDescent="0.35">
      <c r="A317" t="s">
        <v>319</v>
      </c>
      <c r="B317" s="2">
        <f t="shared" si="33"/>
        <v>45446</v>
      </c>
      <c r="C317" s="3">
        <f t="shared" si="39"/>
        <v>-45446</v>
      </c>
      <c r="D317">
        <f t="shared" si="34"/>
        <v>452</v>
      </c>
      <c r="E317">
        <f t="shared" si="35"/>
        <v>15</v>
      </c>
      <c r="F317">
        <f t="shared" si="36"/>
        <v>2</v>
      </c>
      <c r="G317">
        <f t="shared" si="40"/>
        <v>2</v>
      </c>
      <c r="H317">
        <f t="shared" si="37"/>
        <v>2</v>
      </c>
      <c r="I317" s="4" t="str">
        <f t="shared" si="38"/>
        <v>222</v>
      </c>
      <c r="Q317" s="1">
        <v>0.49976396789619382</v>
      </c>
      <c r="R317" s="1">
        <v>0.28215465952657204</v>
      </c>
    </row>
    <row r="318" spans="1:18" x14ac:dyDescent="0.35">
      <c r="A318" t="s">
        <v>320</v>
      </c>
      <c r="B318" s="2">
        <f t="shared" si="33"/>
        <v>45508</v>
      </c>
      <c r="C318" s="3">
        <f t="shared" si="39"/>
        <v>-45508</v>
      </c>
      <c r="D318">
        <f t="shared" si="34"/>
        <v>618</v>
      </c>
      <c r="E318">
        <f t="shared" si="35"/>
        <v>20</v>
      </c>
      <c r="F318">
        <f t="shared" si="36"/>
        <v>2</v>
      </c>
      <c r="G318">
        <f t="shared" si="40"/>
        <v>2</v>
      </c>
      <c r="H318">
        <f t="shared" si="37"/>
        <v>2</v>
      </c>
      <c r="I318" s="4" t="str">
        <f t="shared" si="38"/>
        <v>222</v>
      </c>
      <c r="Q318" s="1">
        <v>0.65475900042212465</v>
      </c>
      <c r="R318" s="1">
        <v>0.39579137380959428</v>
      </c>
    </row>
    <row r="319" spans="1:18" x14ac:dyDescent="0.35">
      <c r="A319" t="s">
        <v>321</v>
      </c>
      <c r="B319" s="2">
        <f t="shared" si="33"/>
        <v>45539</v>
      </c>
      <c r="C319" s="3">
        <f t="shared" si="39"/>
        <v>-45539</v>
      </c>
      <c r="D319">
        <f t="shared" si="34"/>
        <v>699</v>
      </c>
      <c r="E319">
        <f t="shared" si="35"/>
        <v>23</v>
      </c>
      <c r="F319">
        <f t="shared" si="36"/>
        <v>2</v>
      </c>
      <c r="G319">
        <f t="shared" si="40"/>
        <v>2</v>
      </c>
      <c r="H319">
        <f t="shared" si="37"/>
        <v>2</v>
      </c>
      <c r="I319" s="4" t="str">
        <f t="shared" si="38"/>
        <v>222</v>
      </c>
      <c r="Q319" s="1">
        <v>0.85167949922287089</v>
      </c>
      <c r="R319" s="1">
        <v>0.45165050429706011</v>
      </c>
    </row>
    <row r="320" spans="1:18" x14ac:dyDescent="0.35">
      <c r="A320" t="s">
        <v>322</v>
      </c>
      <c r="B320" s="2">
        <f t="shared" si="33"/>
        <v>45396</v>
      </c>
      <c r="C320" s="3">
        <f t="shared" si="39"/>
        <v>-45396</v>
      </c>
      <c r="D320">
        <f t="shared" si="34"/>
        <v>319</v>
      </c>
      <c r="E320">
        <f t="shared" si="35"/>
        <v>10</v>
      </c>
      <c r="F320">
        <f t="shared" si="36"/>
        <v>1</v>
      </c>
      <c r="G320">
        <f t="shared" si="40"/>
        <v>1</v>
      </c>
      <c r="H320">
        <f t="shared" si="37"/>
        <v>1</v>
      </c>
      <c r="I320" s="4" t="str">
        <f t="shared" si="38"/>
        <v>111</v>
      </c>
      <c r="Q320" s="1">
        <v>0.4089788099883167</v>
      </c>
      <c r="R320" s="1">
        <v>0.19114355263478144</v>
      </c>
    </row>
    <row r="321" spans="1:18" x14ac:dyDescent="0.35">
      <c r="A321" t="s">
        <v>323</v>
      </c>
      <c r="B321" s="2">
        <f t="shared" si="33"/>
        <v>45505</v>
      </c>
      <c r="C321" s="3">
        <f t="shared" si="39"/>
        <v>-45505</v>
      </c>
      <c r="D321">
        <f t="shared" si="34"/>
        <v>610</v>
      </c>
      <c r="E321">
        <f t="shared" si="35"/>
        <v>20</v>
      </c>
      <c r="F321">
        <f t="shared" si="36"/>
        <v>2</v>
      </c>
      <c r="G321">
        <f t="shared" si="40"/>
        <v>2</v>
      </c>
      <c r="H321">
        <f t="shared" si="37"/>
        <v>2</v>
      </c>
      <c r="I321" s="4" t="str">
        <f t="shared" si="38"/>
        <v>222</v>
      </c>
      <c r="Q321" s="1">
        <v>2.9742755438991186E-2</v>
      </c>
      <c r="R321" s="1">
        <v>0.39017574312170944</v>
      </c>
    </row>
    <row r="322" spans="1:18" x14ac:dyDescent="0.35">
      <c r="A322" t="s">
        <v>324</v>
      </c>
      <c r="B322" s="2">
        <f t="shared" si="33"/>
        <v>45636</v>
      </c>
      <c r="C322" s="3">
        <f t="shared" si="39"/>
        <v>-45636</v>
      </c>
      <c r="D322">
        <f t="shared" si="34"/>
        <v>961</v>
      </c>
      <c r="E322">
        <f t="shared" si="35"/>
        <v>32</v>
      </c>
      <c r="F322">
        <f t="shared" si="36"/>
        <v>4</v>
      </c>
      <c r="G322">
        <f t="shared" si="40"/>
        <v>4</v>
      </c>
      <c r="H322">
        <f t="shared" si="37"/>
        <v>4</v>
      </c>
      <c r="I322" s="4" t="str">
        <f t="shared" si="38"/>
        <v>444</v>
      </c>
      <c r="Q322" s="1">
        <v>0.87347284639246348</v>
      </c>
      <c r="R322" s="1">
        <v>0.63060706810568978</v>
      </c>
    </row>
    <row r="323" spans="1:18" x14ac:dyDescent="0.35">
      <c r="A323" t="s">
        <v>325</v>
      </c>
      <c r="B323" s="2">
        <f t="shared" ref="B323:B386" si="41">ROUND(R323*(45838-45292)+45292,0)</f>
        <v>45620</v>
      </c>
      <c r="C323" s="3">
        <f t="shared" si="39"/>
        <v>-45620</v>
      </c>
      <c r="D323">
        <f t="shared" ref="D323:D386" si="42">ROUND((R323)*(1500-40)+40,0)</f>
        <v>918</v>
      </c>
      <c r="E323">
        <f t="shared" ref="E323:E386" si="43">ROUND((R323)*(50-1)+1,0)</f>
        <v>30</v>
      </c>
      <c r="F323">
        <f t="shared" ref="F323:F386" si="44">IF(C323&lt;=$M$4,5,IF(C323&lt;=$M$9,4,IF(C323&lt;=$M$5,3,IF(C323&lt;=$M$6,2,1))))</f>
        <v>4</v>
      </c>
      <c r="G323">
        <f t="shared" si="40"/>
        <v>4</v>
      </c>
      <c r="H323">
        <f t="shared" ref="H323:H386" si="45">IF(D323&lt;=$M$24,1,IF(D323&lt;=$M$25,2,IF(D323&lt;=$M$29,3,IF(D323&lt;=$M$26,4,5))))</f>
        <v>4</v>
      </c>
      <c r="I323" s="4" t="str">
        <f t="shared" ref="I323:I386" si="46">CONCATENATE(F323,G323,H323)</f>
        <v>444</v>
      </c>
      <c r="Q323" s="1">
        <v>0.19360648191297203</v>
      </c>
      <c r="R323" s="1">
        <v>0.6011145685268422</v>
      </c>
    </row>
    <row r="324" spans="1:18" x14ac:dyDescent="0.35">
      <c r="A324" t="s">
        <v>326</v>
      </c>
      <c r="B324" s="2">
        <f t="shared" si="41"/>
        <v>45321</v>
      </c>
      <c r="C324" s="3">
        <f t="shared" ref="C324:C387" si="47">$S$4-B324</f>
        <v>-45321</v>
      </c>
      <c r="D324">
        <f t="shared" si="42"/>
        <v>119</v>
      </c>
      <c r="E324">
        <f t="shared" si="43"/>
        <v>4</v>
      </c>
      <c r="F324">
        <f t="shared" si="44"/>
        <v>1</v>
      </c>
      <c r="G324">
        <f t="shared" ref="G324:G387" si="48">IF(E324&lt;=$M$14,1,IF(E324&lt;=$M$15,2,IF(E324&lt;=$M$19,3,IF(E324&lt;=$M$16,4,5))))</f>
        <v>1</v>
      </c>
      <c r="H324">
        <f t="shared" si="45"/>
        <v>1</v>
      </c>
      <c r="I324" s="4" t="str">
        <f t="shared" si="46"/>
        <v>111</v>
      </c>
      <c r="Q324" s="1">
        <v>0.36060647855300276</v>
      </c>
      <c r="R324" s="1">
        <v>5.3942798268770131E-2</v>
      </c>
    </row>
    <row r="325" spans="1:18" x14ac:dyDescent="0.35">
      <c r="A325" t="s">
        <v>327</v>
      </c>
      <c r="B325" s="2">
        <f t="shared" si="41"/>
        <v>45302</v>
      </c>
      <c r="C325" s="3">
        <f t="shared" si="47"/>
        <v>-45302</v>
      </c>
      <c r="D325">
        <f t="shared" si="42"/>
        <v>67</v>
      </c>
      <c r="E325">
        <f t="shared" si="43"/>
        <v>2</v>
      </c>
      <c r="F325">
        <f t="shared" si="44"/>
        <v>1</v>
      </c>
      <c r="G325">
        <f t="shared" si="48"/>
        <v>1</v>
      </c>
      <c r="H325">
        <f t="shared" si="45"/>
        <v>1</v>
      </c>
      <c r="I325" s="4" t="str">
        <f t="shared" si="46"/>
        <v>111</v>
      </c>
      <c r="Q325" s="1">
        <v>0.64637709002481936</v>
      </c>
      <c r="R325" s="1">
        <v>1.8508497801326906E-2</v>
      </c>
    </row>
    <row r="326" spans="1:18" x14ac:dyDescent="0.35">
      <c r="A326" t="s">
        <v>328</v>
      </c>
      <c r="B326" s="2">
        <f t="shared" si="41"/>
        <v>45341</v>
      </c>
      <c r="C326" s="3">
        <f t="shared" si="47"/>
        <v>-45341</v>
      </c>
      <c r="D326">
        <f t="shared" si="42"/>
        <v>172</v>
      </c>
      <c r="E326">
        <f t="shared" si="43"/>
        <v>5</v>
      </c>
      <c r="F326">
        <f t="shared" si="44"/>
        <v>1</v>
      </c>
      <c r="G326">
        <f t="shared" si="48"/>
        <v>1</v>
      </c>
      <c r="H326">
        <f t="shared" si="45"/>
        <v>1</v>
      </c>
      <c r="I326" s="4" t="str">
        <f t="shared" si="46"/>
        <v>111</v>
      </c>
      <c r="Q326" s="1">
        <v>0.43535174903038243</v>
      </c>
      <c r="R326" s="1">
        <v>9.0614588929323836E-2</v>
      </c>
    </row>
    <row r="327" spans="1:18" x14ac:dyDescent="0.35">
      <c r="A327" t="s">
        <v>329</v>
      </c>
      <c r="B327" s="2">
        <f t="shared" si="41"/>
        <v>45423</v>
      </c>
      <c r="C327" s="3">
        <f t="shared" si="47"/>
        <v>-45423</v>
      </c>
      <c r="D327">
        <f t="shared" si="42"/>
        <v>391</v>
      </c>
      <c r="E327">
        <f t="shared" si="43"/>
        <v>13</v>
      </c>
      <c r="F327">
        <f t="shared" si="44"/>
        <v>2</v>
      </c>
      <c r="G327">
        <f t="shared" si="48"/>
        <v>2</v>
      </c>
      <c r="H327">
        <f t="shared" si="45"/>
        <v>2</v>
      </c>
      <c r="I327" s="4" t="str">
        <f t="shared" si="46"/>
        <v>222</v>
      </c>
      <c r="Q327" s="1">
        <v>4.4759520051841806E-2</v>
      </c>
      <c r="R327" s="1">
        <v>0.240173990437348</v>
      </c>
    </row>
    <row r="328" spans="1:18" x14ac:dyDescent="0.35">
      <c r="A328" t="s">
        <v>330</v>
      </c>
      <c r="B328" s="2">
        <f t="shared" si="41"/>
        <v>45540</v>
      </c>
      <c r="C328" s="3">
        <f t="shared" si="47"/>
        <v>-45540</v>
      </c>
      <c r="D328">
        <f t="shared" si="42"/>
        <v>704</v>
      </c>
      <c r="E328">
        <f t="shared" si="43"/>
        <v>23</v>
      </c>
      <c r="F328">
        <f t="shared" si="44"/>
        <v>2</v>
      </c>
      <c r="G328">
        <f t="shared" si="48"/>
        <v>2</v>
      </c>
      <c r="H328">
        <f t="shared" si="45"/>
        <v>2</v>
      </c>
      <c r="I328" s="4" t="str">
        <f t="shared" si="46"/>
        <v>222</v>
      </c>
      <c r="Q328" s="1">
        <v>0.77810526906827748</v>
      </c>
      <c r="R328" s="1">
        <v>0.45470292991346994</v>
      </c>
    </row>
    <row r="329" spans="1:18" x14ac:dyDescent="0.35">
      <c r="A329" t="s">
        <v>331</v>
      </c>
      <c r="B329" s="2">
        <f t="shared" si="41"/>
        <v>45521</v>
      </c>
      <c r="C329" s="3">
        <f t="shared" si="47"/>
        <v>-45521</v>
      </c>
      <c r="D329">
        <f t="shared" si="42"/>
        <v>652</v>
      </c>
      <c r="E329">
        <f t="shared" si="43"/>
        <v>22</v>
      </c>
      <c r="F329">
        <f t="shared" si="44"/>
        <v>2</v>
      </c>
      <c r="G329">
        <f t="shared" si="48"/>
        <v>2</v>
      </c>
      <c r="H329">
        <f t="shared" si="45"/>
        <v>2</v>
      </c>
      <c r="I329" s="4" t="str">
        <f t="shared" si="46"/>
        <v>222</v>
      </c>
      <c r="Q329" s="1">
        <v>0.12559848237031712</v>
      </c>
      <c r="R329" s="1">
        <v>0.41905519880748199</v>
      </c>
    </row>
    <row r="330" spans="1:18" x14ac:dyDescent="0.35">
      <c r="A330" t="s">
        <v>332</v>
      </c>
      <c r="B330" s="2">
        <f t="shared" si="41"/>
        <v>45348</v>
      </c>
      <c r="C330" s="3">
        <f t="shared" si="47"/>
        <v>-45348</v>
      </c>
      <c r="D330">
        <f t="shared" si="42"/>
        <v>190</v>
      </c>
      <c r="E330">
        <f t="shared" si="43"/>
        <v>6</v>
      </c>
      <c r="F330">
        <f t="shared" si="44"/>
        <v>1</v>
      </c>
      <c r="G330">
        <f t="shared" si="48"/>
        <v>1</v>
      </c>
      <c r="H330">
        <f t="shared" si="45"/>
        <v>1</v>
      </c>
      <c r="I330" s="4" t="str">
        <f t="shared" si="46"/>
        <v>111</v>
      </c>
      <c r="Q330" s="1">
        <v>0.76953995738426473</v>
      </c>
      <c r="R330" s="1">
        <v>0.10285676657879272</v>
      </c>
    </row>
    <row r="331" spans="1:18" x14ac:dyDescent="0.35">
      <c r="A331" t="s">
        <v>333</v>
      </c>
      <c r="B331" s="2">
        <f t="shared" si="41"/>
        <v>45704</v>
      </c>
      <c r="C331" s="3">
        <f t="shared" si="47"/>
        <v>-45704</v>
      </c>
      <c r="D331">
        <f t="shared" si="42"/>
        <v>1142</v>
      </c>
      <c r="E331">
        <f t="shared" si="43"/>
        <v>38</v>
      </c>
      <c r="F331">
        <f t="shared" si="44"/>
        <v>4</v>
      </c>
      <c r="G331">
        <f t="shared" si="48"/>
        <v>4</v>
      </c>
      <c r="H331">
        <f t="shared" si="45"/>
        <v>4</v>
      </c>
      <c r="I331" s="4" t="str">
        <f t="shared" si="46"/>
        <v>444</v>
      </c>
      <c r="Q331" s="1">
        <v>0.37237858153460512</v>
      </c>
      <c r="R331" s="1">
        <v>0.75455859529762259</v>
      </c>
    </row>
    <row r="332" spans="1:18" x14ac:dyDescent="0.35">
      <c r="A332" t="s">
        <v>334</v>
      </c>
      <c r="B332" s="2">
        <f t="shared" si="41"/>
        <v>45668</v>
      </c>
      <c r="C332" s="3">
        <f t="shared" si="47"/>
        <v>-45668</v>
      </c>
      <c r="D332">
        <f t="shared" si="42"/>
        <v>1045</v>
      </c>
      <c r="E332">
        <f t="shared" si="43"/>
        <v>35</v>
      </c>
      <c r="F332">
        <f t="shared" si="44"/>
        <v>4</v>
      </c>
      <c r="G332">
        <f t="shared" si="48"/>
        <v>4</v>
      </c>
      <c r="H332">
        <f t="shared" si="45"/>
        <v>4</v>
      </c>
      <c r="I332" s="4" t="str">
        <f t="shared" si="46"/>
        <v>444</v>
      </c>
      <c r="Q332" s="1">
        <v>0.59092380382515852</v>
      </c>
      <c r="R332" s="1">
        <v>0.68848691109108406</v>
      </c>
    </row>
    <row r="333" spans="1:18" x14ac:dyDescent="0.35">
      <c r="A333" t="s">
        <v>335</v>
      </c>
      <c r="B333" s="2">
        <f t="shared" si="41"/>
        <v>45311</v>
      </c>
      <c r="C333" s="3">
        <f t="shared" si="47"/>
        <v>-45311</v>
      </c>
      <c r="D333">
        <f t="shared" si="42"/>
        <v>90</v>
      </c>
      <c r="E333">
        <f t="shared" si="43"/>
        <v>3</v>
      </c>
      <c r="F333">
        <f t="shared" si="44"/>
        <v>1</v>
      </c>
      <c r="G333">
        <f t="shared" si="48"/>
        <v>1</v>
      </c>
      <c r="H333">
        <f t="shared" si="45"/>
        <v>1</v>
      </c>
      <c r="I333" s="4" t="str">
        <f t="shared" si="46"/>
        <v>111</v>
      </c>
      <c r="Q333" s="1">
        <v>0.58453249225394877</v>
      </c>
      <c r="R333" s="1">
        <v>3.4495462312993053E-2</v>
      </c>
    </row>
    <row r="334" spans="1:18" x14ac:dyDescent="0.35">
      <c r="A334" t="s">
        <v>336</v>
      </c>
      <c r="B334" s="2">
        <f t="shared" si="41"/>
        <v>45766</v>
      </c>
      <c r="C334" s="3">
        <f t="shared" si="47"/>
        <v>-45766</v>
      </c>
      <c r="D334">
        <f t="shared" si="42"/>
        <v>1308</v>
      </c>
      <c r="E334">
        <f t="shared" si="43"/>
        <v>44</v>
      </c>
      <c r="F334">
        <f t="shared" si="44"/>
        <v>5</v>
      </c>
      <c r="G334">
        <f t="shared" si="48"/>
        <v>5</v>
      </c>
      <c r="H334">
        <f t="shared" si="45"/>
        <v>5</v>
      </c>
      <c r="I334" s="4" t="str">
        <f t="shared" si="46"/>
        <v>555</v>
      </c>
      <c r="Q334" s="1">
        <v>0.1164645026905774</v>
      </c>
      <c r="R334" s="1">
        <v>0.86825816750349449</v>
      </c>
    </row>
    <row r="335" spans="1:18" x14ac:dyDescent="0.35">
      <c r="A335" t="s">
        <v>337</v>
      </c>
      <c r="B335" s="2">
        <f t="shared" si="41"/>
        <v>45759</v>
      </c>
      <c r="C335" s="3">
        <f t="shared" si="47"/>
        <v>-45759</v>
      </c>
      <c r="D335">
        <f t="shared" si="42"/>
        <v>1290</v>
      </c>
      <c r="E335">
        <f t="shared" si="43"/>
        <v>43</v>
      </c>
      <c r="F335">
        <f t="shared" si="44"/>
        <v>5</v>
      </c>
      <c r="G335">
        <f t="shared" si="48"/>
        <v>5</v>
      </c>
      <c r="H335">
        <f t="shared" si="45"/>
        <v>5</v>
      </c>
      <c r="I335" s="4" t="str">
        <f t="shared" si="46"/>
        <v>555</v>
      </c>
      <c r="Q335" s="1">
        <v>0.99634110676702214</v>
      </c>
      <c r="R335" s="1">
        <v>0.85594754075074453</v>
      </c>
    </row>
    <row r="336" spans="1:18" x14ac:dyDescent="0.35">
      <c r="A336" t="s">
        <v>338</v>
      </c>
      <c r="B336" s="2">
        <f t="shared" si="41"/>
        <v>45571</v>
      </c>
      <c r="C336" s="3">
        <f t="shared" si="47"/>
        <v>-45571</v>
      </c>
      <c r="D336">
        <f t="shared" si="42"/>
        <v>787</v>
      </c>
      <c r="E336">
        <f t="shared" si="43"/>
        <v>26</v>
      </c>
      <c r="F336">
        <f t="shared" si="44"/>
        <v>4</v>
      </c>
      <c r="G336">
        <f t="shared" si="48"/>
        <v>4</v>
      </c>
      <c r="H336">
        <f t="shared" si="45"/>
        <v>4</v>
      </c>
      <c r="I336" s="4" t="str">
        <f t="shared" si="46"/>
        <v>444</v>
      </c>
      <c r="Q336" s="1">
        <v>0.20293517689736229</v>
      </c>
      <c r="R336" s="1">
        <v>0.51142819846932996</v>
      </c>
    </row>
    <row r="337" spans="1:18" x14ac:dyDescent="0.35">
      <c r="A337" t="s">
        <v>339</v>
      </c>
      <c r="B337" s="2">
        <f t="shared" si="41"/>
        <v>45799</v>
      </c>
      <c r="C337" s="3">
        <f t="shared" si="47"/>
        <v>-45799</v>
      </c>
      <c r="D337">
        <f t="shared" si="42"/>
        <v>1397</v>
      </c>
      <c r="E337">
        <f t="shared" si="43"/>
        <v>47</v>
      </c>
      <c r="F337">
        <f t="shared" si="44"/>
        <v>5</v>
      </c>
      <c r="G337">
        <f t="shared" si="48"/>
        <v>5</v>
      </c>
      <c r="H337">
        <f t="shared" si="45"/>
        <v>5</v>
      </c>
      <c r="I337" s="4" t="str">
        <f t="shared" si="46"/>
        <v>555</v>
      </c>
      <c r="Q337" s="1">
        <v>1.0712207988372358E-2</v>
      </c>
      <c r="R337" s="1">
        <v>0.92948402551281839</v>
      </c>
    </row>
    <row r="338" spans="1:18" x14ac:dyDescent="0.35">
      <c r="A338" t="s">
        <v>340</v>
      </c>
      <c r="B338" s="2">
        <f t="shared" si="41"/>
        <v>45615</v>
      </c>
      <c r="C338" s="3">
        <f t="shared" si="47"/>
        <v>-45615</v>
      </c>
      <c r="D338">
        <f t="shared" si="42"/>
        <v>905</v>
      </c>
      <c r="E338">
        <f t="shared" si="43"/>
        <v>30</v>
      </c>
      <c r="F338">
        <f t="shared" si="44"/>
        <v>4</v>
      </c>
      <c r="G338">
        <f t="shared" si="48"/>
        <v>4</v>
      </c>
      <c r="H338">
        <f t="shared" si="45"/>
        <v>4</v>
      </c>
      <c r="I338" s="4" t="str">
        <f t="shared" si="46"/>
        <v>444</v>
      </c>
      <c r="Q338" s="1">
        <v>0.28472934476498124</v>
      </c>
      <c r="R338" s="1">
        <v>0.59240152230116894</v>
      </c>
    </row>
    <row r="339" spans="1:18" x14ac:dyDescent="0.35">
      <c r="A339" t="s">
        <v>341</v>
      </c>
      <c r="B339" s="2">
        <f t="shared" si="41"/>
        <v>45561</v>
      </c>
      <c r="C339" s="3">
        <f t="shared" si="47"/>
        <v>-45561</v>
      </c>
      <c r="D339">
        <f t="shared" si="42"/>
        <v>760</v>
      </c>
      <c r="E339">
        <f t="shared" si="43"/>
        <v>25</v>
      </c>
      <c r="F339">
        <f t="shared" si="44"/>
        <v>2</v>
      </c>
      <c r="G339">
        <f t="shared" si="48"/>
        <v>2</v>
      </c>
      <c r="H339">
        <f t="shared" si="45"/>
        <v>2</v>
      </c>
      <c r="I339" s="4" t="str">
        <f t="shared" si="46"/>
        <v>222</v>
      </c>
      <c r="Q339" s="1">
        <v>0.65038141465634491</v>
      </c>
      <c r="R339" s="1">
        <v>0.49281676672550589</v>
      </c>
    </row>
    <row r="340" spans="1:18" x14ac:dyDescent="0.35">
      <c r="A340" t="s">
        <v>342</v>
      </c>
      <c r="B340" s="2">
        <f t="shared" si="41"/>
        <v>45659</v>
      </c>
      <c r="C340" s="3">
        <f t="shared" si="47"/>
        <v>-45659</v>
      </c>
      <c r="D340">
        <f t="shared" si="42"/>
        <v>1022</v>
      </c>
      <c r="E340">
        <f t="shared" si="43"/>
        <v>34</v>
      </c>
      <c r="F340">
        <f t="shared" si="44"/>
        <v>4</v>
      </c>
      <c r="G340">
        <f t="shared" si="48"/>
        <v>4</v>
      </c>
      <c r="H340">
        <f t="shared" si="45"/>
        <v>4</v>
      </c>
      <c r="I340" s="4" t="str">
        <f t="shared" si="46"/>
        <v>444</v>
      </c>
      <c r="Q340" s="1">
        <v>0.20004708679281902</v>
      </c>
      <c r="R340" s="1">
        <v>0.67292602965470361</v>
      </c>
    </row>
    <row r="341" spans="1:18" x14ac:dyDescent="0.35">
      <c r="A341" t="s">
        <v>343</v>
      </c>
      <c r="B341" s="2">
        <f t="shared" si="41"/>
        <v>45722</v>
      </c>
      <c r="C341" s="3">
        <f t="shared" si="47"/>
        <v>-45722</v>
      </c>
      <c r="D341">
        <f t="shared" si="42"/>
        <v>1189</v>
      </c>
      <c r="E341">
        <f t="shared" si="43"/>
        <v>40</v>
      </c>
      <c r="F341">
        <f t="shared" si="44"/>
        <v>5</v>
      </c>
      <c r="G341">
        <f t="shared" si="48"/>
        <v>5</v>
      </c>
      <c r="H341">
        <f t="shared" si="45"/>
        <v>5</v>
      </c>
      <c r="I341" s="4" t="str">
        <f t="shared" si="46"/>
        <v>555</v>
      </c>
      <c r="Q341" s="1">
        <v>0.15245702754961821</v>
      </c>
      <c r="R341" s="1">
        <v>0.78670090388723368</v>
      </c>
    </row>
    <row r="342" spans="1:18" x14ac:dyDescent="0.35">
      <c r="A342" t="s">
        <v>344</v>
      </c>
      <c r="B342" s="2">
        <f t="shared" si="41"/>
        <v>45711</v>
      </c>
      <c r="C342" s="3">
        <f t="shared" si="47"/>
        <v>-45711</v>
      </c>
      <c r="D342">
        <f t="shared" si="42"/>
        <v>1160</v>
      </c>
      <c r="E342">
        <f t="shared" si="43"/>
        <v>39</v>
      </c>
      <c r="F342">
        <f t="shared" si="44"/>
        <v>5</v>
      </c>
      <c r="G342">
        <f t="shared" si="48"/>
        <v>4</v>
      </c>
      <c r="H342">
        <f t="shared" si="45"/>
        <v>4</v>
      </c>
      <c r="I342" s="4" t="str">
        <f t="shared" si="46"/>
        <v>544</v>
      </c>
      <c r="Q342" s="1">
        <v>0.30333179250453235</v>
      </c>
      <c r="R342" s="1">
        <v>0.76721897341897294</v>
      </c>
    </row>
    <row r="343" spans="1:18" x14ac:dyDescent="0.35">
      <c r="A343" t="s">
        <v>345</v>
      </c>
      <c r="B343" s="2">
        <f t="shared" si="41"/>
        <v>45586</v>
      </c>
      <c r="C343" s="3">
        <f t="shared" si="47"/>
        <v>-45586</v>
      </c>
      <c r="D343">
        <f t="shared" si="42"/>
        <v>826</v>
      </c>
      <c r="E343">
        <f t="shared" si="43"/>
        <v>27</v>
      </c>
      <c r="F343">
        <f t="shared" si="44"/>
        <v>4</v>
      </c>
      <c r="G343">
        <f t="shared" si="48"/>
        <v>4</v>
      </c>
      <c r="H343">
        <f t="shared" si="45"/>
        <v>4</v>
      </c>
      <c r="I343" s="4" t="str">
        <f t="shared" si="46"/>
        <v>444</v>
      </c>
      <c r="Q343" s="1">
        <v>0.29859577561818851</v>
      </c>
      <c r="R343" s="1">
        <v>0.53863207724010953</v>
      </c>
    </row>
    <row r="344" spans="1:18" x14ac:dyDescent="0.35">
      <c r="A344" t="s">
        <v>346</v>
      </c>
      <c r="B344" s="2">
        <f t="shared" si="41"/>
        <v>45595</v>
      </c>
      <c r="C344" s="3">
        <f t="shared" si="47"/>
        <v>-45595</v>
      </c>
      <c r="D344">
        <f t="shared" si="42"/>
        <v>850</v>
      </c>
      <c r="E344">
        <f t="shared" si="43"/>
        <v>28</v>
      </c>
      <c r="F344">
        <f t="shared" si="44"/>
        <v>4</v>
      </c>
      <c r="G344">
        <f t="shared" si="48"/>
        <v>4</v>
      </c>
      <c r="H344">
        <f t="shared" si="45"/>
        <v>4</v>
      </c>
      <c r="I344" s="4" t="str">
        <f t="shared" si="46"/>
        <v>444</v>
      </c>
      <c r="Q344" s="1">
        <v>0.75725401299886685</v>
      </c>
      <c r="R344" s="1">
        <v>0.55480555364501716</v>
      </c>
    </row>
    <row r="345" spans="1:18" x14ac:dyDescent="0.35">
      <c r="A345" t="s">
        <v>347</v>
      </c>
      <c r="B345" s="2">
        <f t="shared" si="41"/>
        <v>45574</v>
      </c>
      <c r="C345" s="3">
        <f t="shared" si="47"/>
        <v>-45574</v>
      </c>
      <c r="D345">
        <f t="shared" si="42"/>
        <v>794</v>
      </c>
      <c r="E345">
        <f t="shared" si="43"/>
        <v>26</v>
      </c>
      <c r="F345">
        <f t="shared" si="44"/>
        <v>4</v>
      </c>
      <c r="G345">
        <f t="shared" si="48"/>
        <v>4</v>
      </c>
      <c r="H345">
        <f t="shared" si="45"/>
        <v>4</v>
      </c>
      <c r="I345" s="4" t="str">
        <f t="shared" si="46"/>
        <v>444</v>
      </c>
      <c r="Q345" s="1">
        <v>0.56536802649739015</v>
      </c>
      <c r="R345" s="1">
        <v>0.5164832385101733</v>
      </c>
    </row>
    <row r="346" spans="1:18" x14ac:dyDescent="0.35">
      <c r="A346" t="s">
        <v>348</v>
      </c>
      <c r="B346" s="2">
        <f t="shared" si="41"/>
        <v>45297</v>
      </c>
      <c r="C346" s="3">
        <f t="shared" si="47"/>
        <v>-45297</v>
      </c>
      <c r="D346">
        <f t="shared" si="42"/>
        <v>54</v>
      </c>
      <c r="E346">
        <f t="shared" si="43"/>
        <v>1</v>
      </c>
      <c r="F346">
        <f t="shared" si="44"/>
        <v>1</v>
      </c>
      <c r="G346">
        <f t="shared" si="48"/>
        <v>1</v>
      </c>
      <c r="H346">
        <f t="shared" si="45"/>
        <v>1</v>
      </c>
      <c r="I346" s="4" t="str">
        <f t="shared" si="46"/>
        <v>111</v>
      </c>
      <c r="Q346" s="1">
        <v>0.31472314708440652</v>
      </c>
      <c r="R346" s="1">
        <v>9.6538951432898479E-3</v>
      </c>
    </row>
    <row r="347" spans="1:18" x14ac:dyDescent="0.35">
      <c r="A347" t="s">
        <v>349</v>
      </c>
      <c r="B347" s="2">
        <f t="shared" si="41"/>
        <v>45294</v>
      </c>
      <c r="C347" s="3">
        <f t="shared" si="47"/>
        <v>-45294</v>
      </c>
      <c r="D347">
        <f t="shared" si="42"/>
        <v>46</v>
      </c>
      <c r="E347">
        <f t="shared" si="43"/>
        <v>1</v>
      </c>
      <c r="F347">
        <f t="shared" si="44"/>
        <v>1</v>
      </c>
      <c r="G347">
        <f t="shared" si="48"/>
        <v>1</v>
      </c>
      <c r="H347">
        <f t="shared" si="45"/>
        <v>1</v>
      </c>
      <c r="I347" s="4" t="str">
        <f t="shared" si="46"/>
        <v>111</v>
      </c>
      <c r="Q347" s="1">
        <v>0.87955902893926186</v>
      </c>
      <c r="R347" s="1">
        <v>3.9798985053349778E-3</v>
      </c>
    </row>
    <row r="348" spans="1:18" x14ac:dyDescent="0.35">
      <c r="A348" t="s">
        <v>350</v>
      </c>
      <c r="B348" s="2">
        <f t="shared" si="41"/>
        <v>45733</v>
      </c>
      <c r="C348" s="3">
        <f t="shared" si="47"/>
        <v>-45733</v>
      </c>
      <c r="D348">
        <f t="shared" si="42"/>
        <v>1219</v>
      </c>
      <c r="E348">
        <f t="shared" si="43"/>
        <v>41</v>
      </c>
      <c r="F348">
        <f t="shared" si="44"/>
        <v>5</v>
      </c>
      <c r="G348">
        <f t="shared" si="48"/>
        <v>5</v>
      </c>
      <c r="H348">
        <f t="shared" si="45"/>
        <v>5</v>
      </c>
      <c r="I348" s="4" t="str">
        <f t="shared" si="46"/>
        <v>555</v>
      </c>
      <c r="Q348" s="1">
        <v>0.75895031176045669</v>
      </c>
      <c r="R348" s="1">
        <v>0.80738568095306396</v>
      </c>
    </row>
    <row r="349" spans="1:18" x14ac:dyDescent="0.35">
      <c r="A349" t="s">
        <v>351</v>
      </c>
      <c r="B349" s="2">
        <f t="shared" si="41"/>
        <v>45780</v>
      </c>
      <c r="C349" s="3">
        <f t="shared" si="47"/>
        <v>-45780</v>
      </c>
      <c r="D349">
        <f t="shared" si="42"/>
        <v>1345</v>
      </c>
      <c r="E349">
        <f t="shared" si="43"/>
        <v>45</v>
      </c>
      <c r="F349">
        <f t="shared" si="44"/>
        <v>5</v>
      </c>
      <c r="G349">
        <f t="shared" si="48"/>
        <v>5</v>
      </c>
      <c r="H349">
        <f t="shared" si="45"/>
        <v>5</v>
      </c>
      <c r="I349" s="4" t="str">
        <f t="shared" si="46"/>
        <v>555</v>
      </c>
      <c r="Q349" s="1">
        <v>0.26661651479748849</v>
      </c>
      <c r="R349" s="1">
        <v>0.89351028689998102</v>
      </c>
    </row>
    <row r="350" spans="1:18" x14ac:dyDescent="0.35">
      <c r="A350" t="s">
        <v>352</v>
      </c>
      <c r="B350" s="2">
        <f t="shared" si="41"/>
        <v>45531</v>
      </c>
      <c r="C350" s="3">
        <f t="shared" si="47"/>
        <v>-45531</v>
      </c>
      <c r="D350">
        <f t="shared" si="42"/>
        <v>678</v>
      </c>
      <c r="E350">
        <f t="shared" si="43"/>
        <v>22</v>
      </c>
      <c r="F350">
        <f t="shared" si="44"/>
        <v>2</v>
      </c>
      <c r="G350">
        <f t="shared" si="48"/>
        <v>2</v>
      </c>
      <c r="H350">
        <f t="shared" si="45"/>
        <v>2</v>
      </c>
      <c r="I350" s="4" t="str">
        <f t="shared" si="46"/>
        <v>222</v>
      </c>
      <c r="Q350" s="1">
        <v>0.96965591109232219</v>
      </c>
      <c r="R350" s="1">
        <v>0.43705270680549302</v>
      </c>
    </row>
    <row r="351" spans="1:18" x14ac:dyDescent="0.35">
      <c r="A351" t="s">
        <v>353</v>
      </c>
      <c r="B351" s="2">
        <f t="shared" si="41"/>
        <v>45828</v>
      </c>
      <c r="C351" s="3">
        <f t="shared" si="47"/>
        <v>-45828</v>
      </c>
      <c r="D351">
        <f t="shared" si="42"/>
        <v>1474</v>
      </c>
      <c r="E351">
        <f t="shared" si="43"/>
        <v>49</v>
      </c>
      <c r="F351">
        <f t="shared" si="44"/>
        <v>5</v>
      </c>
      <c r="G351">
        <f t="shared" si="48"/>
        <v>5</v>
      </c>
      <c r="H351">
        <f t="shared" si="45"/>
        <v>5</v>
      </c>
      <c r="I351" s="4" t="str">
        <f t="shared" si="46"/>
        <v>555</v>
      </c>
      <c r="Q351" s="1">
        <v>0.47838441882591443</v>
      </c>
      <c r="R351" s="1">
        <v>0.9824689435004077</v>
      </c>
    </row>
    <row r="352" spans="1:18" x14ac:dyDescent="0.35">
      <c r="A352" t="s">
        <v>354</v>
      </c>
      <c r="B352" s="2">
        <f t="shared" si="41"/>
        <v>45385</v>
      </c>
      <c r="C352" s="3">
        <f t="shared" si="47"/>
        <v>-45385</v>
      </c>
      <c r="D352">
        <f t="shared" si="42"/>
        <v>287</v>
      </c>
      <c r="E352">
        <f t="shared" si="43"/>
        <v>9</v>
      </c>
      <c r="F352">
        <f t="shared" si="44"/>
        <v>1</v>
      </c>
      <c r="G352">
        <f t="shared" si="48"/>
        <v>1</v>
      </c>
      <c r="H352">
        <f t="shared" si="45"/>
        <v>1</v>
      </c>
      <c r="I352" s="4" t="str">
        <f t="shared" si="46"/>
        <v>111</v>
      </c>
      <c r="Q352" s="1">
        <v>0.24217619982728344</v>
      </c>
      <c r="R352" s="1">
        <v>0.1694200938312681</v>
      </c>
    </row>
    <row r="353" spans="1:18" x14ac:dyDescent="0.35">
      <c r="A353" t="s">
        <v>355</v>
      </c>
      <c r="B353" s="2">
        <f t="shared" si="41"/>
        <v>45299</v>
      </c>
      <c r="C353" s="3">
        <f t="shared" si="47"/>
        <v>-45299</v>
      </c>
      <c r="D353">
        <f t="shared" si="42"/>
        <v>59</v>
      </c>
      <c r="E353">
        <f t="shared" si="43"/>
        <v>2</v>
      </c>
      <c r="F353">
        <f t="shared" si="44"/>
        <v>1</v>
      </c>
      <c r="G353">
        <f t="shared" si="48"/>
        <v>1</v>
      </c>
      <c r="H353">
        <f t="shared" si="45"/>
        <v>1</v>
      </c>
      <c r="I353" s="4" t="str">
        <f t="shared" si="46"/>
        <v>111</v>
      </c>
      <c r="Q353" s="1">
        <v>0.40864936424426734</v>
      </c>
      <c r="R353" s="1">
        <v>1.2827751515906205E-2</v>
      </c>
    </row>
    <row r="354" spans="1:18" x14ac:dyDescent="0.35">
      <c r="A354" t="s">
        <v>356</v>
      </c>
      <c r="B354" s="2">
        <f t="shared" si="41"/>
        <v>45295</v>
      </c>
      <c r="C354" s="3">
        <f t="shared" si="47"/>
        <v>-45295</v>
      </c>
      <c r="D354">
        <f t="shared" si="42"/>
        <v>47</v>
      </c>
      <c r="E354">
        <f t="shared" si="43"/>
        <v>1</v>
      </c>
      <c r="F354">
        <f t="shared" si="44"/>
        <v>1</v>
      </c>
      <c r="G354">
        <f t="shared" si="48"/>
        <v>1</v>
      </c>
      <c r="H354">
        <f t="shared" si="45"/>
        <v>1</v>
      </c>
      <c r="I354" s="4" t="str">
        <f t="shared" si="46"/>
        <v>111</v>
      </c>
      <c r="Q354" s="1">
        <v>0.56012099912587887</v>
      </c>
      <c r="R354" s="1">
        <v>4.7530381563448687E-3</v>
      </c>
    </row>
    <row r="355" spans="1:18" x14ac:dyDescent="0.35">
      <c r="A355" t="s">
        <v>357</v>
      </c>
      <c r="B355" s="2">
        <f t="shared" si="41"/>
        <v>45467</v>
      </c>
      <c r="C355" s="3">
        <f t="shared" si="47"/>
        <v>-45467</v>
      </c>
      <c r="D355">
        <f t="shared" si="42"/>
        <v>507</v>
      </c>
      <c r="E355">
        <f t="shared" si="43"/>
        <v>17</v>
      </c>
      <c r="F355">
        <f t="shared" si="44"/>
        <v>2</v>
      </c>
      <c r="G355">
        <f t="shared" si="48"/>
        <v>2</v>
      </c>
      <c r="H355">
        <f t="shared" si="45"/>
        <v>2</v>
      </c>
      <c r="I355" s="4" t="str">
        <f t="shared" si="46"/>
        <v>222</v>
      </c>
      <c r="Q355" s="1">
        <v>0.28600156994422687</v>
      </c>
      <c r="R355" s="1">
        <v>0.31998988837758191</v>
      </c>
    </row>
    <row r="356" spans="1:18" x14ac:dyDescent="0.35">
      <c r="A356" t="s">
        <v>358</v>
      </c>
      <c r="B356" s="2">
        <f t="shared" si="41"/>
        <v>45779</v>
      </c>
      <c r="C356" s="3">
        <f t="shared" si="47"/>
        <v>-45779</v>
      </c>
      <c r="D356">
        <f t="shared" si="42"/>
        <v>1343</v>
      </c>
      <c r="E356">
        <f t="shared" si="43"/>
        <v>45</v>
      </c>
      <c r="F356">
        <f t="shared" si="44"/>
        <v>5</v>
      </c>
      <c r="G356">
        <f t="shared" si="48"/>
        <v>5</v>
      </c>
      <c r="H356">
        <f t="shared" si="45"/>
        <v>5</v>
      </c>
      <c r="I356" s="4" t="str">
        <f t="shared" si="46"/>
        <v>555</v>
      </c>
      <c r="Q356" s="1">
        <v>0.38046088007584067</v>
      </c>
      <c r="R356" s="1">
        <v>0.89258493578878884</v>
      </c>
    </row>
    <row r="357" spans="1:18" x14ac:dyDescent="0.35">
      <c r="A357" t="s">
        <v>359</v>
      </c>
      <c r="B357" s="2">
        <f t="shared" si="41"/>
        <v>45629</v>
      </c>
      <c r="C357" s="3">
        <f t="shared" si="47"/>
        <v>-45629</v>
      </c>
      <c r="D357">
        <f t="shared" si="42"/>
        <v>942</v>
      </c>
      <c r="E357">
        <f t="shared" si="43"/>
        <v>31</v>
      </c>
      <c r="F357">
        <f t="shared" si="44"/>
        <v>4</v>
      </c>
      <c r="G357">
        <f t="shared" si="48"/>
        <v>4</v>
      </c>
      <c r="H357">
        <f t="shared" si="45"/>
        <v>4</v>
      </c>
      <c r="I357" s="4" t="str">
        <f t="shared" si="46"/>
        <v>444</v>
      </c>
      <c r="Q357" s="1">
        <v>0.46337853132464912</v>
      </c>
      <c r="R357" s="1">
        <v>0.61751830533449314</v>
      </c>
    </row>
    <row r="358" spans="1:18" x14ac:dyDescent="0.35">
      <c r="A358" t="s">
        <v>360</v>
      </c>
      <c r="B358" s="2">
        <f t="shared" si="41"/>
        <v>45371</v>
      </c>
      <c r="C358" s="3">
        <f t="shared" si="47"/>
        <v>-45371</v>
      </c>
      <c r="D358">
        <f t="shared" si="42"/>
        <v>251</v>
      </c>
      <c r="E358">
        <f t="shared" si="43"/>
        <v>8</v>
      </c>
      <c r="F358">
        <f t="shared" si="44"/>
        <v>1</v>
      </c>
      <c r="G358">
        <f t="shared" si="48"/>
        <v>1</v>
      </c>
      <c r="H358">
        <f t="shared" si="45"/>
        <v>1</v>
      </c>
      <c r="I358" s="4" t="str">
        <f t="shared" si="46"/>
        <v>111</v>
      </c>
      <c r="Q358" s="1">
        <v>0.90863359241612485</v>
      </c>
      <c r="R358" s="1">
        <v>0.14419371950880211</v>
      </c>
    </row>
    <row r="359" spans="1:18" x14ac:dyDescent="0.35">
      <c r="A359" t="s">
        <v>361</v>
      </c>
      <c r="B359" s="2">
        <f t="shared" si="41"/>
        <v>45663</v>
      </c>
      <c r="C359" s="3">
        <f t="shared" si="47"/>
        <v>-45663</v>
      </c>
      <c r="D359">
        <f t="shared" si="42"/>
        <v>1032</v>
      </c>
      <c r="E359">
        <f t="shared" si="43"/>
        <v>34</v>
      </c>
      <c r="F359">
        <f t="shared" si="44"/>
        <v>4</v>
      </c>
      <c r="G359">
        <f t="shared" si="48"/>
        <v>4</v>
      </c>
      <c r="H359">
        <f t="shared" si="45"/>
        <v>4</v>
      </c>
      <c r="I359" s="4" t="str">
        <f t="shared" si="46"/>
        <v>444</v>
      </c>
      <c r="Q359" s="1">
        <v>0.62460235386838348</v>
      </c>
      <c r="R359" s="1">
        <v>0.67952991945677266</v>
      </c>
    </row>
    <row r="360" spans="1:18" x14ac:dyDescent="0.35">
      <c r="A360" t="s">
        <v>362</v>
      </c>
      <c r="B360" s="2">
        <f t="shared" si="41"/>
        <v>45411</v>
      </c>
      <c r="C360" s="3">
        <f t="shared" si="47"/>
        <v>-45411</v>
      </c>
      <c r="D360">
        <f t="shared" si="42"/>
        <v>359</v>
      </c>
      <c r="E360">
        <f t="shared" si="43"/>
        <v>12</v>
      </c>
      <c r="F360">
        <f t="shared" si="44"/>
        <v>1</v>
      </c>
      <c r="G360">
        <f t="shared" si="48"/>
        <v>1</v>
      </c>
      <c r="H360">
        <f t="shared" si="45"/>
        <v>1</v>
      </c>
      <c r="I360" s="4" t="str">
        <f t="shared" si="46"/>
        <v>111</v>
      </c>
      <c r="Q360" s="1">
        <v>0.61754408272301975</v>
      </c>
      <c r="R360" s="1">
        <v>0.21843382026562519</v>
      </c>
    </row>
    <row r="361" spans="1:18" x14ac:dyDescent="0.35">
      <c r="A361" t="s">
        <v>363</v>
      </c>
      <c r="B361" s="2">
        <f t="shared" si="41"/>
        <v>45389</v>
      </c>
      <c r="C361" s="3">
        <f t="shared" si="47"/>
        <v>-45389</v>
      </c>
      <c r="D361">
        <f t="shared" si="42"/>
        <v>298</v>
      </c>
      <c r="E361">
        <f t="shared" si="43"/>
        <v>10</v>
      </c>
      <c r="F361">
        <f t="shared" si="44"/>
        <v>1</v>
      </c>
      <c r="G361">
        <f t="shared" si="48"/>
        <v>1</v>
      </c>
      <c r="H361">
        <f t="shared" si="45"/>
        <v>1</v>
      </c>
      <c r="I361" s="4" t="str">
        <f t="shared" si="46"/>
        <v>111</v>
      </c>
      <c r="Q361" s="1">
        <v>0.1102725235791514</v>
      </c>
      <c r="R361" s="1">
        <v>0.17674802142849433</v>
      </c>
    </row>
    <row r="362" spans="1:18" x14ac:dyDescent="0.35">
      <c r="A362" t="s">
        <v>364</v>
      </c>
      <c r="B362" s="2">
        <f t="shared" si="41"/>
        <v>45486</v>
      </c>
      <c r="C362" s="3">
        <f t="shared" si="47"/>
        <v>-45486</v>
      </c>
      <c r="D362">
        <f t="shared" si="42"/>
        <v>559</v>
      </c>
      <c r="E362">
        <f t="shared" si="43"/>
        <v>18</v>
      </c>
      <c r="F362">
        <f t="shared" si="44"/>
        <v>2</v>
      </c>
      <c r="G362">
        <f t="shared" si="48"/>
        <v>2</v>
      </c>
      <c r="H362">
        <f t="shared" si="45"/>
        <v>2</v>
      </c>
      <c r="I362" s="4" t="str">
        <f t="shared" si="46"/>
        <v>222</v>
      </c>
      <c r="Q362" s="1">
        <v>0.96986160440197733</v>
      </c>
      <c r="R362" s="1">
        <v>0.35571146808565302</v>
      </c>
    </row>
    <row r="363" spans="1:18" x14ac:dyDescent="0.35">
      <c r="A363" t="s">
        <v>365</v>
      </c>
      <c r="B363" s="2">
        <f t="shared" si="41"/>
        <v>45465</v>
      </c>
      <c r="C363" s="3">
        <f t="shared" si="47"/>
        <v>-45465</v>
      </c>
      <c r="D363">
        <f t="shared" si="42"/>
        <v>503</v>
      </c>
      <c r="E363">
        <f t="shared" si="43"/>
        <v>17</v>
      </c>
      <c r="F363">
        <f t="shared" si="44"/>
        <v>2</v>
      </c>
      <c r="G363">
        <f t="shared" si="48"/>
        <v>2</v>
      </c>
      <c r="H363">
        <f t="shared" si="45"/>
        <v>2</v>
      </c>
      <c r="I363" s="4" t="str">
        <f t="shared" si="46"/>
        <v>222</v>
      </c>
      <c r="Q363" s="1">
        <v>2.4162071186167089E-2</v>
      </c>
      <c r="R363" s="1">
        <v>0.3174638701674527</v>
      </c>
    </row>
    <row r="364" spans="1:18" x14ac:dyDescent="0.35">
      <c r="A364" t="s">
        <v>366</v>
      </c>
      <c r="B364" s="2">
        <f t="shared" si="41"/>
        <v>45416</v>
      </c>
      <c r="C364" s="3">
        <f t="shared" si="47"/>
        <v>-45416</v>
      </c>
      <c r="D364">
        <f t="shared" si="42"/>
        <v>371</v>
      </c>
      <c r="E364">
        <f t="shared" si="43"/>
        <v>12</v>
      </c>
      <c r="F364">
        <f t="shared" si="44"/>
        <v>1</v>
      </c>
      <c r="G364">
        <f t="shared" si="48"/>
        <v>1</v>
      </c>
      <c r="H364">
        <f t="shared" si="45"/>
        <v>1</v>
      </c>
      <c r="I364" s="4" t="str">
        <f t="shared" si="46"/>
        <v>111</v>
      </c>
      <c r="Q364" s="1">
        <v>0.18776010038954138</v>
      </c>
      <c r="R364" s="1">
        <v>0.226626188164327</v>
      </c>
    </row>
    <row r="365" spans="1:18" x14ac:dyDescent="0.35">
      <c r="A365" t="s">
        <v>367</v>
      </c>
      <c r="B365" s="2">
        <f t="shared" si="41"/>
        <v>45722</v>
      </c>
      <c r="C365" s="3">
        <f t="shared" si="47"/>
        <v>-45722</v>
      </c>
      <c r="D365">
        <f t="shared" si="42"/>
        <v>1189</v>
      </c>
      <c r="E365">
        <f t="shared" si="43"/>
        <v>40</v>
      </c>
      <c r="F365">
        <f t="shared" si="44"/>
        <v>5</v>
      </c>
      <c r="G365">
        <f t="shared" si="48"/>
        <v>5</v>
      </c>
      <c r="H365">
        <f t="shared" si="45"/>
        <v>5</v>
      </c>
      <c r="I365" s="4" t="str">
        <f t="shared" si="46"/>
        <v>555</v>
      </c>
      <c r="Q365" s="1">
        <v>0.91742113662492231</v>
      </c>
      <c r="R365" s="1">
        <v>0.78721257686019686</v>
      </c>
    </row>
    <row r="366" spans="1:18" x14ac:dyDescent="0.35">
      <c r="A366" t="s">
        <v>368</v>
      </c>
      <c r="B366" s="2">
        <f t="shared" si="41"/>
        <v>45517</v>
      </c>
      <c r="C366" s="3">
        <f t="shared" si="47"/>
        <v>-45517</v>
      </c>
      <c r="D366">
        <f t="shared" si="42"/>
        <v>640</v>
      </c>
      <c r="E366">
        <f t="shared" si="43"/>
        <v>21</v>
      </c>
      <c r="F366">
        <f t="shared" si="44"/>
        <v>2</v>
      </c>
      <c r="G366">
        <f t="shared" si="48"/>
        <v>2</v>
      </c>
      <c r="H366">
        <f t="shared" si="45"/>
        <v>2</v>
      </c>
      <c r="I366" s="4" t="str">
        <f t="shared" si="46"/>
        <v>222</v>
      </c>
      <c r="Q366" s="1">
        <v>7.6115533151090986E-2</v>
      </c>
      <c r="R366" s="1">
        <v>0.41122788675711841</v>
      </c>
    </row>
    <row r="367" spans="1:18" x14ac:dyDescent="0.35">
      <c r="A367" t="s">
        <v>369</v>
      </c>
      <c r="B367" s="2">
        <f t="shared" si="41"/>
        <v>45751</v>
      </c>
      <c r="C367" s="3">
        <f t="shared" si="47"/>
        <v>-45751</v>
      </c>
      <c r="D367">
        <f t="shared" si="42"/>
        <v>1268</v>
      </c>
      <c r="E367">
        <f t="shared" si="43"/>
        <v>42</v>
      </c>
      <c r="F367">
        <f t="shared" si="44"/>
        <v>5</v>
      </c>
      <c r="G367">
        <f t="shared" si="48"/>
        <v>5</v>
      </c>
      <c r="H367">
        <f t="shared" si="45"/>
        <v>5</v>
      </c>
      <c r="I367" s="4" t="str">
        <f t="shared" si="46"/>
        <v>555</v>
      </c>
      <c r="Q367" s="1">
        <v>0.20239580319668093</v>
      </c>
      <c r="R367" s="1">
        <v>0.84099872288563593</v>
      </c>
    </row>
    <row r="368" spans="1:18" x14ac:dyDescent="0.35">
      <c r="A368" t="s">
        <v>370</v>
      </c>
      <c r="B368" s="2">
        <f t="shared" si="41"/>
        <v>45314</v>
      </c>
      <c r="C368" s="3">
        <f t="shared" si="47"/>
        <v>-45314</v>
      </c>
      <c r="D368">
        <f t="shared" si="42"/>
        <v>98</v>
      </c>
      <c r="E368">
        <f t="shared" si="43"/>
        <v>3</v>
      </c>
      <c r="F368">
        <f t="shared" si="44"/>
        <v>1</v>
      </c>
      <c r="G368">
        <f t="shared" si="48"/>
        <v>1</v>
      </c>
      <c r="H368">
        <f t="shared" si="45"/>
        <v>1</v>
      </c>
      <c r="I368" s="4" t="str">
        <f t="shared" si="46"/>
        <v>111</v>
      </c>
      <c r="Q368" s="1">
        <v>0.37272312170272404</v>
      </c>
      <c r="R368" s="1">
        <v>3.967051521230891E-2</v>
      </c>
    </row>
    <row r="369" spans="1:18" x14ac:dyDescent="0.35">
      <c r="A369" t="s">
        <v>371</v>
      </c>
      <c r="B369" s="2">
        <f t="shared" si="41"/>
        <v>45835</v>
      </c>
      <c r="C369" s="3">
        <f t="shared" si="47"/>
        <v>-45835</v>
      </c>
      <c r="D369">
        <f t="shared" si="42"/>
        <v>1492</v>
      </c>
      <c r="E369">
        <f t="shared" si="43"/>
        <v>50</v>
      </c>
      <c r="F369">
        <f t="shared" si="44"/>
        <v>5</v>
      </c>
      <c r="G369">
        <f t="shared" si="48"/>
        <v>5</v>
      </c>
      <c r="H369">
        <f t="shared" si="45"/>
        <v>5</v>
      </c>
      <c r="I369" s="4" t="str">
        <f t="shared" si="46"/>
        <v>555</v>
      </c>
      <c r="Q369" s="1">
        <v>0.21310808710082296</v>
      </c>
      <c r="R369" s="1">
        <v>0.99451137034294423</v>
      </c>
    </row>
    <row r="370" spans="1:18" x14ac:dyDescent="0.35">
      <c r="A370" t="s">
        <v>372</v>
      </c>
      <c r="B370" s="2">
        <f t="shared" si="41"/>
        <v>45332</v>
      </c>
      <c r="C370" s="3">
        <f t="shared" si="47"/>
        <v>-45332</v>
      </c>
      <c r="D370">
        <f t="shared" si="42"/>
        <v>148</v>
      </c>
      <c r="E370">
        <f t="shared" si="43"/>
        <v>5</v>
      </c>
      <c r="F370">
        <f t="shared" si="44"/>
        <v>1</v>
      </c>
      <c r="G370">
        <f t="shared" si="48"/>
        <v>1</v>
      </c>
      <c r="H370">
        <f t="shared" si="45"/>
        <v>1</v>
      </c>
      <c r="I370" s="4" t="str">
        <f t="shared" si="46"/>
        <v>111</v>
      </c>
      <c r="Q370" s="1">
        <v>0.44010601844042019</v>
      </c>
      <c r="R370" s="1">
        <v>7.3794995957009113E-2</v>
      </c>
    </row>
    <row r="371" spans="1:18" x14ac:dyDescent="0.35">
      <c r="A371" t="s">
        <v>373</v>
      </c>
      <c r="B371" s="2">
        <f t="shared" si="41"/>
        <v>45673</v>
      </c>
      <c r="C371" s="3">
        <f t="shared" si="47"/>
        <v>-45673</v>
      </c>
      <c r="D371">
        <f t="shared" si="42"/>
        <v>1058</v>
      </c>
      <c r="E371">
        <f t="shared" si="43"/>
        <v>35</v>
      </c>
      <c r="F371">
        <f t="shared" si="44"/>
        <v>4</v>
      </c>
      <c r="G371">
        <f t="shared" si="48"/>
        <v>4</v>
      </c>
      <c r="H371">
        <f t="shared" si="45"/>
        <v>4</v>
      </c>
      <c r="I371" s="4" t="str">
        <f t="shared" si="46"/>
        <v>444</v>
      </c>
      <c r="Q371" s="1">
        <v>0.79588494176462721</v>
      </c>
      <c r="R371" s="1">
        <v>0.69727458279690102</v>
      </c>
    </row>
    <row r="372" spans="1:18" x14ac:dyDescent="0.35">
      <c r="A372" t="s">
        <v>374</v>
      </c>
      <c r="B372" s="2">
        <f t="shared" si="41"/>
        <v>45413</v>
      </c>
      <c r="C372" s="3">
        <f t="shared" si="47"/>
        <v>-45413</v>
      </c>
      <c r="D372">
        <f t="shared" si="42"/>
        <v>365</v>
      </c>
      <c r="E372">
        <f t="shared" si="43"/>
        <v>12</v>
      </c>
      <c r="F372">
        <f t="shared" si="44"/>
        <v>1</v>
      </c>
      <c r="G372">
        <f t="shared" si="48"/>
        <v>1</v>
      </c>
      <c r="H372">
        <f t="shared" si="45"/>
        <v>1</v>
      </c>
      <c r="I372" s="4" t="str">
        <f t="shared" si="46"/>
        <v>111</v>
      </c>
      <c r="Q372" s="1">
        <v>0.70491272953221318</v>
      </c>
      <c r="R372" s="1">
        <v>0.2225227624576076</v>
      </c>
    </row>
    <row r="373" spans="1:18" x14ac:dyDescent="0.35">
      <c r="A373" t="s">
        <v>375</v>
      </c>
      <c r="B373" s="2">
        <f t="shared" si="41"/>
        <v>45414</v>
      </c>
      <c r="C373" s="3">
        <f t="shared" si="47"/>
        <v>-45414</v>
      </c>
      <c r="D373">
        <f t="shared" si="42"/>
        <v>366</v>
      </c>
      <c r="E373">
        <f t="shared" si="43"/>
        <v>12</v>
      </c>
      <c r="F373">
        <f t="shared" si="44"/>
        <v>1</v>
      </c>
      <c r="G373">
        <f t="shared" si="48"/>
        <v>1</v>
      </c>
      <c r="H373">
        <f t="shared" si="45"/>
        <v>1</v>
      </c>
      <c r="I373" s="4" t="str">
        <f t="shared" si="46"/>
        <v>111</v>
      </c>
      <c r="Q373" s="1">
        <v>0.69294677586340825</v>
      </c>
      <c r="R373" s="1">
        <v>0.22344054010891179</v>
      </c>
    </row>
    <row r="374" spans="1:18" x14ac:dyDescent="0.35">
      <c r="A374" t="s">
        <v>376</v>
      </c>
      <c r="B374" s="2">
        <f t="shared" si="41"/>
        <v>45436</v>
      </c>
      <c r="C374" s="3">
        <f t="shared" si="47"/>
        <v>-45436</v>
      </c>
      <c r="D374">
        <f t="shared" si="42"/>
        <v>424</v>
      </c>
      <c r="E374">
        <f t="shared" si="43"/>
        <v>14</v>
      </c>
      <c r="F374">
        <f t="shared" si="44"/>
        <v>2</v>
      </c>
      <c r="G374">
        <f t="shared" si="48"/>
        <v>2</v>
      </c>
      <c r="H374">
        <f t="shared" si="45"/>
        <v>2</v>
      </c>
      <c r="I374" s="4" t="str">
        <f t="shared" si="46"/>
        <v>222</v>
      </c>
      <c r="Q374" s="1">
        <v>0.73777151519427941</v>
      </c>
      <c r="R374" s="1">
        <v>0.26288459389023766</v>
      </c>
    </row>
    <row r="375" spans="1:18" x14ac:dyDescent="0.35">
      <c r="A375" t="s">
        <v>377</v>
      </c>
      <c r="B375" s="2">
        <f t="shared" si="41"/>
        <v>45425</v>
      </c>
      <c r="C375" s="3">
        <f t="shared" si="47"/>
        <v>-45425</v>
      </c>
      <c r="D375">
        <f t="shared" si="42"/>
        <v>395</v>
      </c>
      <c r="E375">
        <f t="shared" si="43"/>
        <v>13</v>
      </c>
      <c r="F375">
        <f t="shared" si="44"/>
        <v>2</v>
      </c>
      <c r="G375">
        <f t="shared" si="48"/>
        <v>2</v>
      </c>
      <c r="H375">
        <f t="shared" si="45"/>
        <v>2</v>
      </c>
      <c r="I375" s="4" t="str">
        <f t="shared" si="46"/>
        <v>222</v>
      </c>
      <c r="Q375" s="1">
        <v>0.94595327505451055</v>
      </c>
      <c r="R375" s="1">
        <v>0.24322869396717184</v>
      </c>
    </row>
    <row r="376" spans="1:18" x14ac:dyDescent="0.35">
      <c r="A376" t="s">
        <v>378</v>
      </c>
      <c r="B376" s="2">
        <f t="shared" si="41"/>
        <v>45837</v>
      </c>
      <c r="C376" s="3">
        <f t="shared" si="47"/>
        <v>-45837</v>
      </c>
      <c r="D376">
        <f t="shared" si="42"/>
        <v>1497</v>
      </c>
      <c r="E376">
        <f t="shared" si="43"/>
        <v>50</v>
      </c>
      <c r="F376">
        <f t="shared" si="44"/>
        <v>5</v>
      </c>
      <c r="G376">
        <f t="shared" si="48"/>
        <v>5</v>
      </c>
      <c r="H376">
        <f t="shared" si="45"/>
        <v>5</v>
      </c>
      <c r="I376" s="4" t="str">
        <f t="shared" si="46"/>
        <v>555</v>
      </c>
      <c r="Q376" s="1">
        <v>0.46017700198913369</v>
      </c>
      <c r="R376" s="1">
        <v>0.99776842572402646</v>
      </c>
    </row>
    <row r="377" spans="1:18" x14ac:dyDescent="0.35">
      <c r="A377" t="s">
        <v>379</v>
      </c>
      <c r="B377" s="2">
        <f t="shared" si="41"/>
        <v>45663</v>
      </c>
      <c r="C377" s="3">
        <f t="shared" si="47"/>
        <v>-45663</v>
      </c>
      <c r="D377">
        <f t="shared" si="42"/>
        <v>1031</v>
      </c>
      <c r="E377">
        <f t="shared" si="43"/>
        <v>34</v>
      </c>
      <c r="F377">
        <f t="shared" si="44"/>
        <v>4</v>
      </c>
      <c r="G377">
        <f t="shared" si="48"/>
        <v>4</v>
      </c>
      <c r="H377">
        <f t="shared" si="45"/>
        <v>4</v>
      </c>
      <c r="I377" s="4" t="str">
        <f t="shared" si="46"/>
        <v>444</v>
      </c>
      <c r="Q377" s="1">
        <v>0.12794974382954749</v>
      </c>
      <c r="R377" s="1">
        <v>0.67877858902761123</v>
      </c>
    </row>
    <row r="378" spans="1:18" x14ac:dyDescent="0.35">
      <c r="A378" t="s">
        <v>380</v>
      </c>
      <c r="B378" s="2">
        <f t="shared" si="41"/>
        <v>45696</v>
      </c>
      <c r="C378" s="3">
        <f t="shared" si="47"/>
        <v>-45696</v>
      </c>
      <c r="D378">
        <f t="shared" si="42"/>
        <v>1121</v>
      </c>
      <c r="E378">
        <f t="shared" si="43"/>
        <v>37</v>
      </c>
      <c r="F378">
        <f t="shared" si="44"/>
        <v>4</v>
      </c>
      <c r="G378">
        <f t="shared" si="48"/>
        <v>4</v>
      </c>
      <c r="H378">
        <f t="shared" si="45"/>
        <v>4</v>
      </c>
      <c r="I378" s="4" t="str">
        <f t="shared" si="46"/>
        <v>444</v>
      </c>
      <c r="Q378" s="1">
        <v>0.78163242039520098</v>
      </c>
      <c r="R378" s="1">
        <v>0.74028711222851074</v>
      </c>
    </row>
    <row r="379" spans="1:18" x14ac:dyDescent="0.35">
      <c r="A379" t="s">
        <v>381</v>
      </c>
      <c r="B379" s="2">
        <f t="shared" si="41"/>
        <v>45805</v>
      </c>
      <c r="C379" s="3">
        <f t="shared" si="47"/>
        <v>-45805</v>
      </c>
      <c r="D379">
        <f t="shared" si="42"/>
        <v>1411</v>
      </c>
      <c r="E379">
        <f t="shared" si="43"/>
        <v>47</v>
      </c>
      <c r="F379">
        <f t="shared" si="44"/>
        <v>5</v>
      </c>
      <c r="G379">
        <f t="shared" si="48"/>
        <v>5</v>
      </c>
      <c r="H379">
        <f t="shared" si="45"/>
        <v>5</v>
      </c>
      <c r="I379" s="4" t="str">
        <f t="shared" si="46"/>
        <v>555</v>
      </c>
      <c r="Q379" s="1">
        <v>0.95706798249335978</v>
      </c>
      <c r="R379" s="1">
        <v>0.93909776474758333</v>
      </c>
    </row>
    <row r="380" spans="1:18" x14ac:dyDescent="0.35">
      <c r="A380" t="s">
        <v>382</v>
      </c>
      <c r="B380" s="2">
        <f t="shared" si="41"/>
        <v>45367</v>
      </c>
      <c r="C380" s="3">
        <f t="shared" si="47"/>
        <v>-45367</v>
      </c>
      <c r="D380">
        <f t="shared" si="42"/>
        <v>239</v>
      </c>
      <c r="E380">
        <f t="shared" si="43"/>
        <v>8</v>
      </c>
      <c r="F380">
        <f t="shared" si="44"/>
        <v>1</v>
      </c>
      <c r="G380">
        <f t="shared" si="48"/>
        <v>1</v>
      </c>
      <c r="H380">
        <f t="shared" si="45"/>
        <v>1</v>
      </c>
      <c r="I380" s="4" t="str">
        <f t="shared" si="46"/>
        <v>111</v>
      </c>
      <c r="Q380" s="1">
        <v>0.59469044010604344</v>
      </c>
      <c r="R380" s="1">
        <v>0.13658512028384151</v>
      </c>
    </row>
    <row r="381" spans="1:18" x14ac:dyDescent="0.35">
      <c r="A381" t="s">
        <v>383</v>
      </c>
      <c r="B381" s="2">
        <f t="shared" si="41"/>
        <v>45560</v>
      </c>
      <c r="C381" s="3">
        <f t="shared" si="47"/>
        <v>-45560</v>
      </c>
      <c r="D381">
        <f t="shared" si="42"/>
        <v>758</v>
      </c>
      <c r="E381">
        <f t="shared" si="43"/>
        <v>25</v>
      </c>
      <c r="F381">
        <f t="shared" si="44"/>
        <v>2</v>
      </c>
      <c r="G381">
        <f t="shared" si="48"/>
        <v>2</v>
      </c>
      <c r="H381">
        <f t="shared" si="45"/>
        <v>2</v>
      </c>
      <c r="I381" s="4" t="str">
        <f t="shared" si="46"/>
        <v>222</v>
      </c>
      <c r="Q381" s="1">
        <v>0.98127463462645781</v>
      </c>
      <c r="R381" s="1">
        <v>0.49147060343499249</v>
      </c>
    </row>
    <row r="382" spans="1:18" x14ac:dyDescent="0.35">
      <c r="A382" t="s">
        <v>384</v>
      </c>
      <c r="B382" s="2">
        <f t="shared" si="41"/>
        <v>45508</v>
      </c>
      <c r="C382" s="3">
        <f t="shared" si="47"/>
        <v>-45508</v>
      </c>
      <c r="D382">
        <f t="shared" si="42"/>
        <v>617</v>
      </c>
      <c r="E382">
        <f t="shared" si="43"/>
        <v>20</v>
      </c>
      <c r="F382">
        <f t="shared" si="44"/>
        <v>2</v>
      </c>
      <c r="G382">
        <f t="shared" si="48"/>
        <v>2</v>
      </c>
      <c r="H382">
        <f t="shared" si="45"/>
        <v>2</v>
      </c>
      <c r="I382" s="4" t="str">
        <f t="shared" si="46"/>
        <v>222</v>
      </c>
      <c r="Q382" s="1">
        <v>0.74342315113835511</v>
      </c>
      <c r="R382" s="1">
        <v>0.39530385969170456</v>
      </c>
    </row>
    <row r="383" spans="1:18" x14ac:dyDescent="0.35">
      <c r="A383" t="s">
        <v>385</v>
      </c>
      <c r="B383" s="2">
        <f t="shared" si="41"/>
        <v>45329</v>
      </c>
      <c r="C383" s="3">
        <f t="shared" si="47"/>
        <v>-45329</v>
      </c>
      <c r="D383">
        <f t="shared" si="42"/>
        <v>138</v>
      </c>
      <c r="E383">
        <f t="shared" si="43"/>
        <v>4</v>
      </c>
      <c r="F383">
        <f t="shared" si="44"/>
        <v>1</v>
      </c>
      <c r="G383">
        <f t="shared" si="48"/>
        <v>1</v>
      </c>
      <c r="H383">
        <f t="shared" si="45"/>
        <v>1</v>
      </c>
      <c r="I383" s="4" t="str">
        <f t="shared" si="46"/>
        <v>111</v>
      </c>
      <c r="Q383" s="1">
        <v>0.95557775719683957</v>
      </c>
      <c r="R383" s="1">
        <v>6.7200831148552687E-2</v>
      </c>
    </row>
    <row r="384" spans="1:18" x14ac:dyDescent="0.35">
      <c r="A384" t="s">
        <v>386</v>
      </c>
      <c r="B384" s="2">
        <f t="shared" si="41"/>
        <v>45584</v>
      </c>
      <c r="C384" s="3">
        <f t="shared" si="47"/>
        <v>-45584</v>
      </c>
      <c r="D384">
        <f t="shared" si="42"/>
        <v>820</v>
      </c>
      <c r="E384">
        <f t="shared" si="43"/>
        <v>27</v>
      </c>
      <c r="F384">
        <f t="shared" si="44"/>
        <v>4</v>
      </c>
      <c r="G384">
        <f t="shared" si="48"/>
        <v>4</v>
      </c>
      <c r="H384">
        <f t="shared" si="45"/>
        <v>4</v>
      </c>
      <c r="I384" s="4" t="str">
        <f t="shared" si="46"/>
        <v>444</v>
      </c>
      <c r="Q384" s="1">
        <v>0.38768848715049387</v>
      </c>
      <c r="R384" s="1">
        <v>0.53400405017244301</v>
      </c>
    </row>
    <row r="385" spans="1:18" x14ac:dyDescent="0.35">
      <c r="A385" t="s">
        <v>387</v>
      </c>
      <c r="B385" s="2">
        <f t="shared" si="41"/>
        <v>45313</v>
      </c>
      <c r="C385" s="3">
        <f t="shared" si="47"/>
        <v>-45313</v>
      </c>
      <c r="D385">
        <f t="shared" si="42"/>
        <v>97</v>
      </c>
      <c r="E385">
        <f t="shared" si="43"/>
        <v>3</v>
      </c>
      <c r="F385">
        <f t="shared" si="44"/>
        <v>1</v>
      </c>
      <c r="G385">
        <f t="shared" si="48"/>
        <v>1</v>
      </c>
      <c r="H385">
        <f t="shared" si="45"/>
        <v>1</v>
      </c>
      <c r="I385" s="4" t="str">
        <f t="shared" si="46"/>
        <v>111</v>
      </c>
      <c r="Q385" s="1">
        <v>2.6111466513986548E-2</v>
      </c>
      <c r="R385" s="1">
        <v>3.9132389898072106E-2</v>
      </c>
    </row>
    <row r="386" spans="1:18" x14ac:dyDescent="0.35">
      <c r="A386" t="s">
        <v>388</v>
      </c>
      <c r="B386" s="2">
        <f t="shared" si="41"/>
        <v>45552</v>
      </c>
      <c r="C386" s="3">
        <f t="shared" si="47"/>
        <v>-45552</v>
      </c>
      <c r="D386">
        <f t="shared" si="42"/>
        <v>734</v>
      </c>
      <c r="E386">
        <f t="shared" si="43"/>
        <v>24</v>
      </c>
      <c r="F386">
        <f t="shared" si="44"/>
        <v>2</v>
      </c>
      <c r="G386">
        <f t="shared" si="48"/>
        <v>2</v>
      </c>
      <c r="H386">
        <f t="shared" si="45"/>
        <v>2</v>
      </c>
      <c r="I386" s="4" t="str">
        <f t="shared" si="46"/>
        <v>222</v>
      </c>
      <c r="Q386" s="1">
        <v>0.56395958547800085</v>
      </c>
      <c r="R386" s="1">
        <v>0.47559469224059281</v>
      </c>
    </row>
    <row r="387" spans="1:18" x14ac:dyDescent="0.35">
      <c r="A387" t="s">
        <v>389</v>
      </c>
      <c r="B387" s="2">
        <f t="shared" ref="B387:B450" si="49">ROUND(R387*(45838-45292)+45292,0)</f>
        <v>45441</v>
      </c>
      <c r="C387" s="3">
        <f t="shared" si="47"/>
        <v>-45441</v>
      </c>
      <c r="D387">
        <f t="shared" ref="D387:D450" si="50">ROUND((R387)*(1500-40)+40,0)</f>
        <v>438</v>
      </c>
      <c r="E387">
        <f t="shared" ref="E387:E450" si="51">ROUND((R387)*(50-1)+1,0)</f>
        <v>14</v>
      </c>
      <c r="F387">
        <f t="shared" ref="F387:F450" si="52">IF(C387&lt;=$M$4,5,IF(C387&lt;=$M$9,4,IF(C387&lt;=$M$5,3,IF(C387&lt;=$M$6,2,1))))</f>
        <v>2</v>
      </c>
      <c r="G387">
        <f t="shared" si="48"/>
        <v>2</v>
      </c>
      <c r="H387">
        <f t="shared" ref="H387:H450" si="53">IF(D387&lt;=$M$24,1,IF(D387&lt;=$M$25,2,IF(D387&lt;=$M$29,3,IF(D387&lt;=$M$26,4,5))))</f>
        <v>2</v>
      </c>
      <c r="I387" s="4" t="str">
        <f t="shared" ref="I387:I450" si="54">CONCATENATE(F387,G387,H387)</f>
        <v>222</v>
      </c>
      <c r="Q387" s="1">
        <v>0.67624287031014307</v>
      </c>
      <c r="R387" s="1">
        <v>0.27237159145833101</v>
      </c>
    </row>
    <row r="388" spans="1:18" x14ac:dyDescent="0.35">
      <c r="A388" t="s">
        <v>390</v>
      </c>
      <c r="B388" s="2">
        <f t="shared" si="49"/>
        <v>45835</v>
      </c>
      <c r="C388" s="3">
        <f t="shared" ref="C388:C451" si="55">$S$4-B388</f>
        <v>-45835</v>
      </c>
      <c r="D388">
        <f t="shared" si="50"/>
        <v>1492</v>
      </c>
      <c r="E388">
        <f t="shared" si="51"/>
        <v>50</v>
      </c>
      <c r="F388">
        <f t="shared" si="52"/>
        <v>5</v>
      </c>
      <c r="G388">
        <f t="shared" ref="G388:G451" si="56">IF(E388&lt;=$M$14,1,IF(E388&lt;=$M$15,2,IF(E388&lt;=$M$19,3,IF(E388&lt;=$M$16,4,5))))</f>
        <v>5</v>
      </c>
      <c r="H388">
        <f t="shared" si="53"/>
        <v>5</v>
      </c>
      <c r="I388" s="4" t="str">
        <f t="shared" si="54"/>
        <v>555</v>
      </c>
      <c r="Q388" s="1">
        <v>6.4925702177747513E-2</v>
      </c>
      <c r="R388" s="1">
        <v>0.99467043315639669</v>
      </c>
    </row>
    <row r="389" spans="1:18" x14ac:dyDescent="0.35">
      <c r="A389" t="s">
        <v>391</v>
      </c>
      <c r="B389" s="2">
        <f t="shared" si="49"/>
        <v>45488</v>
      </c>
      <c r="C389" s="3">
        <f t="shared" si="55"/>
        <v>-45488</v>
      </c>
      <c r="D389">
        <f t="shared" si="50"/>
        <v>564</v>
      </c>
      <c r="E389">
        <f t="shared" si="51"/>
        <v>19</v>
      </c>
      <c r="F389">
        <f t="shared" si="52"/>
        <v>2</v>
      </c>
      <c r="G389">
        <f t="shared" si="56"/>
        <v>2</v>
      </c>
      <c r="H389">
        <f t="shared" si="53"/>
        <v>2</v>
      </c>
      <c r="I389" s="4" t="str">
        <f t="shared" si="54"/>
        <v>222</v>
      </c>
      <c r="Q389" s="1">
        <v>0.67941201162044906</v>
      </c>
      <c r="R389" s="1">
        <v>0.35900168467740856</v>
      </c>
    </row>
    <row r="390" spans="1:18" x14ac:dyDescent="0.35">
      <c r="A390" t="s">
        <v>392</v>
      </c>
      <c r="B390" s="2">
        <f t="shared" si="49"/>
        <v>45378</v>
      </c>
      <c r="C390" s="3">
        <f t="shared" si="55"/>
        <v>-45378</v>
      </c>
      <c r="D390">
        <f t="shared" si="50"/>
        <v>269</v>
      </c>
      <c r="E390">
        <f t="shared" si="51"/>
        <v>9</v>
      </c>
      <c r="F390">
        <f t="shared" si="52"/>
        <v>1</v>
      </c>
      <c r="G390">
        <f t="shared" si="56"/>
        <v>1</v>
      </c>
      <c r="H390">
        <f t="shared" si="53"/>
        <v>1</v>
      </c>
      <c r="I390" s="4" t="str">
        <f t="shared" si="54"/>
        <v>111</v>
      </c>
      <c r="Q390" s="1">
        <v>0.84387449988261332</v>
      </c>
      <c r="R390" s="1">
        <v>0.15670347160731835</v>
      </c>
    </row>
    <row r="391" spans="1:18" x14ac:dyDescent="0.35">
      <c r="A391" t="s">
        <v>393</v>
      </c>
      <c r="B391" s="2">
        <f t="shared" si="49"/>
        <v>45481</v>
      </c>
      <c r="C391" s="3">
        <f t="shared" si="55"/>
        <v>-45481</v>
      </c>
      <c r="D391">
        <f t="shared" si="50"/>
        <v>546</v>
      </c>
      <c r="E391">
        <f t="shared" si="51"/>
        <v>18</v>
      </c>
      <c r="F391">
        <f t="shared" si="52"/>
        <v>2</v>
      </c>
      <c r="G391">
        <f t="shared" si="56"/>
        <v>2</v>
      </c>
      <c r="H391">
        <f t="shared" si="53"/>
        <v>2</v>
      </c>
      <c r="I391" s="4" t="str">
        <f t="shared" si="54"/>
        <v>222</v>
      </c>
      <c r="Q391" s="1">
        <v>0.12785619819176353</v>
      </c>
      <c r="R391" s="1">
        <v>0.34642612227834535</v>
      </c>
    </row>
    <row r="392" spans="1:18" x14ac:dyDescent="0.35">
      <c r="A392" t="s">
        <v>394</v>
      </c>
      <c r="B392" s="2">
        <f t="shared" si="49"/>
        <v>45510</v>
      </c>
      <c r="C392" s="3">
        <f t="shared" si="55"/>
        <v>-45510</v>
      </c>
      <c r="D392">
        <f t="shared" si="50"/>
        <v>623</v>
      </c>
      <c r="E392">
        <f t="shared" si="51"/>
        <v>21</v>
      </c>
      <c r="F392">
        <f t="shared" si="52"/>
        <v>2</v>
      </c>
      <c r="G392">
        <f t="shared" si="56"/>
        <v>2</v>
      </c>
      <c r="H392">
        <f t="shared" si="53"/>
        <v>2</v>
      </c>
      <c r="I392" s="4" t="str">
        <f t="shared" si="54"/>
        <v>222</v>
      </c>
      <c r="Q392" s="1">
        <v>0.57447150663147328</v>
      </c>
      <c r="R392" s="1">
        <v>0.3992505704783702</v>
      </c>
    </row>
    <row r="393" spans="1:18" x14ac:dyDescent="0.35">
      <c r="A393" t="s">
        <v>395</v>
      </c>
      <c r="B393" s="2">
        <f t="shared" si="49"/>
        <v>45410</v>
      </c>
      <c r="C393" s="3">
        <f t="shared" si="55"/>
        <v>-45410</v>
      </c>
      <c r="D393">
        <f t="shared" si="50"/>
        <v>355</v>
      </c>
      <c r="E393">
        <f t="shared" si="51"/>
        <v>12</v>
      </c>
      <c r="F393">
        <f t="shared" si="52"/>
        <v>1</v>
      </c>
      <c r="G393">
        <f t="shared" si="56"/>
        <v>1</v>
      </c>
      <c r="H393">
        <f t="shared" si="53"/>
        <v>1</v>
      </c>
      <c r="I393" s="4" t="str">
        <f t="shared" si="54"/>
        <v>111</v>
      </c>
      <c r="Q393" s="1">
        <v>0.79233147963377826</v>
      </c>
      <c r="R393" s="1">
        <v>0.2158234003213817</v>
      </c>
    </row>
    <row r="394" spans="1:18" x14ac:dyDescent="0.35">
      <c r="A394" t="s">
        <v>396</v>
      </c>
      <c r="B394" s="2">
        <f t="shared" si="49"/>
        <v>45458</v>
      </c>
      <c r="C394" s="3">
        <f t="shared" si="55"/>
        <v>-45458</v>
      </c>
      <c r="D394">
        <f t="shared" si="50"/>
        <v>484</v>
      </c>
      <c r="E394">
        <f t="shared" si="51"/>
        <v>16</v>
      </c>
      <c r="F394">
        <f t="shared" si="52"/>
        <v>2</v>
      </c>
      <c r="G394">
        <f t="shared" si="56"/>
        <v>2</v>
      </c>
      <c r="H394">
        <f t="shared" si="53"/>
        <v>2</v>
      </c>
      <c r="I394" s="4" t="str">
        <f t="shared" si="54"/>
        <v>222</v>
      </c>
      <c r="Q394" s="1">
        <v>0.87093405947747038</v>
      </c>
      <c r="R394" s="1">
        <v>0.30439225966417249</v>
      </c>
    </row>
    <row r="395" spans="1:18" x14ac:dyDescent="0.35">
      <c r="A395" t="s">
        <v>397</v>
      </c>
      <c r="B395" s="2">
        <f t="shared" si="49"/>
        <v>45688</v>
      </c>
      <c r="C395" s="3">
        <f t="shared" si="55"/>
        <v>-45688</v>
      </c>
      <c r="D395">
        <f t="shared" si="50"/>
        <v>1098</v>
      </c>
      <c r="E395">
        <f t="shared" si="51"/>
        <v>37</v>
      </c>
      <c r="F395">
        <f t="shared" si="52"/>
        <v>4</v>
      </c>
      <c r="G395">
        <f t="shared" si="56"/>
        <v>4</v>
      </c>
      <c r="H395">
        <f t="shared" si="53"/>
        <v>4</v>
      </c>
      <c r="I395" s="4" t="str">
        <f t="shared" si="54"/>
        <v>444</v>
      </c>
      <c r="Q395" s="1">
        <v>0.86477829786734162</v>
      </c>
      <c r="R395" s="1">
        <v>0.72495034677236447</v>
      </c>
    </row>
    <row r="396" spans="1:18" x14ac:dyDescent="0.35">
      <c r="A396" t="s">
        <v>398</v>
      </c>
      <c r="B396" s="2">
        <f t="shared" si="49"/>
        <v>45437</v>
      </c>
      <c r="C396" s="3">
        <f t="shared" si="55"/>
        <v>-45437</v>
      </c>
      <c r="D396">
        <f t="shared" si="50"/>
        <v>429</v>
      </c>
      <c r="E396">
        <f t="shared" si="51"/>
        <v>14</v>
      </c>
      <c r="F396">
        <f t="shared" si="52"/>
        <v>2</v>
      </c>
      <c r="G396">
        <f t="shared" si="56"/>
        <v>2</v>
      </c>
      <c r="H396">
        <f t="shared" si="53"/>
        <v>2</v>
      </c>
      <c r="I396" s="4" t="str">
        <f t="shared" si="54"/>
        <v>222</v>
      </c>
      <c r="Q396" s="1">
        <v>0.16732370113284489</v>
      </c>
      <c r="R396" s="1">
        <v>0.26617848262157007</v>
      </c>
    </row>
    <row r="397" spans="1:18" x14ac:dyDescent="0.35">
      <c r="A397" t="s">
        <v>399</v>
      </c>
      <c r="B397" s="2">
        <f t="shared" si="49"/>
        <v>45694</v>
      </c>
      <c r="C397" s="3">
        <f t="shared" si="55"/>
        <v>-45694</v>
      </c>
      <c r="D397">
        <f t="shared" si="50"/>
        <v>1116</v>
      </c>
      <c r="E397">
        <f t="shared" si="51"/>
        <v>37</v>
      </c>
      <c r="F397">
        <f t="shared" si="52"/>
        <v>4</v>
      </c>
      <c r="G397">
        <f t="shared" si="56"/>
        <v>4</v>
      </c>
      <c r="H397">
        <f t="shared" si="53"/>
        <v>4</v>
      </c>
      <c r="I397" s="4" t="str">
        <f t="shared" si="54"/>
        <v>444</v>
      </c>
      <c r="Q397" s="1">
        <v>0.51771420181061445</v>
      </c>
      <c r="R397" s="1">
        <v>0.73694561798859115</v>
      </c>
    </row>
    <row r="398" spans="1:18" x14ac:dyDescent="0.35">
      <c r="A398" t="s">
        <v>400</v>
      </c>
      <c r="B398" s="2">
        <f t="shared" si="49"/>
        <v>45466</v>
      </c>
      <c r="C398" s="3">
        <f t="shared" si="55"/>
        <v>-45466</v>
      </c>
      <c r="D398">
        <f t="shared" si="50"/>
        <v>506</v>
      </c>
      <c r="E398">
        <f t="shared" si="51"/>
        <v>17</v>
      </c>
      <c r="F398">
        <f t="shared" si="52"/>
        <v>2</v>
      </c>
      <c r="G398">
        <f t="shared" si="56"/>
        <v>2</v>
      </c>
      <c r="H398">
        <f t="shared" si="53"/>
        <v>2</v>
      </c>
      <c r="I398" s="4" t="str">
        <f t="shared" si="54"/>
        <v>222</v>
      </c>
      <c r="Q398" s="1">
        <v>0.21686074826364932</v>
      </c>
      <c r="R398" s="1">
        <v>0.31897104257772313</v>
      </c>
    </row>
    <row r="399" spans="1:18" x14ac:dyDescent="0.35">
      <c r="A399" t="s">
        <v>401</v>
      </c>
      <c r="B399" s="2">
        <f t="shared" si="49"/>
        <v>45324</v>
      </c>
      <c r="C399" s="3">
        <f t="shared" si="55"/>
        <v>-45324</v>
      </c>
      <c r="D399">
        <f t="shared" si="50"/>
        <v>124</v>
      </c>
      <c r="E399">
        <f t="shared" si="51"/>
        <v>4</v>
      </c>
      <c r="F399">
        <f t="shared" si="52"/>
        <v>1</v>
      </c>
      <c r="G399">
        <f t="shared" si="56"/>
        <v>1</v>
      </c>
      <c r="H399">
        <f t="shared" si="53"/>
        <v>1</v>
      </c>
      <c r="I399" s="4" t="str">
        <f t="shared" si="54"/>
        <v>111</v>
      </c>
      <c r="Q399" s="1">
        <v>0.96946905362858871</v>
      </c>
      <c r="R399" s="1">
        <v>5.7719318751772053E-2</v>
      </c>
    </row>
    <row r="400" spans="1:18" x14ac:dyDescent="0.35">
      <c r="A400" t="s">
        <v>402</v>
      </c>
      <c r="B400" s="2">
        <f t="shared" si="49"/>
        <v>45725</v>
      </c>
      <c r="C400" s="3">
        <f t="shared" si="55"/>
        <v>-45725</v>
      </c>
      <c r="D400">
        <f t="shared" si="50"/>
        <v>1199</v>
      </c>
      <c r="E400">
        <f t="shared" si="51"/>
        <v>40</v>
      </c>
      <c r="F400">
        <f t="shared" si="52"/>
        <v>5</v>
      </c>
      <c r="G400">
        <f t="shared" si="56"/>
        <v>5</v>
      </c>
      <c r="H400">
        <f t="shared" si="53"/>
        <v>5</v>
      </c>
      <c r="I400" s="4" t="str">
        <f t="shared" si="54"/>
        <v>555</v>
      </c>
      <c r="Q400" s="1">
        <v>0.66048376807723075</v>
      </c>
      <c r="R400" s="1">
        <v>0.79373750622665118</v>
      </c>
    </row>
    <row r="401" spans="1:18" x14ac:dyDescent="0.35">
      <c r="A401" t="s">
        <v>403</v>
      </c>
      <c r="B401" s="2">
        <f t="shared" si="49"/>
        <v>45793</v>
      </c>
      <c r="C401" s="3">
        <f t="shared" si="55"/>
        <v>-45793</v>
      </c>
      <c r="D401">
        <f t="shared" si="50"/>
        <v>1378</v>
      </c>
      <c r="E401">
        <f t="shared" si="51"/>
        <v>46</v>
      </c>
      <c r="F401">
        <f t="shared" si="52"/>
        <v>5</v>
      </c>
      <c r="G401">
        <f t="shared" si="56"/>
        <v>5</v>
      </c>
      <c r="H401">
        <f t="shared" si="53"/>
        <v>5</v>
      </c>
      <c r="I401" s="4" t="str">
        <f t="shared" si="54"/>
        <v>555</v>
      </c>
      <c r="Q401" s="1">
        <v>0.20168126383597562</v>
      </c>
      <c r="R401" s="1">
        <v>0.91667930911106721</v>
      </c>
    </row>
    <row r="402" spans="1:18" x14ac:dyDescent="0.35">
      <c r="A402" t="s">
        <v>404</v>
      </c>
      <c r="B402" s="2">
        <f t="shared" si="49"/>
        <v>45583</v>
      </c>
      <c r="C402" s="3">
        <f t="shared" si="55"/>
        <v>-45583</v>
      </c>
      <c r="D402">
        <f t="shared" si="50"/>
        <v>817</v>
      </c>
      <c r="E402">
        <f t="shared" si="51"/>
        <v>27</v>
      </c>
      <c r="F402">
        <f t="shared" si="52"/>
        <v>4</v>
      </c>
      <c r="G402">
        <f t="shared" si="56"/>
        <v>4</v>
      </c>
      <c r="H402">
        <f t="shared" si="53"/>
        <v>4</v>
      </c>
      <c r="I402" s="4" t="str">
        <f t="shared" si="54"/>
        <v>444</v>
      </c>
      <c r="Q402" s="1">
        <v>0.83274936220182705</v>
      </c>
      <c r="R402" s="1">
        <v>0.53216815566661968</v>
      </c>
    </row>
    <row r="403" spans="1:18" x14ac:dyDescent="0.35">
      <c r="A403" t="s">
        <v>405</v>
      </c>
      <c r="B403" s="2">
        <f t="shared" si="49"/>
        <v>45313</v>
      </c>
      <c r="C403" s="3">
        <f t="shared" si="55"/>
        <v>-45313</v>
      </c>
      <c r="D403">
        <f t="shared" si="50"/>
        <v>95</v>
      </c>
      <c r="E403">
        <f t="shared" si="51"/>
        <v>3</v>
      </c>
      <c r="F403">
        <f t="shared" si="52"/>
        <v>1</v>
      </c>
      <c r="G403">
        <f t="shared" si="56"/>
        <v>1</v>
      </c>
      <c r="H403">
        <f t="shared" si="53"/>
        <v>1</v>
      </c>
      <c r="I403" s="4" t="str">
        <f t="shared" si="54"/>
        <v>111</v>
      </c>
      <c r="Q403" s="1">
        <v>6.2303191323032747E-2</v>
      </c>
      <c r="R403" s="1">
        <v>3.772870429048969E-2</v>
      </c>
    </row>
    <row r="404" spans="1:18" x14ac:dyDescent="0.35">
      <c r="A404" t="s">
        <v>406</v>
      </c>
      <c r="B404" s="2">
        <f t="shared" si="49"/>
        <v>45753</v>
      </c>
      <c r="C404" s="3">
        <f t="shared" si="55"/>
        <v>-45753</v>
      </c>
      <c r="D404">
        <f t="shared" si="50"/>
        <v>1272</v>
      </c>
      <c r="E404">
        <f t="shared" si="51"/>
        <v>42</v>
      </c>
      <c r="F404">
        <f t="shared" si="52"/>
        <v>5</v>
      </c>
      <c r="G404">
        <f t="shared" si="56"/>
        <v>5</v>
      </c>
      <c r="H404">
        <f t="shared" si="53"/>
        <v>5</v>
      </c>
      <c r="I404" s="4" t="str">
        <f t="shared" si="54"/>
        <v>555</v>
      </c>
      <c r="Q404" s="1">
        <v>0.12947618025402985</v>
      </c>
      <c r="R404" s="1">
        <v>0.84356868513008487</v>
      </c>
    </row>
    <row r="405" spans="1:18" x14ac:dyDescent="0.35">
      <c r="A405" t="s">
        <v>407</v>
      </c>
      <c r="B405" s="2">
        <f t="shared" si="49"/>
        <v>45384</v>
      </c>
      <c r="C405" s="3">
        <f t="shared" si="55"/>
        <v>-45384</v>
      </c>
      <c r="D405">
        <f t="shared" si="50"/>
        <v>286</v>
      </c>
      <c r="E405">
        <f t="shared" si="51"/>
        <v>9</v>
      </c>
      <c r="F405">
        <f t="shared" si="52"/>
        <v>1</v>
      </c>
      <c r="G405">
        <f t="shared" si="56"/>
        <v>1</v>
      </c>
      <c r="H405">
        <f t="shared" si="53"/>
        <v>1</v>
      </c>
      <c r="I405" s="4" t="str">
        <f t="shared" si="54"/>
        <v>111</v>
      </c>
      <c r="Q405" s="1">
        <v>7.4821407758830616E-2</v>
      </c>
      <c r="R405" s="1">
        <v>0.16881605679865264</v>
      </c>
    </row>
    <row r="406" spans="1:18" x14ac:dyDescent="0.35">
      <c r="A406" t="s">
        <v>408</v>
      </c>
      <c r="B406" s="2">
        <f t="shared" si="49"/>
        <v>45711</v>
      </c>
      <c r="C406" s="3">
        <f t="shared" si="55"/>
        <v>-45711</v>
      </c>
      <c r="D406">
        <f t="shared" si="50"/>
        <v>1160</v>
      </c>
      <c r="E406">
        <f t="shared" si="51"/>
        <v>39</v>
      </c>
      <c r="F406">
        <f t="shared" si="52"/>
        <v>5</v>
      </c>
      <c r="G406">
        <f t="shared" si="56"/>
        <v>4</v>
      </c>
      <c r="H406">
        <f t="shared" si="53"/>
        <v>4</v>
      </c>
      <c r="I406" s="4" t="str">
        <f t="shared" si="54"/>
        <v>544</v>
      </c>
      <c r="Q406" s="1">
        <v>0.87803761498777322</v>
      </c>
      <c r="R406" s="1">
        <v>0.76685736654521963</v>
      </c>
    </row>
    <row r="407" spans="1:18" x14ac:dyDescent="0.35">
      <c r="A407" t="s">
        <v>409</v>
      </c>
      <c r="B407" s="2">
        <f t="shared" si="49"/>
        <v>45311</v>
      </c>
      <c r="C407" s="3">
        <f t="shared" si="55"/>
        <v>-45311</v>
      </c>
      <c r="D407">
        <f t="shared" si="50"/>
        <v>92</v>
      </c>
      <c r="E407">
        <f t="shared" si="51"/>
        <v>3</v>
      </c>
      <c r="F407">
        <f t="shared" si="52"/>
        <v>1</v>
      </c>
      <c r="G407">
        <f t="shared" si="56"/>
        <v>1</v>
      </c>
      <c r="H407">
        <f t="shared" si="53"/>
        <v>1</v>
      </c>
      <c r="I407" s="4" t="str">
        <f t="shared" si="54"/>
        <v>111</v>
      </c>
      <c r="Q407" s="1">
        <v>8.6699509203301273E-2</v>
      </c>
      <c r="R407" s="1">
        <v>3.5555904258599114E-2</v>
      </c>
    </row>
    <row r="408" spans="1:18" x14ac:dyDescent="0.35">
      <c r="A408" t="s">
        <v>410</v>
      </c>
      <c r="B408" s="2">
        <f t="shared" si="49"/>
        <v>45312</v>
      </c>
      <c r="C408" s="3">
        <f t="shared" si="55"/>
        <v>-45312</v>
      </c>
      <c r="D408">
        <f t="shared" si="50"/>
        <v>94</v>
      </c>
      <c r="E408">
        <f t="shared" si="51"/>
        <v>3</v>
      </c>
      <c r="F408">
        <f t="shared" si="52"/>
        <v>1</v>
      </c>
      <c r="G408">
        <f t="shared" si="56"/>
        <v>1</v>
      </c>
      <c r="H408">
        <f t="shared" si="53"/>
        <v>1</v>
      </c>
      <c r="I408" s="4" t="str">
        <f t="shared" si="54"/>
        <v>111</v>
      </c>
      <c r="Q408" s="1">
        <v>0.55091487655719196</v>
      </c>
      <c r="R408" s="1">
        <v>3.6652210029683663E-2</v>
      </c>
    </row>
    <row r="409" spans="1:18" x14ac:dyDescent="0.35">
      <c r="A409" t="s">
        <v>411</v>
      </c>
      <c r="B409" s="2">
        <f t="shared" si="49"/>
        <v>45698</v>
      </c>
      <c r="C409" s="3">
        <f t="shared" si="55"/>
        <v>-45698</v>
      </c>
      <c r="D409">
        <f t="shared" si="50"/>
        <v>1127</v>
      </c>
      <c r="E409">
        <f t="shared" si="51"/>
        <v>37</v>
      </c>
      <c r="F409">
        <f t="shared" si="52"/>
        <v>4</v>
      </c>
      <c r="G409">
        <f t="shared" si="56"/>
        <v>4</v>
      </c>
      <c r="H409">
        <f t="shared" si="53"/>
        <v>4</v>
      </c>
      <c r="I409" s="4" t="str">
        <f t="shared" si="54"/>
        <v>444</v>
      </c>
      <c r="Q409" s="1">
        <v>0.86984367441950416</v>
      </c>
      <c r="R409" s="1">
        <v>0.74423678553289818</v>
      </c>
    </row>
    <row r="410" spans="1:18" x14ac:dyDescent="0.35">
      <c r="A410" t="s">
        <v>412</v>
      </c>
      <c r="B410" s="2">
        <f t="shared" si="49"/>
        <v>45308</v>
      </c>
      <c r="C410" s="3">
        <f t="shared" si="55"/>
        <v>-45308</v>
      </c>
      <c r="D410">
        <f t="shared" si="50"/>
        <v>81</v>
      </c>
      <c r="E410">
        <f t="shared" si="51"/>
        <v>2</v>
      </c>
      <c r="F410">
        <f t="shared" si="52"/>
        <v>1</v>
      </c>
      <c r="G410">
        <f t="shared" si="56"/>
        <v>1</v>
      </c>
      <c r="H410">
        <f t="shared" si="53"/>
        <v>1</v>
      </c>
      <c r="I410" s="4" t="str">
        <f t="shared" si="54"/>
        <v>111</v>
      </c>
      <c r="Q410" s="1">
        <v>0.85446233894384993</v>
      </c>
      <c r="R410" s="1">
        <v>2.8393925805031195E-2</v>
      </c>
    </row>
    <row r="411" spans="1:18" x14ac:dyDescent="0.35">
      <c r="A411" t="s">
        <v>413</v>
      </c>
      <c r="B411" s="2">
        <f t="shared" si="49"/>
        <v>45709</v>
      </c>
      <c r="C411" s="3">
        <f t="shared" si="55"/>
        <v>-45709</v>
      </c>
      <c r="D411">
        <f t="shared" si="50"/>
        <v>1155</v>
      </c>
      <c r="E411">
        <f t="shared" si="51"/>
        <v>38</v>
      </c>
      <c r="F411">
        <f t="shared" si="52"/>
        <v>4</v>
      </c>
      <c r="G411">
        <f t="shared" si="56"/>
        <v>4</v>
      </c>
      <c r="H411">
        <f t="shared" si="53"/>
        <v>4</v>
      </c>
      <c r="I411" s="4" t="str">
        <f t="shared" si="54"/>
        <v>444</v>
      </c>
      <c r="Q411" s="1">
        <v>0.9844448917955898</v>
      </c>
      <c r="R411" s="1">
        <v>0.76376457383895846</v>
      </c>
    </row>
    <row r="412" spans="1:18" x14ac:dyDescent="0.35">
      <c r="A412" t="s">
        <v>414</v>
      </c>
      <c r="B412" s="2">
        <f t="shared" si="49"/>
        <v>45759</v>
      </c>
      <c r="C412" s="3">
        <f t="shared" si="55"/>
        <v>-45759</v>
      </c>
      <c r="D412">
        <f t="shared" si="50"/>
        <v>1288</v>
      </c>
      <c r="E412">
        <f t="shared" si="51"/>
        <v>43</v>
      </c>
      <c r="F412">
        <f t="shared" si="52"/>
        <v>5</v>
      </c>
      <c r="G412">
        <f t="shared" si="56"/>
        <v>5</v>
      </c>
      <c r="H412">
        <f t="shared" si="53"/>
        <v>5</v>
      </c>
      <c r="I412" s="4" t="str">
        <f t="shared" si="54"/>
        <v>555</v>
      </c>
      <c r="Q412" s="1">
        <v>2.2305666871499819E-2</v>
      </c>
      <c r="R412" s="1">
        <v>0.85469524506819416</v>
      </c>
    </row>
    <row r="413" spans="1:18" x14ac:dyDescent="0.35">
      <c r="A413" t="s">
        <v>415</v>
      </c>
      <c r="B413" s="2">
        <f t="shared" si="49"/>
        <v>45304</v>
      </c>
      <c r="C413" s="3">
        <f t="shared" si="55"/>
        <v>-45304</v>
      </c>
      <c r="D413">
        <f t="shared" si="50"/>
        <v>72</v>
      </c>
      <c r="E413">
        <f t="shared" si="51"/>
        <v>2</v>
      </c>
      <c r="F413">
        <f t="shared" si="52"/>
        <v>1</v>
      </c>
      <c r="G413">
        <f t="shared" si="56"/>
        <v>1</v>
      </c>
      <c r="H413">
        <f t="shared" si="53"/>
        <v>1</v>
      </c>
      <c r="I413" s="4" t="str">
        <f t="shared" si="54"/>
        <v>111</v>
      </c>
      <c r="Q413" s="1">
        <v>0.34350443140596487</v>
      </c>
      <c r="R413" s="1">
        <v>2.176350553020634E-2</v>
      </c>
    </row>
    <row r="414" spans="1:18" x14ac:dyDescent="0.35">
      <c r="A414" t="s">
        <v>416</v>
      </c>
      <c r="B414" s="2">
        <f t="shared" si="49"/>
        <v>45503</v>
      </c>
      <c r="C414" s="3">
        <f t="shared" si="55"/>
        <v>-45503</v>
      </c>
      <c r="D414">
        <f t="shared" si="50"/>
        <v>605</v>
      </c>
      <c r="E414">
        <f t="shared" si="51"/>
        <v>20</v>
      </c>
      <c r="F414">
        <f t="shared" si="52"/>
        <v>2</v>
      </c>
      <c r="G414">
        <f t="shared" si="56"/>
        <v>2</v>
      </c>
      <c r="H414">
        <f t="shared" si="53"/>
        <v>2</v>
      </c>
      <c r="I414" s="4" t="str">
        <f t="shared" si="54"/>
        <v>222</v>
      </c>
      <c r="Q414" s="1">
        <v>0.4787422586697565</v>
      </c>
      <c r="R414" s="1">
        <v>0.38707366399264798</v>
      </c>
    </row>
    <row r="415" spans="1:18" x14ac:dyDescent="0.35">
      <c r="A415" t="s">
        <v>417</v>
      </c>
      <c r="B415" s="2">
        <f t="shared" si="49"/>
        <v>45399</v>
      </c>
      <c r="C415" s="3">
        <f t="shared" si="55"/>
        <v>-45399</v>
      </c>
      <c r="D415">
        <f t="shared" si="50"/>
        <v>325</v>
      </c>
      <c r="E415">
        <f t="shared" si="51"/>
        <v>11</v>
      </c>
      <c r="F415">
        <f t="shared" si="52"/>
        <v>1</v>
      </c>
      <c r="G415">
        <f t="shared" si="56"/>
        <v>1</v>
      </c>
      <c r="H415">
        <f t="shared" si="53"/>
        <v>1</v>
      </c>
      <c r="I415" s="4" t="str">
        <f t="shared" si="54"/>
        <v>111</v>
      </c>
      <c r="Q415" s="1">
        <v>0.46721176465405101</v>
      </c>
      <c r="R415" s="1">
        <v>0.1950960796005512</v>
      </c>
    </row>
    <row r="416" spans="1:18" x14ac:dyDescent="0.35">
      <c r="A416" t="s">
        <v>418</v>
      </c>
      <c r="B416" s="2">
        <f t="shared" si="49"/>
        <v>45704</v>
      </c>
      <c r="C416" s="3">
        <f t="shared" si="55"/>
        <v>-45704</v>
      </c>
      <c r="D416">
        <f t="shared" si="50"/>
        <v>1140</v>
      </c>
      <c r="E416">
        <f t="shared" si="51"/>
        <v>38</v>
      </c>
      <c r="F416">
        <f t="shared" si="52"/>
        <v>4</v>
      </c>
      <c r="G416">
        <f t="shared" si="56"/>
        <v>4</v>
      </c>
      <c r="H416">
        <f t="shared" si="53"/>
        <v>4</v>
      </c>
      <c r="I416" s="4" t="str">
        <f t="shared" si="54"/>
        <v>444</v>
      </c>
      <c r="Q416" s="1">
        <v>0.63340435079313706</v>
      </c>
      <c r="R416" s="1">
        <v>0.75370384433241866</v>
      </c>
    </row>
    <row r="417" spans="1:18" x14ac:dyDescent="0.35">
      <c r="A417" t="s">
        <v>419</v>
      </c>
      <c r="B417" s="2">
        <f t="shared" si="49"/>
        <v>45568</v>
      </c>
      <c r="C417" s="3">
        <f t="shared" si="55"/>
        <v>-45568</v>
      </c>
      <c r="D417">
        <f t="shared" si="50"/>
        <v>778</v>
      </c>
      <c r="E417">
        <f t="shared" si="51"/>
        <v>26</v>
      </c>
      <c r="F417">
        <f t="shared" si="52"/>
        <v>4</v>
      </c>
      <c r="G417">
        <f t="shared" si="56"/>
        <v>4</v>
      </c>
      <c r="H417">
        <f t="shared" si="53"/>
        <v>4</v>
      </c>
      <c r="I417" s="4" t="str">
        <f t="shared" si="54"/>
        <v>444</v>
      </c>
      <c r="Q417" s="1">
        <v>0.74446940400454098</v>
      </c>
      <c r="R417" s="1">
        <v>0.50568433472357377</v>
      </c>
    </row>
    <row r="418" spans="1:18" x14ac:dyDescent="0.35">
      <c r="A418" t="s">
        <v>420</v>
      </c>
      <c r="B418" s="2">
        <f t="shared" si="49"/>
        <v>45771</v>
      </c>
      <c r="C418" s="3">
        <f t="shared" si="55"/>
        <v>-45771</v>
      </c>
      <c r="D418">
        <f t="shared" si="50"/>
        <v>1320</v>
      </c>
      <c r="E418">
        <f t="shared" si="51"/>
        <v>44</v>
      </c>
      <c r="F418">
        <f t="shared" si="52"/>
        <v>5</v>
      </c>
      <c r="G418">
        <f t="shared" si="56"/>
        <v>5</v>
      </c>
      <c r="H418">
        <f t="shared" si="53"/>
        <v>5</v>
      </c>
      <c r="I418" s="4" t="str">
        <f t="shared" si="54"/>
        <v>555</v>
      </c>
      <c r="Q418" s="1">
        <v>0.62230554695152163</v>
      </c>
      <c r="R418" s="1">
        <v>0.87690124774111133</v>
      </c>
    </row>
    <row r="419" spans="1:18" x14ac:dyDescent="0.35">
      <c r="A419" t="s">
        <v>421</v>
      </c>
      <c r="B419" s="2">
        <f t="shared" si="49"/>
        <v>45768</v>
      </c>
      <c r="C419" s="3">
        <f t="shared" si="55"/>
        <v>-45768</v>
      </c>
      <c r="D419">
        <f t="shared" si="50"/>
        <v>1312</v>
      </c>
      <c r="E419">
        <f t="shared" si="51"/>
        <v>44</v>
      </c>
      <c r="F419">
        <f t="shared" si="52"/>
        <v>5</v>
      </c>
      <c r="G419">
        <f t="shared" si="56"/>
        <v>5</v>
      </c>
      <c r="H419">
        <f t="shared" si="53"/>
        <v>5</v>
      </c>
      <c r="I419" s="4" t="str">
        <f t="shared" si="54"/>
        <v>555</v>
      </c>
      <c r="Q419" s="1">
        <v>0.46598949771006337</v>
      </c>
      <c r="R419" s="1">
        <v>0.87125927033026507</v>
      </c>
    </row>
    <row r="420" spans="1:18" x14ac:dyDescent="0.35">
      <c r="A420" t="s">
        <v>422</v>
      </c>
      <c r="B420" s="2">
        <f t="shared" si="49"/>
        <v>45585</v>
      </c>
      <c r="C420" s="3">
        <f t="shared" si="55"/>
        <v>-45585</v>
      </c>
      <c r="D420">
        <f t="shared" si="50"/>
        <v>823</v>
      </c>
      <c r="E420">
        <f t="shared" si="51"/>
        <v>27</v>
      </c>
      <c r="F420">
        <f t="shared" si="52"/>
        <v>4</v>
      </c>
      <c r="G420">
        <f t="shared" si="56"/>
        <v>4</v>
      </c>
      <c r="H420">
        <f t="shared" si="53"/>
        <v>4</v>
      </c>
      <c r="I420" s="4" t="str">
        <f t="shared" si="54"/>
        <v>444</v>
      </c>
      <c r="Q420" s="1">
        <v>0.36087390442414258</v>
      </c>
      <c r="R420" s="1">
        <v>0.53646691281282699</v>
      </c>
    </row>
    <row r="421" spans="1:18" x14ac:dyDescent="0.35">
      <c r="A421" t="s">
        <v>423</v>
      </c>
      <c r="B421" s="2">
        <f t="shared" si="49"/>
        <v>45424</v>
      </c>
      <c r="C421" s="3">
        <f t="shared" si="55"/>
        <v>-45424</v>
      </c>
      <c r="D421">
        <f t="shared" si="50"/>
        <v>393</v>
      </c>
      <c r="E421">
        <f t="shared" si="51"/>
        <v>13</v>
      </c>
      <c r="F421">
        <f t="shared" si="52"/>
        <v>2</v>
      </c>
      <c r="G421">
        <f t="shared" si="56"/>
        <v>2</v>
      </c>
      <c r="H421">
        <f t="shared" si="53"/>
        <v>2</v>
      </c>
      <c r="I421" s="4" t="str">
        <f t="shared" si="54"/>
        <v>222</v>
      </c>
      <c r="Q421" s="1">
        <v>0.68700739283104717</v>
      </c>
      <c r="R421" s="1">
        <v>0.24149281362851238</v>
      </c>
    </row>
    <row r="422" spans="1:18" x14ac:dyDescent="0.35">
      <c r="A422" t="s">
        <v>424</v>
      </c>
      <c r="B422" s="2">
        <f t="shared" si="49"/>
        <v>45499</v>
      </c>
      <c r="C422" s="3">
        <f t="shared" si="55"/>
        <v>-45499</v>
      </c>
      <c r="D422">
        <f t="shared" si="50"/>
        <v>593</v>
      </c>
      <c r="E422">
        <f t="shared" si="51"/>
        <v>20</v>
      </c>
      <c r="F422">
        <f t="shared" si="52"/>
        <v>2</v>
      </c>
      <c r="G422">
        <f t="shared" si="56"/>
        <v>2</v>
      </c>
      <c r="H422">
        <f t="shared" si="53"/>
        <v>2</v>
      </c>
      <c r="I422" s="4" t="str">
        <f t="shared" si="54"/>
        <v>222</v>
      </c>
      <c r="Q422" s="1">
        <v>0.82471944247712048</v>
      </c>
      <c r="R422" s="1">
        <v>0.37871874782280501</v>
      </c>
    </row>
    <row r="423" spans="1:18" x14ac:dyDescent="0.35">
      <c r="A423" t="s">
        <v>425</v>
      </c>
      <c r="B423" s="2">
        <f t="shared" si="49"/>
        <v>45441</v>
      </c>
      <c r="C423" s="3">
        <f t="shared" si="55"/>
        <v>-45441</v>
      </c>
      <c r="D423">
        <f t="shared" si="50"/>
        <v>437</v>
      </c>
      <c r="E423">
        <f t="shared" si="51"/>
        <v>14</v>
      </c>
      <c r="F423">
        <f t="shared" si="52"/>
        <v>2</v>
      </c>
      <c r="G423">
        <f t="shared" si="56"/>
        <v>2</v>
      </c>
      <c r="H423">
        <f t="shared" si="53"/>
        <v>2</v>
      </c>
      <c r="I423" s="4" t="str">
        <f t="shared" si="54"/>
        <v>222</v>
      </c>
      <c r="Q423" s="1">
        <v>0.7029027111241386</v>
      </c>
      <c r="R423" s="1">
        <v>0.27204557464245127</v>
      </c>
    </row>
    <row r="424" spans="1:18" x14ac:dyDescent="0.35">
      <c r="A424" t="s">
        <v>426</v>
      </c>
      <c r="B424" s="2">
        <f t="shared" si="49"/>
        <v>45761</v>
      </c>
      <c r="C424" s="3">
        <f t="shared" si="55"/>
        <v>-45761</v>
      </c>
      <c r="D424">
        <f t="shared" si="50"/>
        <v>1294</v>
      </c>
      <c r="E424">
        <f t="shared" si="51"/>
        <v>43</v>
      </c>
      <c r="F424">
        <f t="shared" si="52"/>
        <v>5</v>
      </c>
      <c r="G424">
        <f t="shared" si="56"/>
        <v>5</v>
      </c>
      <c r="H424">
        <f t="shared" si="53"/>
        <v>5</v>
      </c>
      <c r="I424" s="4" t="str">
        <f t="shared" si="54"/>
        <v>555</v>
      </c>
      <c r="Q424" s="1">
        <v>0.34822366988576348</v>
      </c>
      <c r="R424" s="1">
        <v>0.858730037302603</v>
      </c>
    </row>
    <row r="425" spans="1:18" x14ac:dyDescent="0.35">
      <c r="A425" t="s">
        <v>427</v>
      </c>
      <c r="B425" s="2">
        <f t="shared" si="49"/>
        <v>45298</v>
      </c>
      <c r="C425" s="3">
        <f t="shared" si="55"/>
        <v>-45298</v>
      </c>
      <c r="D425">
        <f t="shared" si="50"/>
        <v>55</v>
      </c>
      <c r="E425">
        <f t="shared" si="51"/>
        <v>2</v>
      </c>
      <c r="F425">
        <f t="shared" si="52"/>
        <v>1</v>
      </c>
      <c r="G425">
        <f t="shared" si="56"/>
        <v>1</v>
      </c>
      <c r="H425">
        <f t="shared" si="53"/>
        <v>1</v>
      </c>
      <c r="I425" s="4" t="str">
        <f t="shared" si="54"/>
        <v>111</v>
      </c>
      <c r="Q425" s="1">
        <v>0.83725138187044301</v>
      </c>
      <c r="R425" s="1">
        <v>1.0372727192790032E-2</v>
      </c>
    </row>
    <row r="426" spans="1:18" x14ac:dyDescent="0.35">
      <c r="A426" t="s">
        <v>428</v>
      </c>
      <c r="B426" s="2">
        <f t="shared" si="49"/>
        <v>45403</v>
      </c>
      <c r="C426" s="3">
        <f t="shared" si="55"/>
        <v>-45403</v>
      </c>
      <c r="D426">
        <f t="shared" si="50"/>
        <v>338</v>
      </c>
      <c r="E426">
        <f t="shared" si="51"/>
        <v>11</v>
      </c>
      <c r="F426">
        <f t="shared" si="52"/>
        <v>1</v>
      </c>
      <c r="G426">
        <f t="shared" si="56"/>
        <v>1</v>
      </c>
      <c r="H426">
        <f t="shared" si="53"/>
        <v>1</v>
      </c>
      <c r="I426" s="4" t="str">
        <f t="shared" si="54"/>
        <v>111</v>
      </c>
      <c r="Q426" s="1">
        <v>2.5257558227120724E-2</v>
      </c>
      <c r="R426" s="1">
        <v>0.20411479653742781</v>
      </c>
    </row>
    <row r="427" spans="1:18" x14ac:dyDescent="0.35">
      <c r="A427" t="s">
        <v>429</v>
      </c>
      <c r="B427" s="2">
        <f t="shared" si="49"/>
        <v>45429</v>
      </c>
      <c r="C427" s="3">
        <f t="shared" si="55"/>
        <v>-45429</v>
      </c>
      <c r="D427">
        <f t="shared" si="50"/>
        <v>405</v>
      </c>
      <c r="E427">
        <f t="shared" si="51"/>
        <v>13</v>
      </c>
      <c r="F427">
        <f t="shared" si="52"/>
        <v>2</v>
      </c>
      <c r="G427">
        <f t="shared" si="56"/>
        <v>2</v>
      </c>
      <c r="H427">
        <f t="shared" si="53"/>
        <v>2</v>
      </c>
      <c r="I427" s="4" t="str">
        <f t="shared" si="54"/>
        <v>222</v>
      </c>
      <c r="Q427" s="1">
        <v>0.43053088198902267</v>
      </c>
      <c r="R427" s="1">
        <v>0.25023042032467835</v>
      </c>
    </row>
    <row r="428" spans="1:18" x14ac:dyDescent="0.35">
      <c r="A428" t="s">
        <v>430</v>
      </c>
      <c r="B428" s="2">
        <f t="shared" si="49"/>
        <v>45796</v>
      </c>
      <c r="C428" s="3">
        <f t="shared" si="55"/>
        <v>-45796</v>
      </c>
      <c r="D428">
        <f t="shared" si="50"/>
        <v>1389</v>
      </c>
      <c r="E428">
        <f t="shared" si="51"/>
        <v>46</v>
      </c>
      <c r="F428">
        <f t="shared" si="52"/>
        <v>5</v>
      </c>
      <c r="G428">
        <f t="shared" si="56"/>
        <v>5</v>
      </c>
      <c r="H428">
        <f t="shared" si="53"/>
        <v>5</v>
      </c>
      <c r="I428" s="4" t="str">
        <f t="shared" si="54"/>
        <v>555</v>
      </c>
      <c r="Q428" s="1">
        <v>0.2523052625233051</v>
      </c>
      <c r="R428" s="1">
        <v>0.92397968330786839</v>
      </c>
    </row>
    <row r="429" spans="1:18" x14ac:dyDescent="0.35">
      <c r="A429" t="s">
        <v>431</v>
      </c>
      <c r="B429" s="2">
        <f t="shared" si="49"/>
        <v>45588</v>
      </c>
      <c r="C429" s="3">
        <f t="shared" si="55"/>
        <v>-45588</v>
      </c>
      <c r="D429">
        <f t="shared" si="50"/>
        <v>832</v>
      </c>
      <c r="E429">
        <f t="shared" si="51"/>
        <v>28</v>
      </c>
      <c r="F429">
        <f t="shared" si="52"/>
        <v>4</v>
      </c>
      <c r="G429">
        <f t="shared" si="56"/>
        <v>4</v>
      </c>
      <c r="H429">
        <f t="shared" si="53"/>
        <v>4</v>
      </c>
      <c r="I429" s="4" t="str">
        <f t="shared" si="54"/>
        <v>444</v>
      </c>
      <c r="Q429" s="1">
        <v>0.81799918834325658</v>
      </c>
      <c r="R429" s="1">
        <v>0.54279732310050866</v>
      </c>
    </row>
    <row r="430" spans="1:18" x14ac:dyDescent="0.35">
      <c r="A430" t="s">
        <v>432</v>
      </c>
      <c r="B430" s="2">
        <f t="shared" si="49"/>
        <v>45776</v>
      </c>
      <c r="C430" s="3">
        <f t="shared" si="55"/>
        <v>-45776</v>
      </c>
      <c r="D430">
        <f t="shared" si="50"/>
        <v>1335</v>
      </c>
      <c r="E430">
        <f t="shared" si="51"/>
        <v>44</v>
      </c>
      <c r="F430">
        <f t="shared" si="52"/>
        <v>5</v>
      </c>
      <c r="G430">
        <f t="shared" si="56"/>
        <v>5</v>
      </c>
      <c r="H430">
        <f t="shared" si="53"/>
        <v>5</v>
      </c>
      <c r="I430" s="4" t="str">
        <f t="shared" si="54"/>
        <v>555</v>
      </c>
      <c r="Q430" s="1">
        <v>0.71215092180172401</v>
      </c>
      <c r="R430" s="1">
        <v>0.88688595481586707</v>
      </c>
    </row>
    <row r="431" spans="1:18" x14ac:dyDescent="0.35">
      <c r="A431" t="s">
        <v>433</v>
      </c>
      <c r="B431" s="2">
        <f t="shared" si="49"/>
        <v>45320</v>
      </c>
      <c r="C431" s="3">
        <f t="shared" si="55"/>
        <v>-45320</v>
      </c>
      <c r="D431">
        <f t="shared" si="50"/>
        <v>116</v>
      </c>
      <c r="E431">
        <f t="shared" si="51"/>
        <v>4</v>
      </c>
      <c r="F431">
        <f t="shared" si="52"/>
        <v>1</v>
      </c>
      <c r="G431">
        <f t="shared" si="56"/>
        <v>1</v>
      </c>
      <c r="H431">
        <f t="shared" si="53"/>
        <v>1</v>
      </c>
      <c r="I431" s="4" t="str">
        <f t="shared" si="54"/>
        <v>111</v>
      </c>
      <c r="Q431" s="1">
        <v>0.98143547869993564</v>
      </c>
      <c r="R431" s="1">
        <v>5.2086066436008882E-2</v>
      </c>
    </row>
    <row r="432" spans="1:18" x14ac:dyDescent="0.35">
      <c r="A432" t="s">
        <v>434</v>
      </c>
      <c r="B432" s="2">
        <f t="shared" si="49"/>
        <v>45725</v>
      </c>
      <c r="C432" s="3">
        <f t="shared" si="55"/>
        <v>-45725</v>
      </c>
      <c r="D432">
        <f t="shared" si="50"/>
        <v>1197</v>
      </c>
      <c r="E432">
        <f t="shared" si="51"/>
        <v>40</v>
      </c>
      <c r="F432">
        <f t="shared" si="52"/>
        <v>5</v>
      </c>
      <c r="G432">
        <f t="shared" si="56"/>
        <v>5</v>
      </c>
      <c r="H432">
        <f t="shared" si="53"/>
        <v>5</v>
      </c>
      <c r="I432" s="4" t="str">
        <f t="shared" si="54"/>
        <v>555</v>
      </c>
      <c r="Q432" s="1">
        <v>0.62938493700293985</v>
      </c>
      <c r="R432" s="1">
        <v>0.79233347402273313</v>
      </c>
    </row>
    <row r="433" spans="1:18" x14ac:dyDescent="0.35">
      <c r="A433" t="s">
        <v>435</v>
      </c>
      <c r="B433" s="2">
        <f t="shared" si="49"/>
        <v>45803</v>
      </c>
      <c r="C433" s="3">
        <f t="shared" si="55"/>
        <v>-45803</v>
      </c>
      <c r="D433">
        <f t="shared" si="50"/>
        <v>1407</v>
      </c>
      <c r="E433">
        <f t="shared" si="51"/>
        <v>47</v>
      </c>
      <c r="F433">
        <f t="shared" si="52"/>
        <v>5</v>
      </c>
      <c r="G433">
        <f t="shared" si="56"/>
        <v>5</v>
      </c>
      <c r="H433">
        <f t="shared" si="53"/>
        <v>5</v>
      </c>
      <c r="I433" s="4" t="str">
        <f t="shared" si="54"/>
        <v>555</v>
      </c>
      <c r="Q433" s="1">
        <v>0.29138243015716714</v>
      </c>
      <c r="R433" s="1">
        <v>0.93644594844042051</v>
      </c>
    </row>
    <row r="434" spans="1:18" x14ac:dyDescent="0.35">
      <c r="A434" t="s">
        <v>436</v>
      </c>
      <c r="B434" s="2">
        <f t="shared" si="49"/>
        <v>45665</v>
      </c>
      <c r="C434" s="3">
        <f t="shared" si="55"/>
        <v>-45665</v>
      </c>
      <c r="D434">
        <f t="shared" si="50"/>
        <v>1037</v>
      </c>
      <c r="E434">
        <f t="shared" si="51"/>
        <v>34</v>
      </c>
      <c r="F434">
        <f t="shared" si="52"/>
        <v>4</v>
      </c>
      <c r="G434">
        <f t="shared" si="56"/>
        <v>4</v>
      </c>
      <c r="H434">
        <f t="shared" si="53"/>
        <v>4</v>
      </c>
      <c r="I434" s="4" t="str">
        <f t="shared" si="54"/>
        <v>444</v>
      </c>
      <c r="Q434" s="1">
        <v>0.73737708680200353</v>
      </c>
      <c r="R434" s="1">
        <v>0.68295929346875495</v>
      </c>
    </row>
    <row r="435" spans="1:18" x14ac:dyDescent="0.35">
      <c r="A435" t="s">
        <v>437</v>
      </c>
      <c r="B435" s="2">
        <f t="shared" si="49"/>
        <v>45807</v>
      </c>
      <c r="C435" s="3">
        <f t="shared" si="55"/>
        <v>-45807</v>
      </c>
      <c r="D435">
        <f t="shared" si="50"/>
        <v>1417</v>
      </c>
      <c r="E435">
        <f t="shared" si="51"/>
        <v>47</v>
      </c>
      <c r="F435">
        <f t="shared" si="52"/>
        <v>5</v>
      </c>
      <c r="G435">
        <f t="shared" si="56"/>
        <v>5</v>
      </c>
      <c r="H435">
        <f t="shared" si="53"/>
        <v>5</v>
      </c>
      <c r="I435" s="4" t="str">
        <f t="shared" si="54"/>
        <v>555</v>
      </c>
      <c r="Q435" s="1">
        <v>0.68648580721330166</v>
      </c>
      <c r="R435" s="1">
        <v>0.94287576062994083</v>
      </c>
    </row>
    <row r="436" spans="1:18" x14ac:dyDescent="0.35">
      <c r="A436" t="s">
        <v>438</v>
      </c>
      <c r="B436" s="2">
        <f t="shared" si="49"/>
        <v>45687</v>
      </c>
      <c r="C436" s="3">
        <f t="shared" si="55"/>
        <v>-45687</v>
      </c>
      <c r="D436">
        <f t="shared" si="50"/>
        <v>1097</v>
      </c>
      <c r="E436">
        <f t="shared" si="51"/>
        <v>36</v>
      </c>
      <c r="F436">
        <f t="shared" si="52"/>
        <v>4</v>
      </c>
      <c r="G436">
        <f t="shared" si="56"/>
        <v>4</v>
      </c>
      <c r="H436">
        <f t="shared" si="53"/>
        <v>4</v>
      </c>
      <c r="I436" s="4" t="str">
        <f t="shared" si="54"/>
        <v>444</v>
      </c>
      <c r="Q436" s="1">
        <v>0.5770603545046985</v>
      </c>
      <c r="R436" s="1">
        <v>0.7236494943450632</v>
      </c>
    </row>
    <row r="437" spans="1:18" x14ac:dyDescent="0.35">
      <c r="A437" t="s">
        <v>439</v>
      </c>
      <c r="B437" s="2">
        <f t="shared" si="49"/>
        <v>45297</v>
      </c>
      <c r="C437" s="3">
        <f t="shared" si="55"/>
        <v>-45297</v>
      </c>
      <c r="D437">
        <f t="shared" si="50"/>
        <v>54</v>
      </c>
      <c r="E437">
        <f t="shared" si="51"/>
        <v>1</v>
      </c>
      <c r="F437">
        <f t="shared" si="52"/>
        <v>1</v>
      </c>
      <c r="G437">
        <f t="shared" si="56"/>
        <v>1</v>
      </c>
      <c r="H437">
        <f t="shared" si="53"/>
        <v>1</v>
      </c>
      <c r="I437" s="4" t="str">
        <f t="shared" si="54"/>
        <v>111</v>
      </c>
      <c r="Q437" s="1">
        <v>0.19553865702094453</v>
      </c>
      <c r="R437" s="1">
        <v>9.4344931199401572E-3</v>
      </c>
    </row>
    <row r="438" spans="1:18" x14ac:dyDescent="0.35">
      <c r="A438" t="s">
        <v>440</v>
      </c>
      <c r="B438" s="2">
        <f t="shared" si="49"/>
        <v>45589</v>
      </c>
      <c r="C438" s="3">
        <f t="shared" si="55"/>
        <v>-45589</v>
      </c>
      <c r="D438">
        <f t="shared" si="50"/>
        <v>835</v>
      </c>
      <c r="E438">
        <f t="shared" si="51"/>
        <v>28</v>
      </c>
      <c r="F438">
        <f t="shared" si="52"/>
        <v>4</v>
      </c>
      <c r="G438">
        <f t="shared" si="56"/>
        <v>4</v>
      </c>
      <c r="H438">
        <f t="shared" si="53"/>
        <v>4</v>
      </c>
      <c r="I438" s="4" t="str">
        <f t="shared" si="54"/>
        <v>444</v>
      </c>
      <c r="Q438" s="1">
        <v>0.3517160115898228</v>
      </c>
      <c r="R438" s="1">
        <v>0.54437609898392858</v>
      </c>
    </row>
    <row r="439" spans="1:18" x14ac:dyDescent="0.35">
      <c r="A439" t="s">
        <v>441</v>
      </c>
      <c r="B439" s="2">
        <f t="shared" si="49"/>
        <v>45593</v>
      </c>
      <c r="C439" s="3">
        <f t="shared" si="55"/>
        <v>-45593</v>
      </c>
      <c r="D439">
        <f t="shared" si="50"/>
        <v>844</v>
      </c>
      <c r="E439">
        <f t="shared" si="51"/>
        <v>28</v>
      </c>
      <c r="F439">
        <f t="shared" si="52"/>
        <v>4</v>
      </c>
      <c r="G439">
        <f t="shared" si="56"/>
        <v>4</v>
      </c>
      <c r="H439">
        <f t="shared" si="53"/>
        <v>4</v>
      </c>
      <c r="I439" s="4" t="str">
        <f t="shared" si="54"/>
        <v>444</v>
      </c>
      <c r="Q439" s="1">
        <v>0.81315948973960106</v>
      </c>
      <c r="R439" s="1">
        <v>0.55050378567087643</v>
      </c>
    </row>
    <row r="440" spans="1:18" x14ac:dyDescent="0.35">
      <c r="A440" t="s">
        <v>442</v>
      </c>
      <c r="B440" s="2">
        <f t="shared" si="49"/>
        <v>45499</v>
      </c>
      <c r="C440" s="3">
        <f t="shared" si="55"/>
        <v>-45499</v>
      </c>
      <c r="D440">
        <f t="shared" si="50"/>
        <v>594</v>
      </c>
      <c r="E440">
        <f t="shared" si="51"/>
        <v>20</v>
      </c>
      <c r="F440">
        <f t="shared" si="52"/>
        <v>2</v>
      </c>
      <c r="G440">
        <f t="shared" si="56"/>
        <v>2</v>
      </c>
      <c r="H440">
        <f t="shared" si="53"/>
        <v>2</v>
      </c>
      <c r="I440" s="4" t="str">
        <f t="shared" si="54"/>
        <v>222</v>
      </c>
      <c r="Q440" s="1">
        <v>0.93334599826969455</v>
      </c>
      <c r="R440" s="1">
        <v>0.37978015854589875</v>
      </c>
    </row>
    <row r="441" spans="1:18" x14ac:dyDescent="0.35">
      <c r="A441" t="s">
        <v>443</v>
      </c>
      <c r="B441" s="2">
        <f t="shared" si="49"/>
        <v>45519</v>
      </c>
      <c r="C441" s="3">
        <f t="shared" si="55"/>
        <v>-45519</v>
      </c>
      <c r="D441">
        <f t="shared" si="50"/>
        <v>647</v>
      </c>
      <c r="E441">
        <f t="shared" si="51"/>
        <v>21</v>
      </c>
      <c r="F441">
        <f t="shared" si="52"/>
        <v>2</v>
      </c>
      <c r="G441">
        <f t="shared" si="56"/>
        <v>2</v>
      </c>
      <c r="H441">
        <f t="shared" si="53"/>
        <v>2</v>
      </c>
      <c r="I441" s="4" t="str">
        <f t="shared" si="54"/>
        <v>222</v>
      </c>
      <c r="Q441" s="1">
        <v>0.9278777119303212</v>
      </c>
      <c r="R441" s="1">
        <v>0.41604671572182528</v>
      </c>
    </row>
    <row r="442" spans="1:18" x14ac:dyDescent="0.35">
      <c r="A442" t="s">
        <v>444</v>
      </c>
      <c r="B442" s="2">
        <f t="shared" si="49"/>
        <v>45567</v>
      </c>
      <c r="C442" s="3">
        <f t="shared" si="55"/>
        <v>-45567</v>
      </c>
      <c r="D442">
        <f t="shared" si="50"/>
        <v>774</v>
      </c>
      <c r="E442">
        <f t="shared" si="51"/>
        <v>26</v>
      </c>
      <c r="F442">
        <f t="shared" si="52"/>
        <v>4</v>
      </c>
      <c r="G442">
        <f t="shared" si="56"/>
        <v>4</v>
      </c>
      <c r="H442">
        <f t="shared" si="53"/>
        <v>4</v>
      </c>
      <c r="I442" s="4" t="str">
        <f t="shared" si="54"/>
        <v>444</v>
      </c>
      <c r="Q442" s="1">
        <v>5.6739925431915528E-2</v>
      </c>
      <c r="R442" s="1">
        <v>0.50280034640864757</v>
      </c>
    </row>
    <row r="443" spans="1:18" x14ac:dyDescent="0.35">
      <c r="A443" t="s">
        <v>445</v>
      </c>
      <c r="B443" s="2">
        <f t="shared" si="49"/>
        <v>45761</v>
      </c>
      <c r="C443" s="3">
        <f t="shared" si="55"/>
        <v>-45761</v>
      </c>
      <c r="D443">
        <f t="shared" si="50"/>
        <v>1294</v>
      </c>
      <c r="E443">
        <f t="shared" si="51"/>
        <v>43</v>
      </c>
      <c r="F443">
        <f t="shared" si="52"/>
        <v>5</v>
      </c>
      <c r="G443">
        <f t="shared" si="56"/>
        <v>5</v>
      </c>
      <c r="H443">
        <f t="shared" si="53"/>
        <v>5</v>
      </c>
      <c r="I443" s="4" t="str">
        <f t="shared" si="54"/>
        <v>555</v>
      </c>
      <c r="Q443" s="1">
        <v>0.37191887423921921</v>
      </c>
      <c r="R443" s="1">
        <v>0.85881701480617634</v>
      </c>
    </row>
    <row r="444" spans="1:18" x14ac:dyDescent="0.35">
      <c r="A444" t="s">
        <v>446</v>
      </c>
      <c r="B444" s="2">
        <f t="shared" si="49"/>
        <v>45329</v>
      </c>
      <c r="C444" s="3">
        <f t="shared" si="55"/>
        <v>-45329</v>
      </c>
      <c r="D444">
        <f t="shared" si="50"/>
        <v>139</v>
      </c>
      <c r="E444">
        <f t="shared" si="51"/>
        <v>4</v>
      </c>
      <c r="F444">
        <f t="shared" si="52"/>
        <v>1</v>
      </c>
      <c r="G444">
        <f t="shared" si="56"/>
        <v>1</v>
      </c>
      <c r="H444">
        <f t="shared" si="53"/>
        <v>1</v>
      </c>
      <c r="I444" s="4" t="str">
        <f t="shared" si="54"/>
        <v>111</v>
      </c>
      <c r="Q444" s="1">
        <v>0.62975945363552877</v>
      </c>
      <c r="R444" s="1">
        <v>6.7696229433367616E-2</v>
      </c>
    </row>
    <row r="445" spans="1:18" x14ac:dyDescent="0.35">
      <c r="A445" t="s">
        <v>447</v>
      </c>
      <c r="B445" s="2">
        <f t="shared" si="49"/>
        <v>45662</v>
      </c>
      <c r="C445" s="3">
        <f t="shared" si="55"/>
        <v>-45662</v>
      </c>
      <c r="D445">
        <f t="shared" si="50"/>
        <v>1029</v>
      </c>
      <c r="E445">
        <f t="shared" si="51"/>
        <v>34</v>
      </c>
      <c r="F445">
        <f t="shared" si="52"/>
        <v>4</v>
      </c>
      <c r="G445">
        <f t="shared" si="56"/>
        <v>4</v>
      </c>
      <c r="H445">
        <f t="shared" si="53"/>
        <v>4</v>
      </c>
      <c r="I445" s="4" t="str">
        <f t="shared" si="54"/>
        <v>444</v>
      </c>
      <c r="Q445" s="1">
        <v>1.2493075577262536E-2</v>
      </c>
      <c r="R445" s="1">
        <v>0.67735020265932988</v>
      </c>
    </row>
    <row r="446" spans="1:18" x14ac:dyDescent="0.35">
      <c r="A446" t="s">
        <v>448</v>
      </c>
      <c r="B446" s="2">
        <f t="shared" si="49"/>
        <v>45295</v>
      </c>
      <c r="C446" s="3">
        <f t="shared" si="55"/>
        <v>-45295</v>
      </c>
      <c r="D446">
        <f t="shared" si="50"/>
        <v>48</v>
      </c>
      <c r="E446">
        <f t="shared" si="51"/>
        <v>1</v>
      </c>
      <c r="F446">
        <f t="shared" si="52"/>
        <v>1</v>
      </c>
      <c r="G446">
        <f t="shared" si="56"/>
        <v>1</v>
      </c>
      <c r="H446">
        <f t="shared" si="53"/>
        <v>1</v>
      </c>
      <c r="I446" s="4" t="str">
        <f t="shared" si="54"/>
        <v>111</v>
      </c>
      <c r="Q446" s="1">
        <v>0.31747513500573421</v>
      </c>
      <c r="R446" s="1">
        <v>5.7122660032439265E-3</v>
      </c>
    </row>
    <row r="447" spans="1:18" x14ac:dyDescent="0.35">
      <c r="A447" t="s">
        <v>449</v>
      </c>
      <c r="B447" s="2">
        <f t="shared" si="49"/>
        <v>45805</v>
      </c>
      <c r="C447" s="3">
        <f t="shared" si="55"/>
        <v>-45805</v>
      </c>
      <c r="D447">
        <f t="shared" si="50"/>
        <v>1413</v>
      </c>
      <c r="E447">
        <f t="shared" si="51"/>
        <v>47</v>
      </c>
      <c r="F447">
        <f t="shared" si="52"/>
        <v>5</v>
      </c>
      <c r="G447">
        <f t="shared" si="56"/>
        <v>5</v>
      </c>
      <c r="H447">
        <f t="shared" si="53"/>
        <v>5</v>
      </c>
      <c r="I447" s="4" t="str">
        <f t="shared" si="54"/>
        <v>555</v>
      </c>
      <c r="Q447" s="1">
        <v>0.48866786236116022</v>
      </c>
      <c r="R447" s="1">
        <v>0.94023784302375568</v>
      </c>
    </row>
    <row r="448" spans="1:18" x14ac:dyDescent="0.35">
      <c r="A448" t="s">
        <v>450</v>
      </c>
      <c r="B448" s="2">
        <f t="shared" si="49"/>
        <v>45449</v>
      </c>
      <c r="C448" s="3">
        <f t="shared" si="55"/>
        <v>-45449</v>
      </c>
      <c r="D448">
        <f t="shared" si="50"/>
        <v>459</v>
      </c>
      <c r="E448">
        <f t="shared" si="51"/>
        <v>15</v>
      </c>
      <c r="F448">
        <f t="shared" si="52"/>
        <v>2</v>
      </c>
      <c r="G448">
        <f t="shared" si="56"/>
        <v>2</v>
      </c>
      <c r="H448">
        <f t="shared" si="53"/>
        <v>2</v>
      </c>
      <c r="I448" s="4" t="str">
        <f t="shared" si="54"/>
        <v>222</v>
      </c>
      <c r="Q448" s="1">
        <v>0.30856407510708794</v>
      </c>
      <c r="R448" s="1">
        <v>0.2868564990729251</v>
      </c>
    </row>
    <row r="449" spans="1:18" x14ac:dyDescent="0.35">
      <c r="A449" t="s">
        <v>451</v>
      </c>
      <c r="B449" s="2">
        <f t="shared" si="49"/>
        <v>45667</v>
      </c>
      <c r="C449" s="3">
        <f t="shared" si="55"/>
        <v>-45667</v>
      </c>
      <c r="D449">
        <f t="shared" si="50"/>
        <v>1041</v>
      </c>
      <c r="E449">
        <f t="shared" si="51"/>
        <v>35</v>
      </c>
      <c r="F449">
        <f t="shared" si="52"/>
        <v>4</v>
      </c>
      <c r="G449">
        <f t="shared" si="56"/>
        <v>4</v>
      </c>
      <c r="H449">
        <f t="shared" si="53"/>
        <v>4</v>
      </c>
      <c r="I449" s="4" t="str">
        <f t="shared" si="54"/>
        <v>444</v>
      </c>
      <c r="Q449" s="1">
        <v>0.23477585285923153</v>
      </c>
      <c r="R449" s="1">
        <v>0.6859265710352026</v>
      </c>
    </row>
    <row r="450" spans="1:18" x14ac:dyDescent="0.35">
      <c r="A450" t="s">
        <v>452</v>
      </c>
      <c r="B450" s="2">
        <f t="shared" si="49"/>
        <v>45807</v>
      </c>
      <c r="C450" s="3">
        <f t="shared" si="55"/>
        <v>-45807</v>
      </c>
      <c r="D450">
        <f t="shared" si="50"/>
        <v>1418</v>
      </c>
      <c r="E450">
        <f t="shared" si="51"/>
        <v>47</v>
      </c>
      <c r="F450">
        <f t="shared" si="52"/>
        <v>5</v>
      </c>
      <c r="G450">
        <f t="shared" si="56"/>
        <v>5</v>
      </c>
      <c r="H450">
        <f t="shared" si="53"/>
        <v>5</v>
      </c>
      <c r="I450" s="4" t="str">
        <f t="shared" si="54"/>
        <v>555</v>
      </c>
      <c r="Q450" s="1">
        <v>7.9315832823091958E-2</v>
      </c>
      <c r="R450" s="1">
        <v>0.94399059772964811</v>
      </c>
    </row>
    <row r="451" spans="1:18" x14ac:dyDescent="0.35">
      <c r="A451" t="s">
        <v>453</v>
      </c>
      <c r="B451" s="2">
        <f t="shared" ref="B451:B514" si="57">ROUND(R451*(45838-45292)+45292,0)</f>
        <v>45508</v>
      </c>
      <c r="C451" s="3">
        <f t="shared" si="55"/>
        <v>-45508</v>
      </c>
      <c r="D451">
        <f t="shared" ref="D451:D514" si="58">ROUND((R451)*(1500-40)+40,0)</f>
        <v>619</v>
      </c>
      <c r="E451">
        <f t="shared" ref="E451:E514" si="59">ROUND((R451)*(50-1)+1,0)</f>
        <v>20</v>
      </c>
      <c r="F451">
        <f t="shared" ref="F451:F514" si="60">IF(C451&lt;=$M$4,5,IF(C451&lt;=$M$9,4,IF(C451&lt;=$M$5,3,IF(C451&lt;=$M$6,2,1))))</f>
        <v>2</v>
      </c>
      <c r="G451">
        <f t="shared" si="56"/>
        <v>2</v>
      </c>
      <c r="H451">
        <f t="shared" ref="H451:H514" si="61">IF(D451&lt;=$M$24,1,IF(D451&lt;=$M$25,2,IF(D451&lt;=$M$29,3,IF(D451&lt;=$M$26,4,5))))</f>
        <v>2</v>
      </c>
      <c r="I451" s="4" t="str">
        <f t="shared" ref="I451:I514" si="62">CONCATENATE(F451,G451,H451)</f>
        <v>222</v>
      </c>
      <c r="Q451" s="1">
        <v>0.70607193189208939</v>
      </c>
      <c r="R451" s="1">
        <v>0.39636484870629629</v>
      </c>
    </row>
    <row r="452" spans="1:18" x14ac:dyDescent="0.35">
      <c r="A452" t="s">
        <v>454</v>
      </c>
      <c r="B452" s="2">
        <f t="shared" si="57"/>
        <v>45399</v>
      </c>
      <c r="C452" s="3">
        <f t="shared" ref="C452:C515" si="63">$S$4-B452</f>
        <v>-45399</v>
      </c>
      <c r="D452">
        <f t="shared" si="58"/>
        <v>327</v>
      </c>
      <c r="E452">
        <f t="shared" si="59"/>
        <v>11</v>
      </c>
      <c r="F452">
        <f t="shared" si="60"/>
        <v>1</v>
      </c>
      <c r="G452">
        <f t="shared" ref="G452:G515" si="64">IF(E452&lt;=$M$14,1,IF(E452&lt;=$M$15,2,IF(E452&lt;=$M$19,3,IF(E452&lt;=$M$16,4,5))))</f>
        <v>1</v>
      </c>
      <c r="H452">
        <f t="shared" si="61"/>
        <v>1</v>
      </c>
      <c r="I452" s="4" t="str">
        <f t="shared" si="62"/>
        <v>111</v>
      </c>
      <c r="Q452" s="1">
        <v>0.40636599717780075</v>
      </c>
      <c r="R452" s="1">
        <v>0.19650253052394284</v>
      </c>
    </row>
    <row r="453" spans="1:18" x14ac:dyDescent="0.35">
      <c r="A453" t="s">
        <v>455</v>
      </c>
      <c r="B453" s="2">
        <f t="shared" si="57"/>
        <v>45792</v>
      </c>
      <c r="C453" s="3">
        <f t="shared" si="63"/>
        <v>-45792</v>
      </c>
      <c r="D453">
        <f t="shared" si="58"/>
        <v>1378</v>
      </c>
      <c r="E453">
        <f t="shared" si="59"/>
        <v>46</v>
      </c>
      <c r="F453">
        <f t="shared" si="60"/>
        <v>5</v>
      </c>
      <c r="G453">
        <f t="shared" si="64"/>
        <v>5</v>
      </c>
      <c r="H453">
        <f t="shared" si="61"/>
        <v>5</v>
      </c>
      <c r="I453" s="4" t="str">
        <f t="shared" si="62"/>
        <v>555</v>
      </c>
      <c r="Q453" s="1">
        <v>0.97438803503028182</v>
      </c>
      <c r="R453" s="1">
        <v>0.9166324104652932</v>
      </c>
    </row>
    <row r="454" spans="1:18" x14ac:dyDescent="0.35">
      <c r="A454" t="s">
        <v>456</v>
      </c>
      <c r="B454" s="2">
        <f t="shared" si="57"/>
        <v>45300</v>
      </c>
      <c r="C454" s="3">
        <f t="shared" si="63"/>
        <v>-45300</v>
      </c>
      <c r="D454">
        <f t="shared" si="58"/>
        <v>62</v>
      </c>
      <c r="E454">
        <f t="shared" si="59"/>
        <v>2</v>
      </c>
      <c r="F454">
        <f t="shared" si="60"/>
        <v>1</v>
      </c>
      <c r="G454">
        <f t="shared" si="64"/>
        <v>1</v>
      </c>
      <c r="H454">
        <f t="shared" si="61"/>
        <v>1</v>
      </c>
      <c r="I454" s="4" t="str">
        <f t="shared" si="62"/>
        <v>111</v>
      </c>
      <c r="Q454" s="1">
        <v>0.96574978099479381</v>
      </c>
      <c r="R454" s="1">
        <v>1.5061802354772502E-2</v>
      </c>
    </row>
    <row r="455" spans="1:18" x14ac:dyDescent="0.35">
      <c r="A455" t="s">
        <v>457</v>
      </c>
      <c r="B455" s="2">
        <f t="shared" si="57"/>
        <v>45757</v>
      </c>
      <c r="C455" s="3">
        <f t="shared" si="63"/>
        <v>-45757</v>
      </c>
      <c r="D455">
        <f t="shared" si="58"/>
        <v>1282</v>
      </c>
      <c r="E455">
        <f t="shared" si="59"/>
        <v>43</v>
      </c>
      <c r="F455">
        <f t="shared" si="60"/>
        <v>5</v>
      </c>
      <c r="G455">
        <f t="shared" si="64"/>
        <v>5</v>
      </c>
      <c r="H455">
        <f t="shared" si="61"/>
        <v>5</v>
      </c>
      <c r="I455" s="4" t="str">
        <f t="shared" si="62"/>
        <v>555</v>
      </c>
      <c r="Q455" s="1">
        <v>0.95280248010274438</v>
      </c>
      <c r="R455" s="1">
        <v>0.85082910104306153</v>
      </c>
    </row>
    <row r="456" spans="1:18" x14ac:dyDescent="0.35">
      <c r="A456" t="s">
        <v>458</v>
      </c>
      <c r="B456" s="2">
        <f t="shared" si="57"/>
        <v>45755</v>
      </c>
      <c r="C456" s="3">
        <f t="shared" si="63"/>
        <v>-45755</v>
      </c>
      <c r="D456">
        <f t="shared" si="58"/>
        <v>1277</v>
      </c>
      <c r="E456">
        <f t="shared" si="59"/>
        <v>43</v>
      </c>
      <c r="F456">
        <f t="shared" si="60"/>
        <v>5</v>
      </c>
      <c r="G456">
        <f t="shared" si="64"/>
        <v>5</v>
      </c>
      <c r="H456">
        <f t="shared" si="61"/>
        <v>5</v>
      </c>
      <c r="I456" s="4" t="str">
        <f t="shared" si="62"/>
        <v>555</v>
      </c>
      <c r="Q456" s="1">
        <v>0.26146569196766689</v>
      </c>
      <c r="R456" s="1">
        <v>0.84711323780552805</v>
      </c>
    </row>
    <row r="457" spans="1:18" x14ac:dyDescent="0.35">
      <c r="A457" t="s">
        <v>459</v>
      </c>
      <c r="B457" s="2">
        <f t="shared" si="57"/>
        <v>45549</v>
      </c>
      <c r="C457" s="3">
        <f t="shared" si="63"/>
        <v>-45549</v>
      </c>
      <c r="D457">
        <f t="shared" si="58"/>
        <v>728</v>
      </c>
      <c r="E457">
        <f t="shared" si="59"/>
        <v>24</v>
      </c>
      <c r="F457">
        <f t="shared" si="60"/>
        <v>2</v>
      </c>
      <c r="G457">
        <f t="shared" si="64"/>
        <v>2</v>
      </c>
      <c r="H457">
        <f t="shared" si="61"/>
        <v>2</v>
      </c>
      <c r="I457" s="4" t="str">
        <f t="shared" si="62"/>
        <v>222</v>
      </c>
      <c r="Q457" s="1">
        <v>0.49252639313366675</v>
      </c>
      <c r="R457" s="1">
        <v>0.47141591724089726</v>
      </c>
    </row>
    <row r="458" spans="1:18" x14ac:dyDescent="0.35">
      <c r="A458" t="s">
        <v>460</v>
      </c>
      <c r="B458" s="2">
        <f t="shared" si="57"/>
        <v>45353</v>
      </c>
      <c r="C458" s="3">
        <f t="shared" si="63"/>
        <v>-45353</v>
      </c>
      <c r="D458">
        <f t="shared" si="58"/>
        <v>203</v>
      </c>
      <c r="E458">
        <f t="shared" si="59"/>
        <v>6</v>
      </c>
      <c r="F458">
        <f t="shared" si="60"/>
        <v>1</v>
      </c>
      <c r="G458">
        <f t="shared" si="64"/>
        <v>1</v>
      </c>
      <c r="H458">
        <f t="shared" si="61"/>
        <v>1</v>
      </c>
      <c r="I458" s="4" t="str">
        <f t="shared" si="62"/>
        <v>111</v>
      </c>
      <c r="Q458" s="1">
        <v>0.18634725567838006</v>
      </c>
      <c r="R458" s="1">
        <v>0.11195980508958703</v>
      </c>
    </row>
    <row r="459" spans="1:18" x14ac:dyDescent="0.35">
      <c r="A459" t="s">
        <v>461</v>
      </c>
      <c r="B459" s="2">
        <f t="shared" si="57"/>
        <v>45577</v>
      </c>
      <c r="C459" s="3">
        <f t="shared" si="63"/>
        <v>-45577</v>
      </c>
      <c r="D459">
        <f t="shared" si="58"/>
        <v>801</v>
      </c>
      <c r="E459">
        <f t="shared" si="59"/>
        <v>27</v>
      </c>
      <c r="F459">
        <f t="shared" si="60"/>
        <v>4</v>
      </c>
      <c r="G459">
        <f t="shared" si="64"/>
        <v>4</v>
      </c>
      <c r="H459">
        <f t="shared" si="61"/>
        <v>4</v>
      </c>
      <c r="I459" s="4" t="str">
        <f t="shared" si="62"/>
        <v>444</v>
      </c>
      <c r="Q459" s="1">
        <v>0.69310368051705207</v>
      </c>
      <c r="R459" s="1">
        <v>0.52155139814639018</v>
      </c>
    </row>
    <row r="460" spans="1:18" x14ac:dyDescent="0.35">
      <c r="A460" t="s">
        <v>462</v>
      </c>
      <c r="B460" s="2">
        <f t="shared" si="57"/>
        <v>45457</v>
      </c>
      <c r="C460" s="3">
        <f t="shared" si="63"/>
        <v>-45457</v>
      </c>
      <c r="D460">
        <f t="shared" si="58"/>
        <v>481</v>
      </c>
      <c r="E460">
        <f t="shared" si="59"/>
        <v>16</v>
      </c>
      <c r="F460">
        <f t="shared" si="60"/>
        <v>2</v>
      </c>
      <c r="G460">
        <f t="shared" si="64"/>
        <v>2</v>
      </c>
      <c r="H460">
        <f t="shared" si="61"/>
        <v>2</v>
      </c>
      <c r="I460" s="4" t="str">
        <f t="shared" si="62"/>
        <v>222</v>
      </c>
      <c r="Q460" s="1">
        <v>0.29080099894124178</v>
      </c>
      <c r="R460" s="1">
        <v>0.30189608176346916</v>
      </c>
    </row>
    <row r="461" spans="1:18" x14ac:dyDescent="0.35">
      <c r="A461" t="s">
        <v>463</v>
      </c>
      <c r="B461" s="2">
        <f t="shared" si="57"/>
        <v>45485</v>
      </c>
      <c r="C461" s="3">
        <f t="shared" si="63"/>
        <v>-45485</v>
      </c>
      <c r="D461">
        <f t="shared" si="58"/>
        <v>557</v>
      </c>
      <c r="E461">
        <f t="shared" si="59"/>
        <v>18</v>
      </c>
      <c r="F461">
        <f t="shared" si="60"/>
        <v>2</v>
      </c>
      <c r="G461">
        <f t="shared" si="64"/>
        <v>2</v>
      </c>
      <c r="H461">
        <f t="shared" si="61"/>
        <v>2</v>
      </c>
      <c r="I461" s="4" t="str">
        <f t="shared" si="62"/>
        <v>222</v>
      </c>
      <c r="Q461" s="1">
        <v>0.75501497665323103</v>
      </c>
      <c r="R461" s="1">
        <v>0.35431172137736855</v>
      </c>
    </row>
    <row r="462" spans="1:18" x14ac:dyDescent="0.35">
      <c r="A462" t="s">
        <v>464</v>
      </c>
      <c r="B462" s="2">
        <f t="shared" si="57"/>
        <v>45814</v>
      </c>
      <c r="C462" s="3">
        <f t="shared" si="63"/>
        <v>-45814</v>
      </c>
      <c r="D462">
        <f t="shared" si="58"/>
        <v>1436</v>
      </c>
      <c r="E462">
        <f t="shared" si="59"/>
        <v>48</v>
      </c>
      <c r="F462">
        <f t="shared" si="60"/>
        <v>5</v>
      </c>
      <c r="G462">
        <f t="shared" si="64"/>
        <v>5</v>
      </c>
      <c r="H462">
        <f t="shared" si="61"/>
        <v>5</v>
      </c>
      <c r="I462" s="4" t="str">
        <f t="shared" si="62"/>
        <v>555</v>
      </c>
      <c r="Q462" s="1">
        <v>5.8663405537639379E-2</v>
      </c>
      <c r="R462" s="1">
        <v>0.95610873608137925</v>
      </c>
    </row>
    <row r="463" spans="1:18" x14ac:dyDescent="0.35">
      <c r="A463" t="s">
        <v>465</v>
      </c>
      <c r="B463" s="2">
        <f t="shared" si="57"/>
        <v>45403</v>
      </c>
      <c r="C463" s="3">
        <f t="shared" si="63"/>
        <v>-45403</v>
      </c>
      <c r="D463">
        <f t="shared" si="58"/>
        <v>336</v>
      </c>
      <c r="E463">
        <f t="shared" si="59"/>
        <v>11</v>
      </c>
      <c r="F463">
        <f t="shared" si="60"/>
        <v>1</v>
      </c>
      <c r="G463">
        <f t="shared" si="64"/>
        <v>1</v>
      </c>
      <c r="H463">
        <f t="shared" si="61"/>
        <v>1</v>
      </c>
      <c r="I463" s="4" t="str">
        <f t="shared" si="62"/>
        <v>111</v>
      </c>
      <c r="Q463" s="1">
        <v>0.33664423931520426</v>
      </c>
      <c r="R463" s="1">
        <v>0.20298529006691668</v>
      </c>
    </row>
    <row r="464" spans="1:18" x14ac:dyDescent="0.35">
      <c r="A464" t="s">
        <v>466</v>
      </c>
      <c r="B464" s="2">
        <f t="shared" si="57"/>
        <v>45749</v>
      </c>
      <c r="C464" s="3">
        <f t="shared" si="63"/>
        <v>-45749</v>
      </c>
      <c r="D464">
        <f t="shared" si="58"/>
        <v>1263</v>
      </c>
      <c r="E464">
        <f t="shared" si="59"/>
        <v>42</v>
      </c>
      <c r="F464">
        <f t="shared" si="60"/>
        <v>5</v>
      </c>
      <c r="G464">
        <f t="shared" si="64"/>
        <v>5</v>
      </c>
      <c r="H464">
        <f t="shared" si="61"/>
        <v>5</v>
      </c>
      <c r="I464" s="4" t="str">
        <f t="shared" si="62"/>
        <v>555</v>
      </c>
      <c r="Q464" s="1">
        <v>0.44018377458046409</v>
      </c>
      <c r="R464" s="1">
        <v>0.83750198742131443</v>
      </c>
    </row>
    <row r="465" spans="1:18" x14ac:dyDescent="0.35">
      <c r="A465" t="s">
        <v>467</v>
      </c>
      <c r="B465" s="2">
        <f t="shared" si="57"/>
        <v>45394</v>
      </c>
      <c r="C465" s="3">
        <f t="shared" si="63"/>
        <v>-45394</v>
      </c>
      <c r="D465">
        <f t="shared" si="58"/>
        <v>314</v>
      </c>
      <c r="E465">
        <f t="shared" si="59"/>
        <v>10</v>
      </c>
      <c r="F465">
        <f t="shared" si="60"/>
        <v>1</v>
      </c>
      <c r="G465">
        <f t="shared" si="64"/>
        <v>1</v>
      </c>
      <c r="H465">
        <f t="shared" si="61"/>
        <v>1</v>
      </c>
      <c r="I465" s="4" t="str">
        <f t="shared" si="62"/>
        <v>111</v>
      </c>
      <c r="Q465" s="1">
        <v>0.18651655291853686</v>
      </c>
      <c r="R465" s="1">
        <v>0.18754931299910271</v>
      </c>
    </row>
    <row r="466" spans="1:18" x14ac:dyDescent="0.35">
      <c r="A466" t="s">
        <v>468</v>
      </c>
      <c r="B466" s="2">
        <f t="shared" si="57"/>
        <v>45711</v>
      </c>
      <c r="C466" s="3">
        <f t="shared" si="63"/>
        <v>-45711</v>
      </c>
      <c r="D466">
        <f t="shared" si="58"/>
        <v>1161</v>
      </c>
      <c r="E466">
        <f t="shared" si="59"/>
        <v>39</v>
      </c>
      <c r="F466">
        <f t="shared" si="60"/>
        <v>5</v>
      </c>
      <c r="G466">
        <f t="shared" si="64"/>
        <v>4</v>
      </c>
      <c r="H466">
        <f t="shared" si="61"/>
        <v>5</v>
      </c>
      <c r="I466" s="4" t="str">
        <f t="shared" si="62"/>
        <v>545</v>
      </c>
      <c r="Q466" s="1">
        <v>0.99494995694567101</v>
      </c>
      <c r="R466" s="1">
        <v>0.76796737596286213</v>
      </c>
    </row>
    <row r="467" spans="1:18" x14ac:dyDescent="0.35">
      <c r="A467" t="s">
        <v>469</v>
      </c>
      <c r="B467" s="2">
        <f t="shared" si="57"/>
        <v>45786</v>
      </c>
      <c r="C467" s="3">
        <f t="shared" si="63"/>
        <v>-45786</v>
      </c>
      <c r="D467">
        <f t="shared" si="58"/>
        <v>1361</v>
      </c>
      <c r="E467">
        <f t="shared" si="59"/>
        <v>45</v>
      </c>
      <c r="F467">
        <f t="shared" si="60"/>
        <v>5</v>
      </c>
      <c r="G467">
        <f t="shared" si="64"/>
        <v>5</v>
      </c>
      <c r="H467">
        <f t="shared" si="61"/>
        <v>5</v>
      </c>
      <c r="I467" s="4" t="str">
        <f t="shared" si="62"/>
        <v>555</v>
      </c>
      <c r="Q467" s="1">
        <v>0.50902690328958833</v>
      </c>
      <c r="R467" s="1">
        <v>0.90511858009966129</v>
      </c>
    </row>
    <row r="468" spans="1:18" x14ac:dyDescent="0.35">
      <c r="A468" t="s">
        <v>470</v>
      </c>
      <c r="B468" s="2">
        <f t="shared" si="57"/>
        <v>45497</v>
      </c>
      <c r="C468" s="3">
        <f t="shared" si="63"/>
        <v>-45497</v>
      </c>
      <c r="D468">
        <f t="shared" si="58"/>
        <v>588</v>
      </c>
      <c r="E468">
        <f t="shared" si="59"/>
        <v>19</v>
      </c>
      <c r="F468">
        <f t="shared" si="60"/>
        <v>2</v>
      </c>
      <c r="G468">
        <f t="shared" si="64"/>
        <v>2</v>
      </c>
      <c r="H468">
        <f t="shared" si="61"/>
        <v>2</v>
      </c>
      <c r="I468" s="4" t="str">
        <f t="shared" si="62"/>
        <v>222</v>
      </c>
      <c r="Q468" s="1">
        <v>0.76271132490472626</v>
      </c>
      <c r="R468" s="1">
        <v>0.37539430174125932</v>
      </c>
    </row>
    <row r="469" spans="1:18" x14ac:dyDescent="0.35">
      <c r="A469" t="s">
        <v>471</v>
      </c>
      <c r="B469" s="2">
        <f t="shared" si="57"/>
        <v>45729</v>
      </c>
      <c r="C469" s="3">
        <f t="shared" si="63"/>
        <v>-45729</v>
      </c>
      <c r="D469">
        <f t="shared" si="58"/>
        <v>1210</v>
      </c>
      <c r="E469">
        <f t="shared" si="59"/>
        <v>40</v>
      </c>
      <c r="F469">
        <f t="shared" si="60"/>
        <v>5</v>
      </c>
      <c r="G469">
        <f t="shared" si="64"/>
        <v>5</v>
      </c>
      <c r="H469">
        <f t="shared" si="61"/>
        <v>5</v>
      </c>
      <c r="I469" s="4" t="str">
        <f t="shared" si="62"/>
        <v>555</v>
      </c>
      <c r="Q469" s="1">
        <v>2.92975380488113E-2</v>
      </c>
      <c r="R469" s="1">
        <v>0.80126720968222021</v>
      </c>
    </row>
    <row r="470" spans="1:18" x14ac:dyDescent="0.35">
      <c r="A470" t="s">
        <v>472</v>
      </c>
      <c r="B470" s="2">
        <f t="shared" si="57"/>
        <v>45297</v>
      </c>
      <c r="C470" s="3">
        <f t="shared" si="63"/>
        <v>-45297</v>
      </c>
      <c r="D470">
        <f t="shared" si="58"/>
        <v>52</v>
      </c>
      <c r="E470">
        <f t="shared" si="59"/>
        <v>1</v>
      </c>
      <c r="F470">
        <f t="shared" si="60"/>
        <v>1</v>
      </c>
      <c r="G470">
        <f t="shared" si="64"/>
        <v>1</v>
      </c>
      <c r="H470">
        <f t="shared" si="61"/>
        <v>1</v>
      </c>
      <c r="I470" s="4" t="str">
        <f t="shared" si="62"/>
        <v>111</v>
      </c>
      <c r="Q470" s="1">
        <v>0.90862243290392819</v>
      </c>
      <c r="R470" s="1">
        <v>8.289510165728986E-3</v>
      </c>
    </row>
    <row r="471" spans="1:18" x14ac:dyDescent="0.35">
      <c r="A471" t="s">
        <v>473</v>
      </c>
      <c r="B471" s="2">
        <f t="shared" si="57"/>
        <v>45563</v>
      </c>
      <c r="C471" s="3">
        <f t="shared" si="63"/>
        <v>-45563</v>
      </c>
      <c r="D471">
        <f t="shared" si="58"/>
        <v>764</v>
      </c>
      <c r="E471">
        <f t="shared" si="59"/>
        <v>25</v>
      </c>
      <c r="F471">
        <f t="shared" si="60"/>
        <v>3</v>
      </c>
      <c r="G471">
        <f t="shared" si="64"/>
        <v>2</v>
      </c>
      <c r="H471">
        <f t="shared" si="61"/>
        <v>2</v>
      </c>
      <c r="I471" s="4" t="str">
        <f t="shared" si="62"/>
        <v>322</v>
      </c>
      <c r="Q471" s="1">
        <v>0.94592999516292309</v>
      </c>
      <c r="R471" s="1">
        <v>0.49575205123463395</v>
      </c>
    </row>
    <row r="472" spans="1:18" x14ac:dyDescent="0.35">
      <c r="A472" t="s">
        <v>474</v>
      </c>
      <c r="B472" s="2">
        <f t="shared" si="57"/>
        <v>45647</v>
      </c>
      <c r="C472" s="3">
        <f t="shared" si="63"/>
        <v>-45647</v>
      </c>
      <c r="D472">
        <f t="shared" si="58"/>
        <v>989</v>
      </c>
      <c r="E472">
        <f t="shared" si="59"/>
        <v>33</v>
      </c>
      <c r="F472">
        <f t="shared" si="60"/>
        <v>4</v>
      </c>
      <c r="G472">
        <f t="shared" si="64"/>
        <v>4</v>
      </c>
      <c r="H472">
        <f t="shared" si="61"/>
        <v>4</v>
      </c>
      <c r="I472" s="4" t="str">
        <f t="shared" si="62"/>
        <v>444</v>
      </c>
      <c r="Q472" s="1">
        <v>0.66280305983702048</v>
      </c>
      <c r="R472" s="1">
        <v>0.65015080473819487</v>
      </c>
    </row>
    <row r="473" spans="1:18" x14ac:dyDescent="0.35">
      <c r="A473" t="s">
        <v>475</v>
      </c>
      <c r="B473" s="2">
        <f t="shared" si="57"/>
        <v>45350</v>
      </c>
      <c r="C473" s="3">
        <f t="shared" si="63"/>
        <v>-45350</v>
      </c>
      <c r="D473">
        <f t="shared" si="58"/>
        <v>195</v>
      </c>
      <c r="E473">
        <f t="shared" si="59"/>
        <v>6</v>
      </c>
      <c r="F473">
        <f t="shared" si="60"/>
        <v>1</v>
      </c>
      <c r="G473">
        <f t="shared" si="64"/>
        <v>1</v>
      </c>
      <c r="H473">
        <f t="shared" si="61"/>
        <v>1</v>
      </c>
      <c r="I473" s="4" t="str">
        <f t="shared" si="62"/>
        <v>111</v>
      </c>
      <c r="Q473" s="1">
        <v>0.32493439711157723</v>
      </c>
      <c r="R473" s="1">
        <v>0.10582507990624535</v>
      </c>
    </row>
    <row r="474" spans="1:18" x14ac:dyDescent="0.35">
      <c r="A474" t="s">
        <v>476</v>
      </c>
      <c r="B474" s="2">
        <f t="shared" si="57"/>
        <v>45536</v>
      </c>
      <c r="C474" s="3">
        <f t="shared" si="63"/>
        <v>-45536</v>
      </c>
      <c r="D474">
        <f t="shared" si="58"/>
        <v>692</v>
      </c>
      <c r="E474">
        <f t="shared" si="59"/>
        <v>23</v>
      </c>
      <c r="F474">
        <f t="shared" si="60"/>
        <v>2</v>
      </c>
      <c r="G474">
        <f t="shared" si="64"/>
        <v>2</v>
      </c>
      <c r="H474">
        <f t="shared" si="61"/>
        <v>2</v>
      </c>
      <c r="I474" s="4" t="str">
        <f t="shared" si="62"/>
        <v>222</v>
      </c>
      <c r="Q474" s="1">
        <v>0.89208868315662671</v>
      </c>
      <c r="R474" s="1">
        <v>0.44627135325157496</v>
      </c>
    </row>
    <row r="475" spans="1:18" x14ac:dyDescent="0.35">
      <c r="A475" t="s">
        <v>477</v>
      </c>
      <c r="B475" s="2">
        <f t="shared" si="57"/>
        <v>45784</v>
      </c>
      <c r="C475" s="3">
        <f t="shared" si="63"/>
        <v>-45784</v>
      </c>
      <c r="D475">
        <f t="shared" si="58"/>
        <v>1356</v>
      </c>
      <c r="E475">
        <f t="shared" si="59"/>
        <v>45</v>
      </c>
      <c r="F475">
        <f t="shared" si="60"/>
        <v>5</v>
      </c>
      <c r="G475">
        <f t="shared" si="64"/>
        <v>5</v>
      </c>
      <c r="H475">
        <f t="shared" si="61"/>
        <v>5</v>
      </c>
      <c r="I475" s="4" t="str">
        <f t="shared" si="62"/>
        <v>555</v>
      </c>
      <c r="Q475" s="1">
        <v>0.14307177435048568</v>
      </c>
      <c r="R475" s="1">
        <v>0.90134443818402687</v>
      </c>
    </row>
    <row r="476" spans="1:18" x14ac:dyDescent="0.35">
      <c r="A476" t="s">
        <v>478</v>
      </c>
      <c r="B476" s="2">
        <f t="shared" si="57"/>
        <v>45661</v>
      </c>
      <c r="C476" s="3">
        <f t="shared" si="63"/>
        <v>-45661</v>
      </c>
      <c r="D476">
        <f t="shared" si="58"/>
        <v>1026</v>
      </c>
      <c r="E476">
        <f t="shared" si="59"/>
        <v>34</v>
      </c>
      <c r="F476">
        <f t="shared" si="60"/>
        <v>4</v>
      </c>
      <c r="G476">
        <f t="shared" si="64"/>
        <v>4</v>
      </c>
      <c r="H476">
        <f t="shared" si="61"/>
        <v>4</v>
      </c>
      <c r="I476" s="4" t="str">
        <f t="shared" si="62"/>
        <v>444</v>
      </c>
      <c r="Q476" s="1">
        <v>0.32711700432198776</v>
      </c>
      <c r="R476" s="1">
        <v>0.67546784480274269</v>
      </c>
    </row>
    <row r="477" spans="1:18" x14ac:dyDescent="0.35">
      <c r="A477" t="s">
        <v>479</v>
      </c>
      <c r="B477" s="2">
        <f t="shared" si="57"/>
        <v>45358</v>
      </c>
      <c r="C477" s="3">
        <f t="shared" si="63"/>
        <v>-45358</v>
      </c>
      <c r="D477">
        <f t="shared" si="58"/>
        <v>215</v>
      </c>
      <c r="E477">
        <f t="shared" si="59"/>
        <v>7</v>
      </c>
      <c r="F477">
        <f t="shared" si="60"/>
        <v>1</v>
      </c>
      <c r="G477">
        <f t="shared" si="64"/>
        <v>1</v>
      </c>
      <c r="H477">
        <f t="shared" si="61"/>
        <v>1</v>
      </c>
      <c r="I477" s="4" t="str">
        <f t="shared" si="62"/>
        <v>111</v>
      </c>
      <c r="Q477" s="1">
        <v>0.15021375672414283</v>
      </c>
      <c r="R477" s="1">
        <v>0.12015176230919733</v>
      </c>
    </row>
    <row r="478" spans="1:18" x14ac:dyDescent="0.35">
      <c r="A478" t="s">
        <v>480</v>
      </c>
      <c r="B478" s="2">
        <f t="shared" si="57"/>
        <v>45316</v>
      </c>
      <c r="C478" s="3">
        <f t="shared" si="63"/>
        <v>-45316</v>
      </c>
      <c r="D478">
        <f t="shared" si="58"/>
        <v>104</v>
      </c>
      <c r="E478">
        <f t="shared" si="59"/>
        <v>3</v>
      </c>
      <c r="F478">
        <f t="shared" si="60"/>
        <v>1</v>
      </c>
      <c r="G478">
        <f t="shared" si="64"/>
        <v>1</v>
      </c>
      <c r="H478">
        <f t="shared" si="61"/>
        <v>1</v>
      </c>
      <c r="I478" s="4" t="str">
        <f t="shared" si="62"/>
        <v>111</v>
      </c>
      <c r="Q478" s="1">
        <v>0.94818406765836538</v>
      </c>
      <c r="R478" s="1">
        <v>4.3968478738159122E-2</v>
      </c>
    </row>
    <row r="479" spans="1:18" x14ac:dyDescent="0.35">
      <c r="A479" t="s">
        <v>481</v>
      </c>
      <c r="B479" s="2">
        <f t="shared" si="57"/>
        <v>45725</v>
      </c>
      <c r="C479" s="3">
        <f t="shared" si="63"/>
        <v>-45725</v>
      </c>
      <c r="D479">
        <f t="shared" si="58"/>
        <v>1198</v>
      </c>
      <c r="E479">
        <f t="shared" si="59"/>
        <v>40</v>
      </c>
      <c r="F479">
        <f t="shared" si="60"/>
        <v>5</v>
      </c>
      <c r="G479">
        <f t="shared" si="64"/>
        <v>5</v>
      </c>
      <c r="H479">
        <f t="shared" si="61"/>
        <v>5</v>
      </c>
      <c r="I479" s="4" t="str">
        <f t="shared" si="62"/>
        <v>555</v>
      </c>
      <c r="Q479" s="1">
        <v>0.70522230089495286</v>
      </c>
      <c r="R479" s="1">
        <v>0.79284503972229414</v>
      </c>
    </row>
    <row r="480" spans="1:18" x14ac:dyDescent="0.35">
      <c r="A480" t="s">
        <v>482</v>
      </c>
      <c r="B480" s="2">
        <f t="shared" si="57"/>
        <v>45403</v>
      </c>
      <c r="C480" s="3">
        <f t="shared" si="63"/>
        <v>-45403</v>
      </c>
      <c r="D480">
        <f t="shared" si="58"/>
        <v>337</v>
      </c>
      <c r="E480">
        <f t="shared" si="59"/>
        <v>11</v>
      </c>
      <c r="F480">
        <f t="shared" si="60"/>
        <v>1</v>
      </c>
      <c r="G480">
        <f t="shared" si="64"/>
        <v>1</v>
      </c>
      <c r="H480">
        <f t="shared" si="61"/>
        <v>1</v>
      </c>
      <c r="I480" s="4" t="str">
        <f t="shared" si="62"/>
        <v>111</v>
      </c>
      <c r="Q480" s="1">
        <v>0.88739104236587474</v>
      </c>
      <c r="R480" s="1">
        <v>0.20370279608846142</v>
      </c>
    </row>
    <row r="481" spans="1:18" x14ac:dyDescent="0.35">
      <c r="A481" t="s">
        <v>483</v>
      </c>
      <c r="B481" s="2">
        <f t="shared" si="57"/>
        <v>45521</v>
      </c>
      <c r="C481" s="3">
        <f t="shared" si="63"/>
        <v>-45521</v>
      </c>
      <c r="D481">
        <f t="shared" si="58"/>
        <v>653</v>
      </c>
      <c r="E481">
        <f t="shared" si="59"/>
        <v>22</v>
      </c>
      <c r="F481">
        <f t="shared" si="60"/>
        <v>2</v>
      </c>
      <c r="G481">
        <f t="shared" si="64"/>
        <v>2</v>
      </c>
      <c r="H481">
        <f t="shared" si="61"/>
        <v>2</v>
      </c>
      <c r="I481" s="4" t="str">
        <f t="shared" si="62"/>
        <v>222</v>
      </c>
      <c r="Q481" s="1">
        <v>9.8739562165998107E-2</v>
      </c>
      <c r="R481" s="1">
        <v>0.41989296034864831</v>
      </c>
    </row>
    <row r="482" spans="1:18" x14ac:dyDescent="0.35">
      <c r="A482" t="s">
        <v>484</v>
      </c>
      <c r="B482" s="2">
        <f t="shared" si="57"/>
        <v>45371</v>
      </c>
      <c r="C482" s="3">
        <f t="shared" si="63"/>
        <v>-45371</v>
      </c>
      <c r="D482">
        <f t="shared" si="58"/>
        <v>250</v>
      </c>
      <c r="E482">
        <f t="shared" si="59"/>
        <v>8</v>
      </c>
      <c r="F482">
        <f t="shared" si="60"/>
        <v>1</v>
      </c>
      <c r="G482">
        <f t="shared" si="64"/>
        <v>1</v>
      </c>
      <c r="H482">
        <f t="shared" si="61"/>
        <v>1</v>
      </c>
      <c r="I482" s="4" t="str">
        <f t="shared" si="62"/>
        <v>111</v>
      </c>
      <c r="Q482" s="1">
        <v>0.1970792612996598</v>
      </c>
      <c r="R482" s="1">
        <v>0.14386283976260261</v>
      </c>
    </row>
    <row r="483" spans="1:18" x14ac:dyDescent="0.35">
      <c r="A483" t="s">
        <v>485</v>
      </c>
      <c r="B483" s="2">
        <f t="shared" si="57"/>
        <v>45503</v>
      </c>
      <c r="C483" s="3">
        <f t="shared" si="63"/>
        <v>-45503</v>
      </c>
      <c r="D483">
        <f t="shared" si="58"/>
        <v>604</v>
      </c>
      <c r="E483">
        <f t="shared" si="59"/>
        <v>20</v>
      </c>
      <c r="F483">
        <f t="shared" si="60"/>
        <v>2</v>
      </c>
      <c r="G483">
        <f t="shared" si="64"/>
        <v>2</v>
      </c>
      <c r="H483">
        <f t="shared" si="61"/>
        <v>2</v>
      </c>
      <c r="I483" s="4" t="str">
        <f t="shared" si="62"/>
        <v>222</v>
      </c>
      <c r="Q483" s="1">
        <v>0.15752147146647288</v>
      </c>
      <c r="R483" s="1">
        <v>0.38616417060311636</v>
      </c>
    </row>
    <row r="484" spans="1:18" x14ac:dyDescent="0.35">
      <c r="A484" t="s">
        <v>486</v>
      </c>
      <c r="B484" s="2">
        <f t="shared" si="57"/>
        <v>45540</v>
      </c>
      <c r="C484" s="3">
        <f t="shared" si="63"/>
        <v>-45540</v>
      </c>
      <c r="D484">
        <f t="shared" si="58"/>
        <v>703</v>
      </c>
      <c r="E484">
        <f t="shared" si="59"/>
        <v>23</v>
      </c>
      <c r="F484">
        <f t="shared" si="60"/>
        <v>2</v>
      </c>
      <c r="G484">
        <f t="shared" si="64"/>
        <v>2</v>
      </c>
      <c r="H484">
        <f t="shared" si="61"/>
        <v>2</v>
      </c>
      <c r="I484" s="4" t="str">
        <f t="shared" si="62"/>
        <v>222</v>
      </c>
      <c r="Q484" s="1">
        <v>0.85967511704512045</v>
      </c>
      <c r="R484" s="1">
        <v>0.45411558022195819</v>
      </c>
    </row>
    <row r="485" spans="1:18" x14ac:dyDescent="0.35">
      <c r="A485" t="s">
        <v>487</v>
      </c>
      <c r="B485" s="2">
        <f t="shared" si="57"/>
        <v>45836</v>
      </c>
      <c r="C485" s="3">
        <f t="shared" si="63"/>
        <v>-45836</v>
      </c>
      <c r="D485">
        <f t="shared" si="58"/>
        <v>1495</v>
      </c>
      <c r="E485">
        <f t="shared" si="59"/>
        <v>50</v>
      </c>
      <c r="F485">
        <f t="shared" si="60"/>
        <v>5</v>
      </c>
      <c r="G485">
        <f t="shared" si="64"/>
        <v>5</v>
      </c>
      <c r="H485">
        <f t="shared" si="61"/>
        <v>5</v>
      </c>
      <c r="I485" s="4" t="str">
        <f t="shared" si="62"/>
        <v>555</v>
      </c>
      <c r="Q485" s="1">
        <v>0.31185337838104532</v>
      </c>
      <c r="R485" s="1">
        <v>0.9967063823269664</v>
      </c>
    </row>
    <row r="486" spans="1:18" x14ac:dyDescent="0.35">
      <c r="A486" t="s">
        <v>488</v>
      </c>
      <c r="B486" s="2">
        <f t="shared" si="57"/>
        <v>45701</v>
      </c>
      <c r="C486" s="3">
        <f t="shared" si="63"/>
        <v>-45701</v>
      </c>
      <c r="D486">
        <f t="shared" si="58"/>
        <v>1132</v>
      </c>
      <c r="E486">
        <f t="shared" si="59"/>
        <v>38</v>
      </c>
      <c r="F486">
        <f t="shared" si="60"/>
        <v>4</v>
      </c>
      <c r="G486">
        <f t="shared" si="64"/>
        <v>4</v>
      </c>
      <c r="H486">
        <f t="shared" si="61"/>
        <v>4</v>
      </c>
      <c r="I486" s="4" t="str">
        <f t="shared" si="62"/>
        <v>444</v>
      </c>
      <c r="Q486" s="1">
        <v>0.1258801690762672</v>
      </c>
      <c r="R486" s="1">
        <v>0.74828571026251789</v>
      </c>
    </row>
    <row r="487" spans="1:18" x14ac:dyDescent="0.35">
      <c r="A487" t="s">
        <v>489</v>
      </c>
      <c r="B487" s="2">
        <f t="shared" si="57"/>
        <v>45741</v>
      </c>
      <c r="C487" s="3">
        <f t="shared" si="63"/>
        <v>-45741</v>
      </c>
      <c r="D487">
        <f t="shared" si="58"/>
        <v>1240</v>
      </c>
      <c r="E487">
        <f t="shared" si="59"/>
        <v>41</v>
      </c>
      <c r="F487">
        <f t="shared" si="60"/>
        <v>5</v>
      </c>
      <c r="G487">
        <f t="shared" si="64"/>
        <v>5</v>
      </c>
      <c r="H487">
        <f t="shared" si="61"/>
        <v>5</v>
      </c>
      <c r="I487" s="4" t="str">
        <f t="shared" si="62"/>
        <v>555</v>
      </c>
      <c r="Q487" s="1">
        <v>0.2832569360004572</v>
      </c>
      <c r="R487" s="1">
        <v>0.82200839973946027</v>
      </c>
    </row>
    <row r="488" spans="1:18" x14ac:dyDescent="0.35">
      <c r="A488" t="s">
        <v>490</v>
      </c>
      <c r="B488" s="2">
        <f t="shared" si="57"/>
        <v>45470</v>
      </c>
      <c r="C488" s="3">
        <f t="shared" si="63"/>
        <v>-45470</v>
      </c>
      <c r="D488">
        <f t="shared" si="58"/>
        <v>517</v>
      </c>
      <c r="E488">
        <f t="shared" si="59"/>
        <v>17</v>
      </c>
      <c r="F488">
        <f t="shared" si="60"/>
        <v>2</v>
      </c>
      <c r="G488">
        <f t="shared" si="64"/>
        <v>2</v>
      </c>
      <c r="H488">
        <f t="shared" si="61"/>
        <v>2</v>
      </c>
      <c r="I488" s="4" t="str">
        <f t="shared" si="62"/>
        <v>222</v>
      </c>
      <c r="Q488" s="1">
        <v>2.239311511425135E-2</v>
      </c>
      <c r="R488" s="1">
        <v>0.32681560754393091</v>
      </c>
    </row>
    <row r="489" spans="1:18" x14ac:dyDescent="0.35">
      <c r="A489" t="s">
        <v>491</v>
      </c>
      <c r="B489" s="2">
        <f t="shared" si="57"/>
        <v>45334</v>
      </c>
      <c r="C489" s="3">
        <f t="shared" si="63"/>
        <v>-45334</v>
      </c>
      <c r="D489">
        <f t="shared" si="58"/>
        <v>152</v>
      </c>
      <c r="E489">
        <f t="shared" si="59"/>
        <v>5</v>
      </c>
      <c r="F489">
        <f t="shared" si="60"/>
        <v>1</v>
      </c>
      <c r="G489">
        <f t="shared" si="64"/>
        <v>1</v>
      </c>
      <c r="H489">
        <f t="shared" si="61"/>
        <v>1</v>
      </c>
      <c r="I489" s="4" t="str">
        <f t="shared" si="62"/>
        <v>111</v>
      </c>
      <c r="Q489" s="1">
        <v>0.82481502600027512</v>
      </c>
      <c r="R489" s="1">
        <v>7.639900580332204E-2</v>
      </c>
    </row>
    <row r="490" spans="1:18" x14ac:dyDescent="0.35">
      <c r="A490" t="s">
        <v>492</v>
      </c>
      <c r="B490" s="2">
        <f t="shared" si="57"/>
        <v>45453</v>
      </c>
      <c r="C490" s="3">
        <f t="shared" si="63"/>
        <v>-45453</v>
      </c>
      <c r="D490">
        <f t="shared" si="58"/>
        <v>470</v>
      </c>
      <c r="E490">
        <f t="shared" si="59"/>
        <v>15</v>
      </c>
      <c r="F490">
        <f t="shared" si="60"/>
        <v>2</v>
      </c>
      <c r="G490">
        <f t="shared" si="64"/>
        <v>2</v>
      </c>
      <c r="H490">
        <f t="shared" si="61"/>
        <v>2</v>
      </c>
      <c r="I490" s="4" t="str">
        <f t="shared" si="62"/>
        <v>222</v>
      </c>
      <c r="Q490" s="1">
        <v>0.67421907258354452</v>
      </c>
      <c r="R490" s="1">
        <v>0.29457197215983677</v>
      </c>
    </row>
    <row r="491" spans="1:18" x14ac:dyDescent="0.35">
      <c r="A491" t="s">
        <v>493</v>
      </c>
      <c r="B491" s="2">
        <f t="shared" si="57"/>
        <v>45764</v>
      </c>
      <c r="C491" s="3">
        <f t="shared" si="63"/>
        <v>-45764</v>
      </c>
      <c r="D491">
        <f t="shared" si="58"/>
        <v>1302</v>
      </c>
      <c r="E491">
        <f t="shared" si="59"/>
        <v>43</v>
      </c>
      <c r="F491">
        <f t="shared" si="60"/>
        <v>5</v>
      </c>
      <c r="G491">
        <f t="shared" si="64"/>
        <v>5</v>
      </c>
      <c r="H491">
        <f t="shared" si="61"/>
        <v>5</v>
      </c>
      <c r="I491" s="4" t="str">
        <f t="shared" si="62"/>
        <v>555</v>
      </c>
      <c r="Q491" s="1">
        <v>0.6018204103794117</v>
      </c>
      <c r="R491" s="1">
        <v>0.86425521842707986</v>
      </c>
    </row>
    <row r="492" spans="1:18" x14ac:dyDescent="0.35">
      <c r="A492" t="s">
        <v>494</v>
      </c>
      <c r="B492" s="2">
        <f t="shared" si="57"/>
        <v>45762</v>
      </c>
      <c r="C492" s="3">
        <f t="shared" si="63"/>
        <v>-45762</v>
      </c>
      <c r="D492">
        <f t="shared" si="58"/>
        <v>1297</v>
      </c>
      <c r="E492">
        <f t="shared" si="59"/>
        <v>43</v>
      </c>
      <c r="F492">
        <f t="shared" si="60"/>
        <v>5</v>
      </c>
      <c r="G492">
        <f t="shared" si="64"/>
        <v>5</v>
      </c>
      <c r="H492">
        <f t="shared" si="61"/>
        <v>5</v>
      </c>
      <c r="I492" s="4" t="str">
        <f t="shared" si="62"/>
        <v>555</v>
      </c>
      <c r="Q492" s="1">
        <v>0.53158103661573886</v>
      </c>
      <c r="R492" s="1">
        <v>0.86091168674276042</v>
      </c>
    </row>
    <row r="493" spans="1:18" x14ac:dyDescent="0.35">
      <c r="A493" t="s">
        <v>495</v>
      </c>
      <c r="B493" s="2">
        <f t="shared" si="57"/>
        <v>45744</v>
      </c>
      <c r="C493" s="3">
        <f t="shared" si="63"/>
        <v>-45744</v>
      </c>
      <c r="D493">
        <f t="shared" si="58"/>
        <v>1249</v>
      </c>
      <c r="E493">
        <f t="shared" si="59"/>
        <v>42</v>
      </c>
      <c r="F493">
        <f t="shared" si="60"/>
        <v>5</v>
      </c>
      <c r="G493">
        <f t="shared" si="64"/>
        <v>5</v>
      </c>
      <c r="H493">
        <f t="shared" si="61"/>
        <v>5</v>
      </c>
      <c r="I493" s="4" t="str">
        <f t="shared" si="62"/>
        <v>555</v>
      </c>
      <c r="Q493" s="1">
        <v>0.86238056847427147</v>
      </c>
      <c r="R493" s="1">
        <v>0.82780110267132878</v>
      </c>
    </row>
    <row r="494" spans="1:18" x14ac:dyDescent="0.35">
      <c r="A494" t="s">
        <v>496</v>
      </c>
      <c r="B494" s="2">
        <f t="shared" si="57"/>
        <v>45526</v>
      </c>
      <c r="C494" s="3">
        <f t="shared" si="63"/>
        <v>-45526</v>
      </c>
      <c r="D494">
        <f t="shared" si="58"/>
        <v>667</v>
      </c>
      <c r="E494">
        <f t="shared" si="59"/>
        <v>22</v>
      </c>
      <c r="F494">
        <f t="shared" si="60"/>
        <v>2</v>
      </c>
      <c r="G494">
        <f t="shared" si="64"/>
        <v>2</v>
      </c>
      <c r="H494">
        <f t="shared" si="61"/>
        <v>2</v>
      </c>
      <c r="I494" s="4" t="str">
        <f t="shared" si="62"/>
        <v>222</v>
      </c>
      <c r="Q494" s="1">
        <v>0.62850807941288422</v>
      </c>
      <c r="R494" s="1">
        <v>0.4294331543999983</v>
      </c>
    </row>
    <row r="495" spans="1:18" x14ac:dyDescent="0.35">
      <c r="A495" t="s">
        <v>497</v>
      </c>
      <c r="B495" s="2">
        <f t="shared" si="57"/>
        <v>45424</v>
      </c>
      <c r="C495" s="3">
        <f t="shared" si="63"/>
        <v>-45424</v>
      </c>
      <c r="D495">
        <f t="shared" si="58"/>
        <v>394</v>
      </c>
      <c r="E495">
        <f t="shared" si="59"/>
        <v>13</v>
      </c>
      <c r="F495">
        <f t="shared" si="60"/>
        <v>2</v>
      </c>
      <c r="G495">
        <f t="shared" si="64"/>
        <v>2</v>
      </c>
      <c r="H495">
        <f t="shared" si="61"/>
        <v>2</v>
      </c>
      <c r="I495" s="4" t="str">
        <f t="shared" si="62"/>
        <v>222</v>
      </c>
      <c r="Q495" s="1">
        <v>0.20885965625481084</v>
      </c>
      <c r="R495" s="1">
        <v>0.24258363273117578</v>
      </c>
    </row>
    <row r="496" spans="1:18" x14ac:dyDescent="0.35">
      <c r="A496" t="s">
        <v>498</v>
      </c>
      <c r="B496" s="2">
        <f t="shared" si="57"/>
        <v>45728</v>
      </c>
      <c r="C496" s="3">
        <f t="shared" si="63"/>
        <v>-45728</v>
      </c>
      <c r="D496">
        <f t="shared" si="58"/>
        <v>1207</v>
      </c>
      <c r="E496">
        <f t="shared" si="59"/>
        <v>40</v>
      </c>
      <c r="F496">
        <f t="shared" si="60"/>
        <v>5</v>
      </c>
      <c r="G496">
        <f t="shared" si="64"/>
        <v>5</v>
      </c>
      <c r="H496">
        <f t="shared" si="61"/>
        <v>5</v>
      </c>
      <c r="I496" s="4" t="str">
        <f t="shared" si="62"/>
        <v>555</v>
      </c>
      <c r="Q496" s="1">
        <v>4.2005442098516643E-2</v>
      </c>
      <c r="R496" s="1">
        <v>0.79927325852686237</v>
      </c>
    </row>
    <row r="497" spans="1:18" x14ac:dyDescent="0.35">
      <c r="A497" t="s">
        <v>499</v>
      </c>
      <c r="B497" s="2">
        <f t="shared" si="57"/>
        <v>45677</v>
      </c>
      <c r="C497" s="3">
        <f t="shared" si="63"/>
        <v>-45677</v>
      </c>
      <c r="D497">
        <f t="shared" si="58"/>
        <v>1068</v>
      </c>
      <c r="E497">
        <f t="shared" si="59"/>
        <v>36</v>
      </c>
      <c r="F497">
        <f t="shared" si="60"/>
        <v>4</v>
      </c>
      <c r="G497">
        <f t="shared" si="64"/>
        <v>4</v>
      </c>
      <c r="H497">
        <f t="shared" si="61"/>
        <v>4</v>
      </c>
      <c r="I497" s="4" t="str">
        <f t="shared" si="62"/>
        <v>444</v>
      </c>
      <c r="Q497" s="1">
        <v>0.82614978084000534</v>
      </c>
      <c r="R497" s="1">
        <v>0.70443083075615343</v>
      </c>
    </row>
    <row r="498" spans="1:18" x14ac:dyDescent="0.35">
      <c r="A498" t="s">
        <v>500</v>
      </c>
      <c r="B498" s="2">
        <f t="shared" si="57"/>
        <v>45785</v>
      </c>
      <c r="C498" s="3">
        <f t="shared" si="63"/>
        <v>-45785</v>
      </c>
      <c r="D498">
        <f t="shared" si="58"/>
        <v>1359</v>
      </c>
      <c r="E498">
        <f t="shared" si="59"/>
        <v>45</v>
      </c>
      <c r="F498">
        <f t="shared" si="60"/>
        <v>5</v>
      </c>
      <c r="G498">
        <f t="shared" si="64"/>
        <v>5</v>
      </c>
      <c r="H498">
        <f t="shared" si="61"/>
        <v>5</v>
      </c>
      <c r="I498" s="4" t="str">
        <f t="shared" si="62"/>
        <v>555</v>
      </c>
      <c r="Q498" s="1">
        <v>0.55746294138169694</v>
      </c>
      <c r="R498" s="1">
        <v>0.90375254311141839</v>
      </c>
    </row>
    <row r="499" spans="1:18" x14ac:dyDescent="0.35">
      <c r="A499" t="s">
        <v>501</v>
      </c>
      <c r="B499" s="2">
        <f t="shared" si="57"/>
        <v>45662</v>
      </c>
      <c r="C499" s="3">
        <f t="shared" si="63"/>
        <v>-45662</v>
      </c>
      <c r="D499">
        <f t="shared" si="58"/>
        <v>1030</v>
      </c>
      <c r="E499">
        <f t="shared" si="59"/>
        <v>34</v>
      </c>
      <c r="F499">
        <f t="shared" si="60"/>
        <v>4</v>
      </c>
      <c r="G499">
        <f t="shared" si="64"/>
        <v>4</v>
      </c>
      <c r="H499">
        <f t="shared" si="61"/>
        <v>4</v>
      </c>
      <c r="I499" s="4" t="str">
        <f t="shared" si="62"/>
        <v>444</v>
      </c>
      <c r="Q499" s="1">
        <v>0.55960771313993318</v>
      </c>
      <c r="R499" s="1">
        <v>0.67776378924882741</v>
      </c>
    </row>
    <row r="500" spans="1:18" x14ac:dyDescent="0.35">
      <c r="A500" t="s">
        <v>502</v>
      </c>
      <c r="B500" s="2">
        <f t="shared" si="57"/>
        <v>45419</v>
      </c>
      <c r="C500" s="3">
        <f t="shared" si="63"/>
        <v>-45419</v>
      </c>
      <c r="D500">
        <f t="shared" si="58"/>
        <v>380</v>
      </c>
      <c r="E500">
        <f t="shared" si="59"/>
        <v>12</v>
      </c>
      <c r="F500">
        <f t="shared" si="60"/>
        <v>1</v>
      </c>
      <c r="G500">
        <f t="shared" si="64"/>
        <v>1</v>
      </c>
      <c r="H500">
        <f t="shared" si="61"/>
        <v>1</v>
      </c>
      <c r="I500" s="4" t="str">
        <f t="shared" si="62"/>
        <v>111</v>
      </c>
      <c r="Q500" s="1">
        <v>0.51029635084101888</v>
      </c>
      <c r="R500" s="1">
        <v>0.23261827486613107</v>
      </c>
    </row>
    <row r="501" spans="1:18" x14ac:dyDescent="0.35">
      <c r="A501" t="s">
        <v>503</v>
      </c>
      <c r="B501" s="2">
        <f t="shared" si="57"/>
        <v>45374</v>
      </c>
      <c r="C501" s="3">
        <f t="shared" si="63"/>
        <v>-45374</v>
      </c>
      <c r="D501">
        <f t="shared" si="58"/>
        <v>259</v>
      </c>
      <c r="E501">
        <f t="shared" si="59"/>
        <v>8</v>
      </c>
      <c r="F501">
        <f t="shared" si="60"/>
        <v>1</v>
      </c>
      <c r="G501">
        <f t="shared" si="64"/>
        <v>1</v>
      </c>
      <c r="H501">
        <f t="shared" si="61"/>
        <v>1</v>
      </c>
      <c r="I501" s="4" t="str">
        <f t="shared" si="62"/>
        <v>111</v>
      </c>
      <c r="Q501" s="1">
        <v>0.97336013196389159</v>
      </c>
      <c r="R501" s="1">
        <v>0.14983314993200325</v>
      </c>
    </row>
    <row r="502" spans="1:18" x14ac:dyDescent="0.35">
      <c r="A502" t="s">
        <v>504</v>
      </c>
      <c r="B502" s="2">
        <f t="shared" si="57"/>
        <v>45356</v>
      </c>
      <c r="C502" s="3">
        <f t="shared" si="63"/>
        <v>-45356</v>
      </c>
      <c r="D502">
        <f t="shared" si="58"/>
        <v>211</v>
      </c>
      <c r="E502">
        <f t="shared" si="59"/>
        <v>7</v>
      </c>
      <c r="F502">
        <f t="shared" si="60"/>
        <v>1</v>
      </c>
      <c r="G502">
        <f t="shared" si="64"/>
        <v>1</v>
      </c>
      <c r="H502">
        <f t="shared" si="61"/>
        <v>1</v>
      </c>
      <c r="I502" s="4" t="str">
        <f t="shared" si="62"/>
        <v>111</v>
      </c>
      <c r="Q502" s="1">
        <v>0.29745029610474849</v>
      </c>
      <c r="R502" s="1">
        <v>0.11733417210954067</v>
      </c>
    </row>
    <row r="503" spans="1:18" x14ac:dyDescent="0.35">
      <c r="A503" t="s">
        <v>505</v>
      </c>
      <c r="B503" s="2">
        <f t="shared" si="57"/>
        <v>45731</v>
      </c>
      <c r="C503" s="3">
        <f t="shared" si="63"/>
        <v>-45731</v>
      </c>
      <c r="D503">
        <f t="shared" si="58"/>
        <v>1214</v>
      </c>
      <c r="E503">
        <f t="shared" si="59"/>
        <v>40</v>
      </c>
      <c r="F503">
        <f t="shared" si="60"/>
        <v>5</v>
      </c>
      <c r="G503">
        <f t="shared" si="64"/>
        <v>5</v>
      </c>
      <c r="H503">
        <f t="shared" si="61"/>
        <v>5</v>
      </c>
      <c r="I503" s="4" t="str">
        <f t="shared" si="62"/>
        <v>555</v>
      </c>
      <c r="Q503" s="1">
        <v>0.49919632612219866</v>
      </c>
      <c r="R503" s="1">
        <v>0.80436550884919644</v>
      </c>
    </row>
    <row r="504" spans="1:18" x14ac:dyDescent="0.35">
      <c r="A504" t="s">
        <v>506</v>
      </c>
      <c r="B504" s="2">
        <f t="shared" si="57"/>
        <v>45616</v>
      </c>
      <c r="C504" s="3">
        <f t="shared" si="63"/>
        <v>-45616</v>
      </c>
      <c r="D504">
        <f t="shared" si="58"/>
        <v>906</v>
      </c>
      <c r="E504">
        <f t="shared" si="59"/>
        <v>30</v>
      </c>
      <c r="F504">
        <f t="shared" si="60"/>
        <v>4</v>
      </c>
      <c r="G504">
        <f t="shared" si="64"/>
        <v>4</v>
      </c>
      <c r="H504">
        <f t="shared" si="61"/>
        <v>4</v>
      </c>
      <c r="I504" s="4" t="str">
        <f t="shared" si="62"/>
        <v>444</v>
      </c>
      <c r="Q504" s="1">
        <v>0.18282161835254196</v>
      </c>
      <c r="R504" s="1">
        <v>0.59306880132669471</v>
      </c>
    </row>
    <row r="505" spans="1:18" x14ac:dyDescent="0.35">
      <c r="A505" t="s">
        <v>507</v>
      </c>
      <c r="B505" s="2">
        <f t="shared" si="57"/>
        <v>45562</v>
      </c>
      <c r="C505" s="3">
        <f t="shared" si="63"/>
        <v>-45562</v>
      </c>
      <c r="D505">
        <f t="shared" si="58"/>
        <v>763</v>
      </c>
      <c r="E505">
        <f t="shared" si="59"/>
        <v>25</v>
      </c>
      <c r="F505">
        <f t="shared" si="60"/>
        <v>2</v>
      </c>
      <c r="G505">
        <f t="shared" si="64"/>
        <v>2</v>
      </c>
      <c r="H505">
        <f t="shared" si="61"/>
        <v>2</v>
      </c>
      <c r="I505" s="4" t="str">
        <f t="shared" si="62"/>
        <v>222</v>
      </c>
      <c r="Q505" s="1">
        <v>0.33614879959984756</v>
      </c>
      <c r="R505" s="1">
        <v>0.49506640640763833</v>
      </c>
    </row>
    <row r="506" spans="1:18" x14ac:dyDescent="0.35">
      <c r="A506" t="s">
        <v>508</v>
      </c>
      <c r="B506" s="2">
        <f t="shared" si="57"/>
        <v>45441</v>
      </c>
      <c r="C506" s="3">
        <f t="shared" si="63"/>
        <v>-45441</v>
      </c>
      <c r="D506">
        <f t="shared" si="58"/>
        <v>439</v>
      </c>
      <c r="E506">
        <f t="shared" si="59"/>
        <v>14</v>
      </c>
      <c r="F506">
        <f t="shared" si="60"/>
        <v>2</v>
      </c>
      <c r="G506">
        <f t="shared" si="64"/>
        <v>2</v>
      </c>
      <c r="H506">
        <f t="shared" si="61"/>
        <v>2</v>
      </c>
      <c r="I506" s="4" t="str">
        <f t="shared" si="62"/>
        <v>222</v>
      </c>
      <c r="Q506" s="1">
        <v>0.33513339793613717</v>
      </c>
      <c r="R506" s="1">
        <v>0.27341296568162643</v>
      </c>
    </row>
    <row r="507" spans="1:18" x14ac:dyDescent="0.35">
      <c r="A507" t="s">
        <v>509</v>
      </c>
      <c r="B507" s="2">
        <f t="shared" si="57"/>
        <v>45536</v>
      </c>
      <c r="C507" s="3">
        <f t="shared" si="63"/>
        <v>-45536</v>
      </c>
      <c r="D507">
        <f t="shared" si="58"/>
        <v>692</v>
      </c>
      <c r="E507">
        <f t="shared" si="59"/>
        <v>23</v>
      </c>
      <c r="F507">
        <f t="shared" si="60"/>
        <v>2</v>
      </c>
      <c r="G507">
        <f t="shared" si="64"/>
        <v>2</v>
      </c>
      <c r="H507">
        <f t="shared" si="61"/>
        <v>2</v>
      </c>
      <c r="I507" s="4" t="str">
        <f t="shared" si="62"/>
        <v>222</v>
      </c>
      <c r="Q507" s="1">
        <v>0.19996884433867179</v>
      </c>
      <c r="R507" s="1">
        <v>0.44644276844886044</v>
      </c>
    </row>
    <row r="508" spans="1:18" x14ac:dyDescent="0.35">
      <c r="A508" t="s">
        <v>510</v>
      </c>
      <c r="B508" s="2">
        <f t="shared" si="57"/>
        <v>45832</v>
      </c>
      <c r="C508" s="3">
        <f t="shared" si="63"/>
        <v>-45832</v>
      </c>
      <c r="D508">
        <f t="shared" si="58"/>
        <v>1483</v>
      </c>
      <c r="E508">
        <f t="shared" si="59"/>
        <v>49</v>
      </c>
      <c r="F508">
        <f t="shared" si="60"/>
        <v>5</v>
      </c>
      <c r="G508">
        <f t="shared" si="64"/>
        <v>5</v>
      </c>
      <c r="H508">
        <f t="shared" si="61"/>
        <v>5</v>
      </c>
      <c r="I508" s="4" t="str">
        <f t="shared" si="62"/>
        <v>555</v>
      </c>
      <c r="Q508" s="1">
        <v>3.1641612804247932E-2</v>
      </c>
      <c r="R508" s="1">
        <v>0.98834366927368777</v>
      </c>
    </row>
    <row r="509" spans="1:18" x14ac:dyDescent="0.35">
      <c r="A509" t="s">
        <v>511</v>
      </c>
      <c r="B509" s="2">
        <f t="shared" si="57"/>
        <v>45429</v>
      </c>
      <c r="C509" s="3">
        <f t="shared" si="63"/>
        <v>-45429</v>
      </c>
      <c r="D509">
        <f t="shared" si="58"/>
        <v>406</v>
      </c>
      <c r="E509">
        <f t="shared" si="59"/>
        <v>13</v>
      </c>
      <c r="F509">
        <f t="shared" si="60"/>
        <v>2</v>
      </c>
      <c r="G509">
        <f t="shared" si="64"/>
        <v>2</v>
      </c>
      <c r="H509">
        <f t="shared" si="61"/>
        <v>2</v>
      </c>
      <c r="I509" s="4" t="str">
        <f t="shared" si="62"/>
        <v>222</v>
      </c>
      <c r="Q509" s="1">
        <v>0.15094286444367067</v>
      </c>
      <c r="R509" s="1">
        <v>0.25078703167866179</v>
      </c>
    </row>
    <row r="510" spans="1:18" x14ac:dyDescent="0.35">
      <c r="A510" t="s">
        <v>512</v>
      </c>
      <c r="B510" s="2">
        <f t="shared" si="57"/>
        <v>45587</v>
      </c>
      <c r="C510" s="3">
        <f t="shared" si="63"/>
        <v>-45587</v>
      </c>
      <c r="D510">
        <f t="shared" si="58"/>
        <v>829</v>
      </c>
      <c r="E510">
        <f t="shared" si="59"/>
        <v>27</v>
      </c>
      <c r="F510">
        <f t="shared" si="60"/>
        <v>4</v>
      </c>
      <c r="G510">
        <f t="shared" si="64"/>
        <v>4</v>
      </c>
      <c r="H510">
        <f t="shared" si="61"/>
        <v>4</v>
      </c>
      <c r="I510" s="4" t="str">
        <f t="shared" si="62"/>
        <v>444</v>
      </c>
      <c r="Q510" s="1">
        <v>0.42967572970322387</v>
      </c>
      <c r="R510" s="1">
        <v>0.54029188831443731</v>
      </c>
    </row>
    <row r="511" spans="1:18" x14ac:dyDescent="0.35">
      <c r="A511" t="s">
        <v>513</v>
      </c>
      <c r="B511" s="2">
        <f t="shared" si="57"/>
        <v>45304</v>
      </c>
      <c r="C511" s="3">
        <f t="shared" si="63"/>
        <v>-45304</v>
      </c>
      <c r="D511">
        <f t="shared" si="58"/>
        <v>71</v>
      </c>
      <c r="E511">
        <f t="shared" si="59"/>
        <v>2</v>
      </c>
      <c r="F511">
        <f t="shared" si="60"/>
        <v>1</v>
      </c>
      <c r="G511">
        <f t="shared" si="64"/>
        <v>1</v>
      </c>
      <c r="H511">
        <f t="shared" si="61"/>
        <v>1</v>
      </c>
      <c r="I511" s="4" t="str">
        <f t="shared" si="62"/>
        <v>111</v>
      </c>
      <c r="Q511" s="1">
        <v>0.55546446784756176</v>
      </c>
      <c r="R511" s="1">
        <v>2.1186951944829002E-2</v>
      </c>
    </row>
    <row r="512" spans="1:18" x14ac:dyDescent="0.35">
      <c r="A512" t="s">
        <v>514</v>
      </c>
      <c r="B512" s="2">
        <f t="shared" si="57"/>
        <v>45300</v>
      </c>
      <c r="C512" s="3">
        <f t="shared" si="63"/>
        <v>-45300</v>
      </c>
      <c r="D512">
        <f t="shared" si="58"/>
        <v>61</v>
      </c>
      <c r="E512">
        <f t="shared" si="59"/>
        <v>2</v>
      </c>
      <c r="F512">
        <f t="shared" si="60"/>
        <v>1</v>
      </c>
      <c r="G512">
        <f t="shared" si="64"/>
        <v>1</v>
      </c>
      <c r="H512">
        <f t="shared" si="61"/>
        <v>1</v>
      </c>
      <c r="I512" s="4" t="str">
        <f t="shared" si="62"/>
        <v>111</v>
      </c>
      <c r="Q512" s="1">
        <v>5.9868118233346923E-2</v>
      </c>
      <c r="R512" s="1">
        <v>1.4130314127547172E-2</v>
      </c>
    </row>
    <row r="513" spans="1:18" x14ac:dyDescent="0.35">
      <c r="A513" t="s">
        <v>515</v>
      </c>
      <c r="B513" s="2">
        <f t="shared" si="57"/>
        <v>45707</v>
      </c>
      <c r="C513" s="3">
        <f t="shared" si="63"/>
        <v>-45707</v>
      </c>
      <c r="D513">
        <f t="shared" si="58"/>
        <v>1149</v>
      </c>
      <c r="E513">
        <f t="shared" si="59"/>
        <v>38</v>
      </c>
      <c r="F513">
        <f t="shared" si="60"/>
        <v>4</v>
      </c>
      <c r="G513">
        <f t="shared" si="64"/>
        <v>4</v>
      </c>
      <c r="H513">
        <f t="shared" si="61"/>
        <v>4</v>
      </c>
      <c r="I513" s="4" t="str">
        <f t="shared" si="62"/>
        <v>444</v>
      </c>
      <c r="Q513" s="1">
        <v>8.7386229131872994E-2</v>
      </c>
      <c r="R513" s="1">
        <v>0.75956852797480412</v>
      </c>
    </row>
    <row r="514" spans="1:18" x14ac:dyDescent="0.35">
      <c r="A514" t="s">
        <v>516</v>
      </c>
      <c r="B514" s="2">
        <f t="shared" si="57"/>
        <v>45433</v>
      </c>
      <c r="C514" s="3">
        <f t="shared" si="63"/>
        <v>-45433</v>
      </c>
      <c r="D514">
        <f t="shared" si="58"/>
        <v>417</v>
      </c>
      <c r="E514">
        <f t="shared" si="59"/>
        <v>14</v>
      </c>
      <c r="F514">
        <f t="shared" si="60"/>
        <v>2</v>
      </c>
      <c r="G514">
        <f t="shared" si="64"/>
        <v>2</v>
      </c>
      <c r="H514">
        <f t="shared" si="61"/>
        <v>2</v>
      </c>
      <c r="I514" s="4" t="str">
        <f t="shared" si="62"/>
        <v>222</v>
      </c>
      <c r="Q514" s="1">
        <v>0.47505254171368705</v>
      </c>
      <c r="R514" s="1">
        <v>0.25798171365477995</v>
      </c>
    </row>
    <row r="515" spans="1:18" x14ac:dyDescent="0.35">
      <c r="A515" t="s">
        <v>517</v>
      </c>
      <c r="B515" s="2">
        <f t="shared" ref="B515:B578" si="65">ROUND(R515*(45838-45292)+45292,0)</f>
        <v>45531</v>
      </c>
      <c r="C515" s="3">
        <f t="shared" si="63"/>
        <v>-45531</v>
      </c>
      <c r="D515">
        <f t="shared" ref="D515:D578" si="66">ROUND((R515)*(1500-40)+40,0)</f>
        <v>680</v>
      </c>
      <c r="E515">
        <f t="shared" ref="E515:E578" si="67">ROUND((R515)*(50-1)+1,0)</f>
        <v>22</v>
      </c>
      <c r="F515">
        <f t="shared" ref="F515:F578" si="68">IF(C515&lt;=$M$4,5,IF(C515&lt;=$M$9,4,IF(C515&lt;=$M$5,3,IF(C515&lt;=$M$6,2,1))))</f>
        <v>2</v>
      </c>
      <c r="G515">
        <f t="shared" si="64"/>
        <v>2</v>
      </c>
      <c r="H515">
        <f t="shared" ref="H515:H578" si="69">IF(D515&lt;=$M$24,1,IF(D515&lt;=$M$25,2,IF(D515&lt;=$M$29,3,IF(D515&lt;=$M$26,4,5))))</f>
        <v>2</v>
      </c>
      <c r="I515" s="4" t="str">
        <f t="shared" ref="I515:I578" si="70">CONCATENATE(F515,G515,H515)</f>
        <v>222</v>
      </c>
      <c r="Q515" s="1">
        <v>0.18652647221482455</v>
      </c>
      <c r="R515" s="1">
        <v>0.43853563346085978</v>
      </c>
    </row>
    <row r="516" spans="1:18" x14ac:dyDescent="0.35">
      <c r="A516" t="s">
        <v>518</v>
      </c>
      <c r="B516" s="2">
        <f t="shared" si="65"/>
        <v>45472</v>
      </c>
      <c r="C516" s="3">
        <f t="shared" ref="C516:C579" si="71">$S$4-B516</f>
        <v>-45472</v>
      </c>
      <c r="D516">
        <f t="shared" si="66"/>
        <v>522</v>
      </c>
      <c r="E516">
        <f t="shared" si="67"/>
        <v>17</v>
      </c>
      <c r="F516">
        <f t="shared" si="68"/>
        <v>2</v>
      </c>
      <c r="G516">
        <f t="shared" ref="G516:G579" si="72">IF(E516&lt;=$M$14,1,IF(E516&lt;=$M$15,2,IF(E516&lt;=$M$19,3,IF(E516&lt;=$M$16,4,5))))</f>
        <v>2</v>
      </c>
      <c r="H516">
        <f t="shared" si="69"/>
        <v>2</v>
      </c>
      <c r="I516" s="4" t="str">
        <f t="shared" si="70"/>
        <v>222</v>
      </c>
      <c r="Q516" s="1">
        <v>0.7483673851380076</v>
      </c>
      <c r="R516" s="1">
        <v>0.32989795224095564</v>
      </c>
    </row>
    <row r="517" spans="1:18" x14ac:dyDescent="0.35">
      <c r="A517" t="s">
        <v>519</v>
      </c>
      <c r="B517" s="2">
        <f t="shared" si="65"/>
        <v>45679</v>
      </c>
      <c r="C517" s="3">
        <f t="shared" si="71"/>
        <v>-45679</v>
      </c>
      <c r="D517">
        <f t="shared" si="66"/>
        <v>1074</v>
      </c>
      <c r="E517">
        <f t="shared" si="67"/>
        <v>36</v>
      </c>
      <c r="F517">
        <f t="shared" si="68"/>
        <v>4</v>
      </c>
      <c r="G517">
        <f t="shared" si="72"/>
        <v>4</v>
      </c>
      <c r="H517">
        <f t="shared" si="69"/>
        <v>4</v>
      </c>
      <c r="I517" s="4" t="str">
        <f t="shared" si="70"/>
        <v>444</v>
      </c>
      <c r="Q517" s="1">
        <v>0.86740837663169912</v>
      </c>
      <c r="R517" s="1">
        <v>0.70811979718725193</v>
      </c>
    </row>
    <row r="518" spans="1:18" x14ac:dyDescent="0.35">
      <c r="A518" t="s">
        <v>520</v>
      </c>
      <c r="B518" s="2">
        <f t="shared" si="65"/>
        <v>45727</v>
      </c>
      <c r="C518" s="3">
        <f t="shared" si="71"/>
        <v>-45727</v>
      </c>
      <c r="D518">
        <f t="shared" si="66"/>
        <v>1203</v>
      </c>
      <c r="E518">
        <f t="shared" si="67"/>
        <v>40</v>
      </c>
      <c r="F518">
        <f t="shared" si="68"/>
        <v>5</v>
      </c>
      <c r="G518">
        <f t="shared" si="72"/>
        <v>5</v>
      </c>
      <c r="H518">
        <f t="shared" si="69"/>
        <v>5</v>
      </c>
      <c r="I518" s="4" t="str">
        <f t="shared" si="70"/>
        <v>555</v>
      </c>
      <c r="Q518" s="1">
        <v>0.51776438675766268</v>
      </c>
      <c r="R518" s="1">
        <v>0.79681712525222637</v>
      </c>
    </row>
    <row r="519" spans="1:18" x14ac:dyDescent="0.35">
      <c r="A519" t="s">
        <v>521</v>
      </c>
      <c r="B519" s="2">
        <f t="shared" si="65"/>
        <v>45738</v>
      </c>
      <c r="C519" s="3">
        <f t="shared" si="71"/>
        <v>-45738</v>
      </c>
      <c r="D519">
        <f t="shared" si="66"/>
        <v>1232</v>
      </c>
      <c r="E519">
        <f t="shared" si="67"/>
        <v>41</v>
      </c>
      <c r="F519">
        <f t="shared" si="68"/>
        <v>5</v>
      </c>
      <c r="G519">
        <f t="shared" si="72"/>
        <v>5</v>
      </c>
      <c r="H519">
        <f t="shared" si="69"/>
        <v>5</v>
      </c>
      <c r="I519" s="4" t="str">
        <f t="shared" si="70"/>
        <v>555</v>
      </c>
      <c r="Q519" s="1">
        <v>0.63867646459762017</v>
      </c>
      <c r="R519" s="1">
        <v>0.81654077187183904</v>
      </c>
    </row>
    <row r="520" spans="1:18" x14ac:dyDescent="0.35">
      <c r="A520" t="s">
        <v>522</v>
      </c>
      <c r="B520" s="2">
        <f t="shared" si="65"/>
        <v>45735</v>
      </c>
      <c r="C520" s="3">
        <f t="shared" si="71"/>
        <v>-45735</v>
      </c>
      <c r="D520">
        <f t="shared" si="66"/>
        <v>1224</v>
      </c>
      <c r="E520">
        <f t="shared" si="67"/>
        <v>41</v>
      </c>
      <c r="F520">
        <f t="shared" si="68"/>
        <v>5</v>
      </c>
      <c r="G520">
        <f t="shared" si="72"/>
        <v>5</v>
      </c>
      <c r="H520">
        <f t="shared" si="69"/>
        <v>5</v>
      </c>
      <c r="I520" s="4" t="str">
        <f t="shared" si="70"/>
        <v>555</v>
      </c>
      <c r="Q520" s="1">
        <v>0.8849494743035462</v>
      </c>
      <c r="R520" s="1">
        <v>0.81111880998833685</v>
      </c>
    </row>
    <row r="521" spans="1:18" x14ac:dyDescent="0.35">
      <c r="A521" t="s">
        <v>523</v>
      </c>
      <c r="B521" s="2">
        <f t="shared" si="65"/>
        <v>45533</v>
      </c>
      <c r="C521" s="3">
        <f t="shared" si="71"/>
        <v>-45533</v>
      </c>
      <c r="D521">
        <f t="shared" si="66"/>
        <v>683</v>
      </c>
      <c r="E521">
        <f t="shared" si="67"/>
        <v>23</v>
      </c>
      <c r="F521">
        <f t="shared" si="68"/>
        <v>2</v>
      </c>
      <c r="G521">
        <f t="shared" si="72"/>
        <v>2</v>
      </c>
      <c r="H521">
        <f t="shared" si="69"/>
        <v>2</v>
      </c>
      <c r="I521" s="4" t="str">
        <f t="shared" si="70"/>
        <v>222</v>
      </c>
      <c r="Q521" s="1">
        <v>0.94723416014951012</v>
      </c>
      <c r="R521" s="1">
        <v>0.44073932975829699</v>
      </c>
    </row>
    <row r="522" spans="1:18" x14ac:dyDescent="0.35">
      <c r="A522" t="s">
        <v>524</v>
      </c>
      <c r="B522" s="2">
        <f t="shared" si="65"/>
        <v>45780</v>
      </c>
      <c r="C522" s="3">
        <f t="shared" si="71"/>
        <v>-45780</v>
      </c>
      <c r="D522">
        <f t="shared" si="66"/>
        <v>1345</v>
      </c>
      <c r="E522">
        <f t="shared" si="67"/>
        <v>45</v>
      </c>
      <c r="F522">
        <f t="shared" si="68"/>
        <v>5</v>
      </c>
      <c r="G522">
        <f t="shared" si="72"/>
        <v>5</v>
      </c>
      <c r="H522">
        <f t="shared" si="69"/>
        <v>5</v>
      </c>
      <c r="I522" s="4" t="str">
        <f t="shared" si="70"/>
        <v>555</v>
      </c>
      <c r="Q522" s="1">
        <v>0.901009508854416</v>
      </c>
      <c r="R522" s="1">
        <v>0.89392111161170229</v>
      </c>
    </row>
    <row r="523" spans="1:18" x14ac:dyDescent="0.35">
      <c r="A523" t="s">
        <v>525</v>
      </c>
      <c r="B523" s="2">
        <f t="shared" si="65"/>
        <v>45669</v>
      </c>
      <c r="C523" s="3">
        <f t="shared" si="71"/>
        <v>-45669</v>
      </c>
      <c r="D523">
        <f t="shared" si="66"/>
        <v>1049</v>
      </c>
      <c r="E523">
        <f t="shared" si="67"/>
        <v>35</v>
      </c>
      <c r="F523">
        <f t="shared" si="68"/>
        <v>4</v>
      </c>
      <c r="G523">
        <f t="shared" si="72"/>
        <v>4</v>
      </c>
      <c r="H523">
        <f t="shared" si="69"/>
        <v>4</v>
      </c>
      <c r="I523" s="4" t="str">
        <f t="shared" si="70"/>
        <v>444</v>
      </c>
      <c r="Q523" s="1">
        <v>0.31089139039891811</v>
      </c>
      <c r="R523" s="1">
        <v>0.69110116965455393</v>
      </c>
    </row>
    <row r="524" spans="1:18" x14ac:dyDescent="0.35">
      <c r="A524" t="s">
        <v>526</v>
      </c>
      <c r="B524" s="2">
        <f t="shared" si="65"/>
        <v>45515</v>
      </c>
      <c r="C524" s="3">
        <f t="shared" si="71"/>
        <v>-45515</v>
      </c>
      <c r="D524">
        <f t="shared" si="66"/>
        <v>637</v>
      </c>
      <c r="E524">
        <f t="shared" si="67"/>
        <v>21</v>
      </c>
      <c r="F524">
        <f t="shared" si="68"/>
        <v>2</v>
      </c>
      <c r="G524">
        <f t="shared" si="72"/>
        <v>2</v>
      </c>
      <c r="H524">
        <f t="shared" si="69"/>
        <v>2</v>
      </c>
      <c r="I524" s="4" t="str">
        <f t="shared" si="70"/>
        <v>222</v>
      </c>
      <c r="Q524" s="1">
        <v>0.34424158898079971</v>
      </c>
      <c r="R524" s="1">
        <v>0.4092047158384563</v>
      </c>
    </row>
    <row r="525" spans="1:18" x14ac:dyDescent="0.35">
      <c r="A525" t="s">
        <v>527</v>
      </c>
      <c r="B525" s="2">
        <f t="shared" si="65"/>
        <v>45684</v>
      </c>
      <c r="C525" s="3">
        <f t="shared" si="71"/>
        <v>-45684</v>
      </c>
      <c r="D525">
        <f t="shared" si="66"/>
        <v>1088</v>
      </c>
      <c r="E525">
        <f t="shared" si="67"/>
        <v>36</v>
      </c>
      <c r="F525">
        <f t="shared" si="68"/>
        <v>4</v>
      </c>
      <c r="G525">
        <f t="shared" si="72"/>
        <v>4</v>
      </c>
      <c r="H525">
        <f t="shared" si="69"/>
        <v>4</v>
      </c>
      <c r="I525" s="4" t="str">
        <f t="shared" si="70"/>
        <v>444</v>
      </c>
      <c r="Q525" s="1">
        <v>6.0589297441729695E-2</v>
      </c>
      <c r="R525" s="1">
        <v>0.71812292547621381</v>
      </c>
    </row>
    <row r="526" spans="1:18" x14ac:dyDescent="0.35">
      <c r="A526" t="s">
        <v>528</v>
      </c>
      <c r="B526" s="2">
        <f t="shared" si="65"/>
        <v>45523</v>
      </c>
      <c r="C526" s="3">
        <f t="shared" si="71"/>
        <v>-45523</v>
      </c>
      <c r="D526">
        <f t="shared" si="66"/>
        <v>657</v>
      </c>
      <c r="E526">
        <f t="shared" si="67"/>
        <v>22</v>
      </c>
      <c r="F526">
        <f t="shared" si="68"/>
        <v>2</v>
      </c>
      <c r="G526">
        <f t="shared" si="72"/>
        <v>2</v>
      </c>
      <c r="H526">
        <f t="shared" si="69"/>
        <v>2</v>
      </c>
      <c r="I526" s="4" t="str">
        <f t="shared" si="70"/>
        <v>222</v>
      </c>
      <c r="Q526" s="1">
        <v>0.7126612062558153</v>
      </c>
      <c r="R526" s="1">
        <v>0.42283702795396427</v>
      </c>
    </row>
    <row r="527" spans="1:18" x14ac:dyDescent="0.35">
      <c r="A527" t="s">
        <v>529</v>
      </c>
      <c r="B527" s="2">
        <f t="shared" si="65"/>
        <v>45823</v>
      </c>
      <c r="C527" s="3">
        <f t="shared" si="71"/>
        <v>-45823</v>
      </c>
      <c r="D527">
        <f t="shared" si="66"/>
        <v>1459</v>
      </c>
      <c r="E527">
        <f t="shared" si="67"/>
        <v>49</v>
      </c>
      <c r="F527">
        <f t="shared" si="68"/>
        <v>5</v>
      </c>
      <c r="G527">
        <f t="shared" si="72"/>
        <v>5</v>
      </c>
      <c r="H527">
        <f t="shared" si="69"/>
        <v>5</v>
      </c>
      <c r="I527" s="4" t="str">
        <f t="shared" si="70"/>
        <v>555</v>
      </c>
      <c r="Q527" s="1">
        <v>0.2741928799138732</v>
      </c>
      <c r="R527" s="1">
        <v>0.97207519551062604</v>
      </c>
    </row>
    <row r="528" spans="1:18" x14ac:dyDescent="0.35">
      <c r="A528" t="s">
        <v>530</v>
      </c>
      <c r="B528" s="2">
        <f t="shared" si="65"/>
        <v>45663</v>
      </c>
      <c r="C528" s="3">
        <f t="shared" si="71"/>
        <v>-45663</v>
      </c>
      <c r="D528">
        <f t="shared" si="66"/>
        <v>1032</v>
      </c>
      <c r="E528">
        <f t="shared" si="67"/>
        <v>34</v>
      </c>
      <c r="F528">
        <f t="shared" si="68"/>
        <v>4</v>
      </c>
      <c r="G528">
        <f t="shared" si="72"/>
        <v>4</v>
      </c>
      <c r="H528">
        <f t="shared" si="69"/>
        <v>4</v>
      </c>
      <c r="I528" s="4" t="str">
        <f t="shared" si="70"/>
        <v>444</v>
      </c>
      <c r="Q528" s="1">
        <v>8.5002830813409758E-2</v>
      </c>
      <c r="R528" s="1">
        <v>0.67970584785883548</v>
      </c>
    </row>
    <row r="529" spans="1:18" x14ac:dyDescent="0.35">
      <c r="A529" t="s">
        <v>531</v>
      </c>
      <c r="B529" s="2">
        <f t="shared" si="65"/>
        <v>45494</v>
      </c>
      <c r="C529" s="3">
        <f t="shared" si="71"/>
        <v>-45494</v>
      </c>
      <c r="D529">
        <f t="shared" si="66"/>
        <v>581</v>
      </c>
      <c r="E529">
        <f t="shared" si="67"/>
        <v>19</v>
      </c>
      <c r="F529">
        <f t="shared" si="68"/>
        <v>2</v>
      </c>
      <c r="G529">
        <f t="shared" si="72"/>
        <v>2</v>
      </c>
      <c r="H529">
        <f t="shared" si="69"/>
        <v>2</v>
      </c>
      <c r="I529" s="4" t="str">
        <f t="shared" si="70"/>
        <v>222</v>
      </c>
      <c r="Q529" s="1">
        <v>0.56428281810254832</v>
      </c>
      <c r="R529" s="1">
        <v>0.370520005508164</v>
      </c>
    </row>
    <row r="530" spans="1:18" x14ac:dyDescent="0.35">
      <c r="A530" t="s">
        <v>532</v>
      </c>
      <c r="B530" s="2">
        <f t="shared" si="65"/>
        <v>45666</v>
      </c>
      <c r="C530" s="3">
        <f t="shared" si="71"/>
        <v>-45666</v>
      </c>
      <c r="D530">
        <f t="shared" si="66"/>
        <v>1041</v>
      </c>
      <c r="E530">
        <f t="shared" si="67"/>
        <v>35</v>
      </c>
      <c r="F530">
        <f t="shared" si="68"/>
        <v>4</v>
      </c>
      <c r="G530">
        <f t="shared" si="72"/>
        <v>4</v>
      </c>
      <c r="H530">
        <f t="shared" si="69"/>
        <v>4</v>
      </c>
      <c r="I530" s="4" t="str">
        <f t="shared" si="70"/>
        <v>444</v>
      </c>
      <c r="Q530" s="1">
        <v>0.47371273410801451</v>
      </c>
      <c r="R530" s="1">
        <v>0.68531763461074424</v>
      </c>
    </row>
    <row r="531" spans="1:18" x14ac:dyDescent="0.35">
      <c r="A531" t="s">
        <v>533</v>
      </c>
      <c r="B531" s="2">
        <f t="shared" si="65"/>
        <v>45430</v>
      </c>
      <c r="C531" s="3">
        <f t="shared" si="71"/>
        <v>-45430</v>
      </c>
      <c r="D531">
        <f t="shared" si="66"/>
        <v>408</v>
      </c>
      <c r="E531">
        <f t="shared" si="67"/>
        <v>13</v>
      </c>
      <c r="F531">
        <f t="shared" si="68"/>
        <v>2</v>
      </c>
      <c r="G531">
        <f t="shared" si="72"/>
        <v>2</v>
      </c>
      <c r="H531">
        <f t="shared" si="69"/>
        <v>2</v>
      </c>
      <c r="I531" s="4" t="str">
        <f t="shared" si="70"/>
        <v>222</v>
      </c>
      <c r="Q531" s="1">
        <v>0.40632143735872994</v>
      </c>
      <c r="R531" s="1">
        <v>0.25222679106361456</v>
      </c>
    </row>
    <row r="532" spans="1:18" x14ac:dyDescent="0.35">
      <c r="A532" t="s">
        <v>534</v>
      </c>
      <c r="B532" s="2">
        <f t="shared" si="65"/>
        <v>45303</v>
      </c>
      <c r="C532" s="3">
        <f t="shared" si="71"/>
        <v>-45303</v>
      </c>
      <c r="D532">
        <f t="shared" si="66"/>
        <v>68</v>
      </c>
      <c r="E532">
        <f t="shared" si="67"/>
        <v>2</v>
      </c>
      <c r="F532">
        <f t="shared" si="68"/>
        <v>1</v>
      </c>
      <c r="G532">
        <f t="shared" si="72"/>
        <v>1</v>
      </c>
      <c r="H532">
        <f t="shared" si="69"/>
        <v>1</v>
      </c>
      <c r="I532" s="4" t="str">
        <f t="shared" si="70"/>
        <v>111</v>
      </c>
      <c r="Q532" s="1">
        <v>0.39983451145181825</v>
      </c>
      <c r="R532" s="1">
        <v>1.9269632644884349E-2</v>
      </c>
    </row>
    <row r="533" spans="1:18" x14ac:dyDescent="0.35">
      <c r="A533" t="s">
        <v>535</v>
      </c>
      <c r="B533" s="2">
        <f t="shared" si="65"/>
        <v>45556</v>
      </c>
      <c r="C533" s="3">
        <f t="shared" si="71"/>
        <v>-45556</v>
      </c>
      <c r="D533">
        <f t="shared" si="66"/>
        <v>745</v>
      </c>
      <c r="E533">
        <f t="shared" si="67"/>
        <v>25</v>
      </c>
      <c r="F533">
        <f t="shared" si="68"/>
        <v>2</v>
      </c>
      <c r="G533">
        <f t="shared" si="72"/>
        <v>2</v>
      </c>
      <c r="H533">
        <f t="shared" si="69"/>
        <v>2</v>
      </c>
      <c r="I533" s="4" t="str">
        <f t="shared" si="70"/>
        <v>222</v>
      </c>
      <c r="Q533" s="1">
        <v>0.17110550204348918</v>
      </c>
      <c r="R533" s="1">
        <v>0.48307248737788133</v>
      </c>
    </row>
    <row r="534" spans="1:18" x14ac:dyDescent="0.35">
      <c r="A534" t="s">
        <v>536</v>
      </c>
      <c r="B534" s="2">
        <f t="shared" si="65"/>
        <v>45724</v>
      </c>
      <c r="C534" s="3">
        <f t="shared" si="71"/>
        <v>-45724</v>
      </c>
      <c r="D534">
        <f t="shared" si="66"/>
        <v>1195</v>
      </c>
      <c r="E534">
        <f t="shared" si="67"/>
        <v>40</v>
      </c>
      <c r="F534">
        <f t="shared" si="68"/>
        <v>5</v>
      </c>
      <c r="G534">
        <f t="shared" si="72"/>
        <v>5</v>
      </c>
      <c r="H534">
        <f t="shared" si="69"/>
        <v>5</v>
      </c>
      <c r="I534" s="4" t="str">
        <f t="shared" si="70"/>
        <v>555</v>
      </c>
      <c r="Q534" s="1">
        <v>0.38974563807379192</v>
      </c>
      <c r="R534" s="1">
        <v>0.7913156684819953</v>
      </c>
    </row>
    <row r="535" spans="1:18" x14ac:dyDescent="0.35">
      <c r="A535" t="s">
        <v>537</v>
      </c>
      <c r="B535" s="2">
        <f t="shared" si="65"/>
        <v>45416</v>
      </c>
      <c r="C535" s="3">
        <f t="shared" si="71"/>
        <v>-45416</v>
      </c>
      <c r="D535">
        <f t="shared" si="66"/>
        <v>371</v>
      </c>
      <c r="E535">
        <f t="shared" si="67"/>
        <v>12</v>
      </c>
      <c r="F535">
        <f t="shared" si="68"/>
        <v>1</v>
      </c>
      <c r="G535">
        <f t="shared" si="72"/>
        <v>1</v>
      </c>
      <c r="H535">
        <f t="shared" si="69"/>
        <v>1</v>
      </c>
      <c r="I535" s="4" t="str">
        <f t="shared" si="70"/>
        <v>111</v>
      </c>
      <c r="Q535" s="1">
        <v>0.78593146197837438</v>
      </c>
      <c r="R535" s="1">
        <v>0.22638023495010551</v>
      </c>
    </row>
    <row r="536" spans="1:18" x14ac:dyDescent="0.35">
      <c r="A536" t="s">
        <v>538</v>
      </c>
      <c r="B536" s="2">
        <f t="shared" si="65"/>
        <v>45328</v>
      </c>
      <c r="C536" s="3">
        <f t="shared" si="71"/>
        <v>-45328</v>
      </c>
      <c r="D536">
        <f t="shared" si="66"/>
        <v>136</v>
      </c>
      <c r="E536">
        <f t="shared" si="67"/>
        <v>4</v>
      </c>
      <c r="F536">
        <f t="shared" si="68"/>
        <v>1</v>
      </c>
      <c r="G536">
        <f t="shared" si="72"/>
        <v>1</v>
      </c>
      <c r="H536">
        <f t="shared" si="69"/>
        <v>1</v>
      </c>
      <c r="I536" s="4" t="str">
        <f t="shared" si="70"/>
        <v>111</v>
      </c>
      <c r="Q536" s="1">
        <v>0.40352710199300235</v>
      </c>
      <c r="R536" s="1">
        <v>6.5615899013338197E-2</v>
      </c>
    </row>
    <row r="537" spans="1:18" x14ac:dyDescent="0.35">
      <c r="A537" t="s">
        <v>539</v>
      </c>
      <c r="B537" s="2">
        <f t="shared" si="65"/>
        <v>45398</v>
      </c>
      <c r="C537" s="3">
        <f t="shared" si="71"/>
        <v>-45398</v>
      </c>
      <c r="D537">
        <f t="shared" si="66"/>
        <v>324</v>
      </c>
      <c r="E537">
        <f t="shared" si="67"/>
        <v>11</v>
      </c>
      <c r="F537">
        <f t="shared" si="68"/>
        <v>1</v>
      </c>
      <c r="G537">
        <f t="shared" si="72"/>
        <v>1</v>
      </c>
      <c r="H537">
        <f t="shared" si="69"/>
        <v>1</v>
      </c>
      <c r="I537" s="4" t="str">
        <f t="shared" si="70"/>
        <v>111</v>
      </c>
      <c r="Q537" s="1">
        <v>7.2702859944150156E-2</v>
      </c>
      <c r="R537" s="1">
        <v>0.19454923734723295</v>
      </c>
    </row>
    <row r="538" spans="1:18" x14ac:dyDescent="0.35">
      <c r="A538" t="s">
        <v>540</v>
      </c>
      <c r="B538" s="2">
        <f t="shared" si="65"/>
        <v>45413</v>
      </c>
      <c r="C538" s="3">
        <f t="shared" si="71"/>
        <v>-45413</v>
      </c>
      <c r="D538">
        <f t="shared" si="66"/>
        <v>365</v>
      </c>
      <c r="E538">
        <f t="shared" si="67"/>
        <v>12</v>
      </c>
      <c r="F538">
        <f t="shared" si="68"/>
        <v>1</v>
      </c>
      <c r="G538">
        <f t="shared" si="72"/>
        <v>1</v>
      </c>
      <c r="H538">
        <f t="shared" si="69"/>
        <v>1</v>
      </c>
      <c r="I538" s="4" t="str">
        <f t="shared" si="70"/>
        <v>111</v>
      </c>
      <c r="Q538" s="1">
        <v>0.15165822895130987</v>
      </c>
      <c r="R538" s="1">
        <v>0.22246848384042128</v>
      </c>
    </row>
    <row r="539" spans="1:18" x14ac:dyDescent="0.35">
      <c r="A539" t="s">
        <v>541</v>
      </c>
      <c r="B539" s="2">
        <f t="shared" si="65"/>
        <v>45749</v>
      </c>
      <c r="C539" s="3">
        <f t="shared" si="71"/>
        <v>-45749</v>
      </c>
      <c r="D539">
        <f t="shared" si="66"/>
        <v>1261</v>
      </c>
      <c r="E539">
        <f t="shared" si="67"/>
        <v>42</v>
      </c>
      <c r="F539">
        <f t="shared" si="68"/>
        <v>5</v>
      </c>
      <c r="G539">
        <f t="shared" si="72"/>
        <v>5</v>
      </c>
      <c r="H539">
        <f t="shared" si="69"/>
        <v>5</v>
      </c>
      <c r="I539" s="4" t="str">
        <f t="shared" si="70"/>
        <v>555</v>
      </c>
      <c r="Q539" s="1">
        <v>0.69917534073485155</v>
      </c>
      <c r="R539" s="1">
        <v>0.83648293394944895</v>
      </c>
    </row>
    <row r="540" spans="1:18" x14ac:dyDescent="0.35">
      <c r="A540" t="s">
        <v>542</v>
      </c>
      <c r="B540" s="2">
        <f t="shared" si="65"/>
        <v>45759</v>
      </c>
      <c r="C540" s="3">
        <f t="shared" si="71"/>
        <v>-45759</v>
      </c>
      <c r="D540">
        <f t="shared" si="66"/>
        <v>1289</v>
      </c>
      <c r="E540">
        <f t="shared" si="67"/>
        <v>43</v>
      </c>
      <c r="F540">
        <f t="shared" si="68"/>
        <v>5</v>
      </c>
      <c r="G540">
        <f t="shared" si="72"/>
        <v>5</v>
      </c>
      <c r="H540">
        <f t="shared" si="69"/>
        <v>5</v>
      </c>
      <c r="I540" s="4" t="str">
        <f t="shared" si="70"/>
        <v>555</v>
      </c>
      <c r="Q540" s="1">
        <v>4.5180032656082725E-2</v>
      </c>
      <c r="R540" s="1">
        <v>0.85572812044921398</v>
      </c>
    </row>
    <row r="541" spans="1:18" x14ac:dyDescent="0.35">
      <c r="A541" t="s">
        <v>543</v>
      </c>
      <c r="B541" s="2">
        <f t="shared" si="65"/>
        <v>45420</v>
      </c>
      <c r="C541" s="3">
        <f t="shared" si="71"/>
        <v>-45420</v>
      </c>
      <c r="D541">
        <f t="shared" si="66"/>
        <v>382</v>
      </c>
      <c r="E541">
        <f t="shared" si="67"/>
        <v>12</v>
      </c>
      <c r="F541">
        <f t="shared" si="68"/>
        <v>2</v>
      </c>
      <c r="G541">
        <f t="shared" si="72"/>
        <v>1</v>
      </c>
      <c r="H541">
        <f t="shared" si="69"/>
        <v>1</v>
      </c>
      <c r="I541" s="4" t="str">
        <f t="shared" si="70"/>
        <v>211</v>
      </c>
      <c r="Q541" s="1">
        <v>0.41824429271401742</v>
      </c>
      <c r="R541" s="1">
        <v>0.23443440707658869</v>
      </c>
    </row>
    <row r="542" spans="1:18" x14ac:dyDescent="0.35">
      <c r="A542" t="s">
        <v>544</v>
      </c>
      <c r="B542" s="2">
        <f t="shared" si="65"/>
        <v>45503</v>
      </c>
      <c r="C542" s="3">
        <f t="shared" si="71"/>
        <v>-45503</v>
      </c>
      <c r="D542">
        <f t="shared" si="66"/>
        <v>604</v>
      </c>
      <c r="E542">
        <f t="shared" si="67"/>
        <v>20</v>
      </c>
      <c r="F542">
        <f t="shared" si="68"/>
        <v>2</v>
      </c>
      <c r="G542">
        <f t="shared" si="72"/>
        <v>2</v>
      </c>
      <c r="H542">
        <f t="shared" si="69"/>
        <v>2</v>
      </c>
      <c r="I542" s="4" t="str">
        <f t="shared" si="70"/>
        <v>222</v>
      </c>
      <c r="Q542" s="1">
        <v>0.30108300794077725</v>
      </c>
      <c r="R542" s="1">
        <v>0.38662180974313554</v>
      </c>
    </row>
    <row r="543" spans="1:18" x14ac:dyDescent="0.35">
      <c r="A543" t="s">
        <v>545</v>
      </c>
      <c r="B543" s="2">
        <f t="shared" si="65"/>
        <v>45501</v>
      </c>
      <c r="C543" s="3">
        <f t="shared" si="71"/>
        <v>-45501</v>
      </c>
      <c r="D543">
        <f t="shared" si="66"/>
        <v>599</v>
      </c>
      <c r="E543">
        <f t="shared" si="67"/>
        <v>20</v>
      </c>
      <c r="F543">
        <f t="shared" si="68"/>
        <v>2</v>
      </c>
      <c r="G543">
        <f t="shared" si="72"/>
        <v>2</v>
      </c>
      <c r="H543">
        <f t="shared" si="69"/>
        <v>2</v>
      </c>
      <c r="I543" s="4" t="str">
        <f t="shared" si="70"/>
        <v>222</v>
      </c>
      <c r="Q543" s="1">
        <v>0.82001037876194638</v>
      </c>
      <c r="R543" s="1">
        <v>0.38307872773956597</v>
      </c>
    </row>
    <row r="544" spans="1:18" x14ac:dyDescent="0.35">
      <c r="A544" t="s">
        <v>546</v>
      </c>
      <c r="B544" s="2">
        <f t="shared" si="65"/>
        <v>45635</v>
      </c>
      <c r="C544" s="3">
        <f t="shared" si="71"/>
        <v>-45635</v>
      </c>
      <c r="D544">
        <f t="shared" si="66"/>
        <v>956</v>
      </c>
      <c r="E544">
        <f t="shared" si="67"/>
        <v>32</v>
      </c>
      <c r="F544">
        <f t="shared" si="68"/>
        <v>4</v>
      </c>
      <c r="G544">
        <f t="shared" si="72"/>
        <v>4</v>
      </c>
      <c r="H544">
        <f t="shared" si="69"/>
        <v>4</v>
      </c>
      <c r="I544" s="4" t="str">
        <f t="shared" si="70"/>
        <v>444</v>
      </c>
      <c r="Q544" s="1">
        <v>0.31232709429250249</v>
      </c>
      <c r="R544" s="1">
        <v>0.62762777020075844</v>
      </c>
    </row>
    <row r="545" spans="1:18" x14ac:dyDescent="0.35">
      <c r="A545" t="s">
        <v>547</v>
      </c>
      <c r="B545" s="2">
        <f t="shared" si="65"/>
        <v>45598</v>
      </c>
      <c r="C545" s="3">
        <f t="shared" si="71"/>
        <v>-45598</v>
      </c>
      <c r="D545">
        <f t="shared" si="66"/>
        <v>858</v>
      </c>
      <c r="E545">
        <f t="shared" si="67"/>
        <v>28</v>
      </c>
      <c r="F545">
        <f t="shared" si="68"/>
        <v>4</v>
      </c>
      <c r="G545">
        <f t="shared" si="72"/>
        <v>4</v>
      </c>
      <c r="H545">
        <f t="shared" si="69"/>
        <v>4</v>
      </c>
      <c r="I545" s="4" t="str">
        <f t="shared" si="70"/>
        <v>444</v>
      </c>
      <c r="Q545" s="1">
        <v>0.53328146570446611</v>
      </c>
      <c r="R545" s="1">
        <v>0.55995380948819984</v>
      </c>
    </row>
    <row r="546" spans="1:18" x14ac:dyDescent="0.35">
      <c r="A546" t="s">
        <v>548</v>
      </c>
      <c r="B546" s="2">
        <f t="shared" si="65"/>
        <v>45360</v>
      </c>
      <c r="C546" s="3">
        <f t="shared" si="71"/>
        <v>-45360</v>
      </c>
      <c r="D546">
        <f t="shared" si="66"/>
        <v>221</v>
      </c>
      <c r="E546">
        <f t="shared" si="67"/>
        <v>7</v>
      </c>
      <c r="F546">
        <f t="shared" si="68"/>
        <v>1</v>
      </c>
      <c r="G546">
        <f t="shared" si="72"/>
        <v>1</v>
      </c>
      <c r="H546">
        <f t="shared" si="69"/>
        <v>1</v>
      </c>
      <c r="I546" s="4" t="str">
        <f t="shared" si="70"/>
        <v>111</v>
      </c>
      <c r="Q546" s="1">
        <v>9.9862814002226741E-2</v>
      </c>
      <c r="R546" s="1">
        <v>0.12402222553453612</v>
      </c>
    </row>
    <row r="547" spans="1:18" x14ac:dyDescent="0.35">
      <c r="A547" t="s">
        <v>549</v>
      </c>
      <c r="B547" s="2">
        <f t="shared" si="65"/>
        <v>45686</v>
      </c>
      <c r="C547" s="3">
        <f t="shared" si="71"/>
        <v>-45686</v>
      </c>
      <c r="D547">
        <f t="shared" si="66"/>
        <v>1094</v>
      </c>
      <c r="E547">
        <f t="shared" si="67"/>
        <v>36</v>
      </c>
      <c r="F547">
        <f t="shared" si="68"/>
        <v>4</v>
      </c>
      <c r="G547">
        <f t="shared" si="72"/>
        <v>4</v>
      </c>
      <c r="H547">
        <f t="shared" si="69"/>
        <v>4</v>
      </c>
      <c r="I547" s="4" t="str">
        <f t="shared" si="70"/>
        <v>444</v>
      </c>
      <c r="Q547" s="1">
        <v>0.80015822717888629</v>
      </c>
      <c r="R547" s="1">
        <v>0.72220110204856625</v>
      </c>
    </row>
    <row r="548" spans="1:18" x14ac:dyDescent="0.35">
      <c r="A548" t="s">
        <v>550</v>
      </c>
      <c r="B548" s="2">
        <f t="shared" si="65"/>
        <v>45307</v>
      </c>
      <c r="C548" s="3">
        <f t="shared" si="71"/>
        <v>-45307</v>
      </c>
      <c r="D548">
        <f t="shared" si="66"/>
        <v>80</v>
      </c>
      <c r="E548">
        <f t="shared" si="67"/>
        <v>2</v>
      </c>
      <c r="F548">
        <f t="shared" si="68"/>
        <v>1</v>
      </c>
      <c r="G548">
        <f t="shared" si="72"/>
        <v>1</v>
      </c>
      <c r="H548">
        <f t="shared" si="69"/>
        <v>1</v>
      </c>
      <c r="I548" s="4" t="str">
        <f t="shared" si="70"/>
        <v>111</v>
      </c>
      <c r="Q548" s="1">
        <v>0.47559844620809599</v>
      </c>
      <c r="R548" s="1">
        <v>2.7189583917804017E-2</v>
      </c>
    </row>
    <row r="549" spans="1:18" x14ac:dyDescent="0.35">
      <c r="A549" t="s">
        <v>551</v>
      </c>
      <c r="B549" s="2">
        <f t="shared" si="65"/>
        <v>45744</v>
      </c>
      <c r="C549" s="3">
        <f t="shared" si="71"/>
        <v>-45744</v>
      </c>
      <c r="D549">
        <f t="shared" si="66"/>
        <v>1250</v>
      </c>
      <c r="E549">
        <f t="shared" si="67"/>
        <v>42</v>
      </c>
      <c r="F549">
        <f t="shared" si="68"/>
        <v>5</v>
      </c>
      <c r="G549">
        <f t="shared" si="72"/>
        <v>5</v>
      </c>
      <c r="H549">
        <f t="shared" si="69"/>
        <v>5</v>
      </c>
      <c r="I549" s="4" t="str">
        <f t="shared" si="70"/>
        <v>555</v>
      </c>
      <c r="Q549" s="1">
        <v>0.88363580954164855</v>
      </c>
      <c r="R549" s="1">
        <v>0.8284924481758702</v>
      </c>
    </row>
    <row r="550" spans="1:18" x14ac:dyDescent="0.35">
      <c r="A550" t="s">
        <v>552</v>
      </c>
      <c r="B550" s="2">
        <f t="shared" si="65"/>
        <v>45436</v>
      </c>
      <c r="C550" s="3">
        <f t="shared" si="71"/>
        <v>-45436</v>
      </c>
      <c r="D550">
        <f t="shared" si="66"/>
        <v>424</v>
      </c>
      <c r="E550">
        <f t="shared" si="67"/>
        <v>14</v>
      </c>
      <c r="F550">
        <f t="shared" si="68"/>
        <v>2</v>
      </c>
      <c r="G550">
        <f t="shared" si="72"/>
        <v>2</v>
      </c>
      <c r="H550">
        <f t="shared" si="69"/>
        <v>2</v>
      </c>
      <c r="I550" s="4" t="str">
        <f t="shared" si="70"/>
        <v>222</v>
      </c>
      <c r="Q550" s="1">
        <v>0.15774615777683254</v>
      </c>
      <c r="R550" s="1">
        <v>0.26312011178143702</v>
      </c>
    </row>
    <row r="551" spans="1:18" x14ac:dyDescent="0.35">
      <c r="A551" t="s">
        <v>553</v>
      </c>
      <c r="B551" s="2">
        <f t="shared" si="65"/>
        <v>45398</v>
      </c>
      <c r="C551" s="3">
        <f t="shared" si="71"/>
        <v>-45398</v>
      </c>
      <c r="D551">
        <f t="shared" si="66"/>
        <v>324</v>
      </c>
      <c r="E551">
        <f t="shared" si="67"/>
        <v>11</v>
      </c>
      <c r="F551">
        <f t="shared" si="68"/>
        <v>1</v>
      </c>
      <c r="G551">
        <f t="shared" si="72"/>
        <v>1</v>
      </c>
      <c r="H551">
        <f t="shared" si="69"/>
        <v>1</v>
      </c>
      <c r="I551" s="4" t="str">
        <f t="shared" si="70"/>
        <v>111</v>
      </c>
      <c r="Q551" s="1">
        <v>0.5136153756791525</v>
      </c>
      <c r="R551" s="1">
        <v>0.19464665160672956</v>
      </c>
    </row>
    <row r="552" spans="1:18" x14ac:dyDescent="0.35">
      <c r="A552" t="s">
        <v>554</v>
      </c>
      <c r="B552" s="2">
        <f t="shared" si="65"/>
        <v>45532</v>
      </c>
      <c r="C552" s="3">
        <f t="shared" si="71"/>
        <v>-45532</v>
      </c>
      <c r="D552">
        <f t="shared" si="66"/>
        <v>683</v>
      </c>
      <c r="E552">
        <f t="shared" si="67"/>
        <v>23</v>
      </c>
      <c r="F552">
        <f t="shared" si="68"/>
        <v>2</v>
      </c>
      <c r="G552">
        <f t="shared" si="72"/>
        <v>2</v>
      </c>
      <c r="H552">
        <f t="shared" si="69"/>
        <v>2</v>
      </c>
      <c r="I552" s="4" t="str">
        <f t="shared" si="70"/>
        <v>222</v>
      </c>
      <c r="Q552" s="1">
        <v>4.6815337913614141E-2</v>
      </c>
      <c r="R552" s="1">
        <v>0.44008190504615929</v>
      </c>
    </row>
    <row r="553" spans="1:18" x14ac:dyDescent="0.35">
      <c r="A553" t="s">
        <v>555</v>
      </c>
      <c r="B553" s="2">
        <f t="shared" si="65"/>
        <v>45479</v>
      </c>
      <c r="C553" s="3">
        <f t="shared" si="71"/>
        <v>-45479</v>
      </c>
      <c r="D553">
        <f t="shared" si="66"/>
        <v>541</v>
      </c>
      <c r="E553">
        <f t="shared" si="67"/>
        <v>18</v>
      </c>
      <c r="F553">
        <f t="shared" si="68"/>
        <v>2</v>
      </c>
      <c r="G553">
        <f t="shared" si="72"/>
        <v>2</v>
      </c>
      <c r="H553">
        <f t="shared" si="69"/>
        <v>2</v>
      </c>
      <c r="I553" s="4" t="str">
        <f t="shared" si="70"/>
        <v>222</v>
      </c>
      <c r="Q553" s="1">
        <v>0.51796454225971067</v>
      </c>
      <c r="R553" s="1">
        <v>0.34292962712183006</v>
      </c>
    </row>
    <row r="554" spans="1:18" x14ac:dyDescent="0.35">
      <c r="A554" t="s">
        <v>556</v>
      </c>
      <c r="B554" s="2">
        <f t="shared" si="65"/>
        <v>45526</v>
      </c>
      <c r="C554" s="3">
        <f t="shared" si="71"/>
        <v>-45526</v>
      </c>
      <c r="D554">
        <f t="shared" si="66"/>
        <v>666</v>
      </c>
      <c r="E554">
        <f t="shared" si="67"/>
        <v>22</v>
      </c>
      <c r="F554">
        <f t="shared" si="68"/>
        <v>2</v>
      </c>
      <c r="G554">
        <f t="shared" si="72"/>
        <v>2</v>
      </c>
      <c r="H554">
        <f t="shared" si="69"/>
        <v>2</v>
      </c>
      <c r="I554" s="4" t="str">
        <f t="shared" si="70"/>
        <v>222</v>
      </c>
      <c r="Q554" s="1">
        <v>0.55428435664217124</v>
      </c>
      <c r="R554" s="1">
        <v>0.42851879985657348</v>
      </c>
    </row>
    <row r="555" spans="1:18" x14ac:dyDescent="0.35">
      <c r="A555" t="s">
        <v>557</v>
      </c>
      <c r="B555" s="2">
        <f t="shared" si="65"/>
        <v>45838</v>
      </c>
      <c r="C555" s="3">
        <f t="shared" si="71"/>
        <v>-45838</v>
      </c>
      <c r="D555">
        <f t="shared" si="66"/>
        <v>1499</v>
      </c>
      <c r="E555">
        <f t="shared" si="67"/>
        <v>50</v>
      </c>
      <c r="F555">
        <f t="shared" si="68"/>
        <v>5</v>
      </c>
      <c r="G555">
        <f t="shared" si="72"/>
        <v>5</v>
      </c>
      <c r="H555">
        <f t="shared" si="69"/>
        <v>5</v>
      </c>
      <c r="I555" s="4" t="str">
        <f t="shared" si="70"/>
        <v>555</v>
      </c>
      <c r="Q555" s="1">
        <v>0.56364011445173989</v>
      </c>
      <c r="R555" s="1">
        <v>0.99952686757812892</v>
      </c>
    </row>
    <row r="556" spans="1:18" x14ac:dyDescent="0.35">
      <c r="A556" t="s">
        <v>558</v>
      </c>
      <c r="B556" s="2">
        <f t="shared" si="65"/>
        <v>45342</v>
      </c>
      <c r="C556" s="3">
        <f t="shared" si="71"/>
        <v>-45342</v>
      </c>
      <c r="D556">
        <f t="shared" si="66"/>
        <v>173</v>
      </c>
      <c r="E556">
        <f t="shared" si="67"/>
        <v>5</v>
      </c>
      <c r="F556">
        <f t="shared" si="68"/>
        <v>1</v>
      </c>
      <c r="G556">
        <f t="shared" si="72"/>
        <v>1</v>
      </c>
      <c r="H556">
        <f t="shared" si="69"/>
        <v>1</v>
      </c>
      <c r="I556" s="4" t="str">
        <f t="shared" si="70"/>
        <v>111</v>
      </c>
      <c r="Q556" s="1">
        <v>0.53771313862617731</v>
      </c>
      <c r="R556" s="1">
        <v>9.078998008583572E-2</v>
      </c>
    </row>
    <row r="557" spans="1:18" x14ac:dyDescent="0.35">
      <c r="A557" t="s">
        <v>559</v>
      </c>
      <c r="B557" s="2">
        <f t="shared" si="65"/>
        <v>45500</v>
      </c>
      <c r="C557" s="3">
        <f t="shared" si="71"/>
        <v>-45500</v>
      </c>
      <c r="D557">
        <f t="shared" si="66"/>
        <v>597</v>
      </c>
      <c r="E557">
        <f t="shared" si="67"/>
        <v>20</v>
      </c>
      <c r="F557">
        <f t="shared" si="68"/>
        <v>2</v>
      </c>
      <c r="G557">
        <f t="shared" si="72"/>
        <v>2</v>
      </c>
      <c r="H557">
        <f t="shared" si="69"/>
        <v>2</v>
      </c>
      <c r="I557" s="4" t="str">
        <f t="shared" si="70"/>
        <v>222</v>
      </c>
      <c r="Q557" s="1">
        <v>0.87932227652488004</v>
      </c>
      <c r="R557" s="1">
        <v>0.38130958740475862</v>
      </c>
    </row>
    <row r="558" spans="1:18" x14ac:dyDescent="0.35">
      <c r="A558" t="s">
        <v>560</v>
      </c>
      <c r="B558" s="2">
        <f t="shared" si="65"/>
        <v>45665</v>
      </c>
      <c r="C558" s="3">
        <f t="shared" si="71"/>
        <v>-45665</v>
      </c>
      <c r="D558">
        <f t="shared" si="66"/>
        <v>1037</v>
      </c>
      <c r="E558">
        <f t="shared" si="67"/>
        <v>34</v>
      </c>
      <c r="F558">
        <f t="shared" si="68"/>
        <v>4</v>
      </c>
      <c r="G558">
        <f t="shared" si="72"/>
        <v>4</v>
      </c>
      <c r="H558">
        <f t="shared" si="69"/>
        <v>4</v>
      </c>
      <c r="I558" s="4" t="str">
        <f t="shared" si="70"/>
        <v>444</v>
      </c>
      <c r="Q558" s="1">
        <v>0.96272349133139867</v>
      </c>
      <c r="R558" s="1">
        <v>0.68292406205805967</v>
      </c>
    </row>
    <row r="559" spans="1:18" x14ac:dyDescent="0.35">
      <c r="A559" t="s">
        <v>561</v>
      </c>
      <c r="B559" s="2">
        <f t="shared" si="65"/>
        <v>45716</v>
      </c>
      <c r="C559" s="3">
        <f t="shared" si="71"/>
        <v>-45716</v>
      </c>
      <c r="D559">
        <f t="shared" si="66"/>
        <v>1173</v>
      </c>
      <c r="E559">
        <f t="shared" si="67"/>
        <v>39</v>
      </c>
      <c r="F559">
        <f t="shared" si="68"/>
        <v>5</v>
      </c>
      <c r="G559">
        <f t="shared" si="72"/>
        <v>4</v>
      </c>
      <c r="H559">
        <f t="shared" si="69"/>
        <v>5</v>
      </c>
      <c r="I559" s="4" t="str">
        <f t="shared" si="70"/>
        <v>545</v>
      </c>
      <c r="Q559" s="1">
        <v>0.92015865322341261</v>
      </c>
      <c r="R559" s="1">
        <v>0.77598078077886357</v>
      </c>
    </row>
    <row r="560" spans="1:18" x14ac:dyDescent="0.35">
      <c r="A560" t="s">
        <v>562</v>
      </c>
      <c r="B560" s="2">
        <f t="shared" si="65"/>
        <v>45669</v>
      </c>
      <c r="C560" s="3">
        <f t="shared" si="71"/>
        <v>-45669</v>
      </c>
      <c r="D560">
        <f t="shared" si="66"/>
        <v>1048</v>
      </c>
      <c r="E560">
        <f t="shared" si="67"/>
        <v>35</v>
      </c>
      <c r="F560">
        <f t="shared" si="68"/>
        <v>4</v>
      </c>
      <c r="G560">
        <f t="shared" si="72"/>
        <v>4</v>
      </c>
      <c r="H560">
        <f t="shared" si="69"/>
        <v>4</v>
      </c>
      <c r="I560" s="4" t="str">
        <f t="shared" si="70"/>
        <v>444</v>
      </c>
      <c r="Q560" s="1">
        <v>0.46680366164682408</v>
      </c>
      <c r="R560" s="1">
        <v>0.69037611667684706</v>
      </c>
    </row>
    <row r="561" spans="1:18" x14ac:dyDescent="0.35">
      <c r="A561" t="s">
        <v>563</v>
      </c>
      <c r="B561" s="2">
        <f t="shared" si="65"/>
        <v>45507</v>
      </c>
      <c r="C561" s="3">
        <f t="shared" si="71"/>
        <v>-45507</v>
      </c>
      <c r="D561">
        <f t="shared" si="66"/>
        <v>616</v>
      </c>
      <c r="E561">
        <f t="shared" si="67"/>
        <v>20</v>
      </c>
      <c r="F561">
        <f t="shared" si="68"/>
        <v>2</v>
      </c>
      <c r="G561">
        <f t="shared" si="72"/>
        <v>2</v>
      </c>
      <c r="H561">
        <f t="shared" si="69"/>
        <v>2</v>
      </c>
      <c r="I561" s="4" t="str">
        <f t="shared" si="70"/>
        <v>222</v>
      </c>
      <c r="Q561" s="1">
        <v>0.9061298383647467</v>
      </c>
      <c r="R561" s="1">
        <v>0.39449831524480761</v>
      </c>
    </row>
    <row r="562" spans="1:18" x14ac:dyDescent="0.35">
      <c r="A562" t="s">
        <v>564</v>
      </c>
      <c r="B562" s="2">
        <f t="shared" si="65"/>
        <v>45424</v>
      </c>
      <c r="C562" s="3">
        <f t="shared" si="71"/>
        <v>-45424</v>
      </c>
      <c r="D562">
        <f t="shared" si="66"/>
        <v>393</v>
      </c>
      <c r="E562">
        <f t="shared" si="67"/>
        <v>13</v>
      </c>
      <c r="F562">
        <f t="shared" si="68"/>
        <v>2</v>
      </c>
      <c r="G562">
        <f t="shared" si="72"/>
        <v>2</v>
      </c>
      <c r="H562">
        <f t="shared" si="69"/>
        <v>2</v>
      </c>
      <c r="I562" s="4" t="str">
        <f t="shared" si="70"/>
        <v>222</v>
      </c>
      <c r="Q562" s="1">
        <v>0.78757873361437147</v>
      </c>
      <c r="R562" s="1">
        <v>0.24197896489570581</v>
      </c>
    </row>
    <row r="563" spans="1:18" x14ac:dyDescent="0.35">
      <c r="A563" t="s">
        <v>565</v>
      </c>
      <c r="B563" s="2">
        <f t="shared" si="65"/>
        <v>45457</v>
      </c>
      <c r="C563" s="3">
        <f t="shared" si="71"/>
        <v>-45457</v>
      </c>
      <c r="D563">
        <f t="shared" si="66"/>
        <v>480</v>
      </c>
      <c r="E563">
        <f t="shared" si="67"/>
        <v>16</v>
      </c>
      <c r="F563">
        <f t="shared" si="68"/>
        <v>2</v>
      </c>
      <c r="G563">
        <f t="shared" si="72"/>
        <v>2</v>
      </c>
      <c r="H563">
        <f t="shared" si="69"/>
        <v>2</v>
      </c>
      <c r="I563" s="4" t="str">
        <f t="shared" si="70"/>
        <v>222</v>
      </c>
      <c r="Q563" s="1">
        <v>0.31976898955770017</v>
      </c>
      <c r="R563" s="1">
        <v>0.30170079234307245</v>
      </c>
    </row>
    <row r="564" spans="1:18" x14ac:dyDescent="0.35">
      <c r="A564" t="s">
        <v>566</v>
      </c>
      <c r="B564" s="2">
        <f t="shared" si="65"/>
        <v>45348</v>
      </c>
      <c r="C564" s="3">
        <f t="shared" si="71"/>
        <v>-45348</v>
      </c>
      <c r="D564">
        <f t="shared" si="66"/>
        <v>191</v>
      </c>
      <c r="E564">
        <f t="shared" si="67"/>
        <v>6</v>
      </c>
      <c r="F564">
        <f t="shared" si="68"/>
        <v>1</v>
      </c>
      <c r="G564">
        <f t="shared" si="72"/>
        <v>1</v>
      </c>
      <c r="H564">
        <f t="shared" si="69"/>
        <v>1</v>
      </c>
      <c r="I564" s="4" t="str">
        <f t="shared" si="70"/>
        <v>111</v>
      </c>
      <c r="Q564" s="1">
        <v>0.73428055653037583</v>
      </c>
      <c r="R564" s="1">
        <v>0.10321089660554916</v>
      </c>
    </row>
    <row r="565" spans="1:18" x14ac:dyDescent="0.35">
      <c r="A565" t="s">
        <v>567</v>
      </c>
      <c r="B565" s="2">
        <f t="shared" si="65"/>
        <v>45360</v>
      </c>
      <c r="C565" s="3">
        <f t="shared" si="71"/>
        <v>-45360</v>
      </c>
      <c r="D565">
        <f t="shared" si="66"/>
        <v>222</v>
      </c>
      <c r="E565">
        <f t="shared" si="67"/>
        <v>7</v>
      </c>
      <c r="F565">
        <f t="shared" si="68"/>
        <v>1</v>
      </c>
      <c r="G565">
        <f t="shared" si="72"/>
        <v>1</v>
      </c>
      <c r="H565">
        <f t="shared" si="69"/>
        <v>1</v>
      </c>
      <c r="I565" s="4" t="str">
        <f t="shared" si="70"/>
        <v>111</v>
      </c>
      <c r="Q565" s="1">
        <v>0.29261486637604284</v>
      </c>
      <c r="R565" s="1">
        <v>0.12468543809802268</v>
      </c>
    </row>
    <row r="566" spans="1:18" x14ac:dyDescent="0.35">
      <c r="A566" t="s">
        <v>568</v>
      </c>
      <c r="B566" s="2">
        <f t="shared" si="65"/>
        <v>45463</v>
      </c>
      <c r="C566" s="3">
        <f t="shared" si="71"/>
        <v>-45463</v>
      </c>
      <c r="D566">
        <f t="shared" si="66"/>
        <v>497</v>
      </c>
      <c r="E566">
        <f t="shared" si="67"/>
        <v>16</v>
      </c>
      <c r="F566">
        <f t="shared" si="68"/>
        <v>2</v>
      </c>
      <c r="G566">
        <f t="shared" si="72"/>
        <v>2</v>
      </c>
      <c r="H566">
        <f t="shared" si="69"/>
        <v>2</v>
      </c>
      <c r="I566" s="4" t="str">
        <f t="shared" si="70"/>
        <v>222</v>
      </c>
      <c r="Q566" s="1">
        <v>0.51242559834719803</v>
      </c>
      <c r="R566" s="1">
        <v>0.31287026753524894</v>
      </c>
    </row>
    <row r="567" spans="1:18" x14ac:dyDescent="0.35">
      <c r="A567" t="s">
        <v>569</v>
      </c>
      <c r="B567" s="2">
        <f t="shared" si="65"/>
        <v>45708</v>
      </c>
      <c r="C567" s="3">
        <f t="shared" si="71"/>
        <v>-45708</v>
      </c>
      <c r="D567">
        <f t="shared" si="66"/>
        <v>1151</v>
      </c>
      <c r="E567">
        <f t="shared" si="67"/>
        <v>38</v>
      </c>
      <c r="F567">
        <f t="shared" si="68"/>
        <v>4</v>
      </c>
      <c r="G567">
        <f t="shared" si="72"/>
        <v>4</v>
      </c>
      <c r="H567">
        <f t="shared" si="69"/>
        <v>4</v>
      </c>
      <c r="I567" s="4" t="str">
        <f t="shared" si="70"/>
        <v>444</v>
      </c>
      <c r="Q567" s="1">
        <v>4.6889649550613588E-2</v>
      </c>
      <c r="R567" s="1">
        <v>0.76124809357985423</v>
      </c>
    </row>
    <row r="568" spans="1:18" x14ac:dyDescent="0.35">
      <c r="A568" t="s">
        <v>570</v>
      </c>
      <c r="B568" s="2">
        <f t="shared" si="65"/>
        <v>45676</v>
      </c>
      <c r="C568" s="3">
        <f t="shared" si="71"/>
        <v>-45676</v>
      </c>
      <c r="D568">
        <f t="shared" si="66"/>
        <v>1067</v>
      </c>
      <c r="E568">
        <f t="shared" si="67"/>
        <v>35</v>
      </c>
      <c r="F568">
        <f t="shared" si="68"/>
        <v>4</v>
      </c>
      <c r="G568">
        <f t="shared" si="72"/>
        <v>4</v>
      </c>
      <c r="H568">
        <f t="shared" si="69"/>
        <v>4</v>
      </c>
      <c r="I568" s="4" t="str">
        <f t="shared" si="70"/>
        <v>444</v>
      </c>
      <c r="Q568" s="1">
        <v>0.1377943370828606</v>
      </c>
      <c r="R568" s="1">
        <v>0.70347854563395629</v>
      </c>
    </row>
    <row r="569" spans="1:18" x14ac:dyDescent="0.35">
      <c r="A569" t="s">
        <v>571</v>
      </c>
      <c r="B569" s="2">
        <f t="shared" si="65"/>
        <v>45339</v>
      </c>
      <c r="C569" s="3">
        <f t="shared" si="71"/>
        <v>-45339</v>
      </c>
      <c r="D569">
        <f t="shared" si="66"/>
        <v>165</v>
      </c>
      <c r="E569">
        <f t="shared" si="67"/>
        <v>5</v>
      </c>
      <c r="F569">
        <f t="shared" si="68"/>
        <v>1</v>
      </c>
      <c r="G569">
        <f t="shared" si="72"/>
        <v>1</v>
      </c>
      <c r="H569">
        <f t="shared" si="69"/>
        <v>1</v>
      </c>
      <c r="I569" s="4" t="str">
        <f t="shared" si="70"/>
        <v>111</v>
      </c>
      <c r="Q569" s="1">
        <v>0.32305078786060115</v>
      </c>
      <c r="R569" s="1">
        <v>8.5950876549136468E-2</v>
      </c>
    </row>
    <row r="570" spans="1:18" x14ac:dyDescent="0.35">
      <c r="A570" t="s">
        <v>572</v>
      </c>
      <c r="B570" s="2">
        <f t="shared" si="65"/>
        <v>45667</v>
      </c>
      <c r="C570" s="3">
        <f t="shared" si="71"/>
        <v>-45667</v>
      </c>
      <c r="D570">
        <f t="shared" si="66"/>
        <v>1043</v>
      </c>
      <c r="E570">
        <f t="shared" si="67"/>
        <v>35</v>
      </c>
      <c r="F570">
        <f t="shared" si="68"/>
        <v>4</v>
      </c>
      <c r="G570">
        <f t="shared" si="72"/>
        <v>4</v>
      </c>
      <c r="H570">
        <f t="shared" si="69"/>
        <v>4</v>
      </c>
      <c r="I570" s="4" t="str">
        <f t="shared" si="70"/>
        <v>444</v>
      </c>
      <c r="Q570" s="1">
        <v>0.18032399949511313</v>
      </c>
      <c r="R570" s="1">
        <v>0.68707031331527235</v>
      </c>
    </row>
    <row r="571" spans="1:18" x14ac:dyDescent="0.35">
      <c r="A571" t="s">
        <v>573</v>
      </c>
      <c r="B571" s="2">
        <f t="shared" si="65"/>
        <v>45296</v>
      </c>
      <c r="C571" s="3">
        <f t="shared" si="71"/>
        <v>-45296</v>
      </c>
      <c r="D571">
        <f t="shared" si="66"/>
        <v>49</v>
      </c>
      <c r="E571">
        <f t="shared" si="67"/>
        <v>1</v>
      </c>
      <c r="F571">
        <f t="shared" si="68"/>
        <v>1</v>
      </c>
      <c r="G571">
        <f t="shared" si="72"/>
        <v>1</v>
      </c>
      <c r="H571">
        <f t="shared" si="69"/>
        <v>1</v>
      </c>
      <c r="I571" s="4" t="str">
        <f t="shared" si="70"/>
        <v>111</v>
      </c>
      <c r="Q571" s="1">
        <v>0.31590432365318677</v>
      </c>
      <c r="R571" s="1">
        <v>6.425260836745883E-3</v>
      </c>
    </row>
    <row r="572" spans="1:18" x14ac:dyDescent="0.35">
      <c r="A572" t="s">
        <v>574</v>
      </c>
      <c r="B572" s="2">
        <f t="shared" si="65"/>
        <v>45328</v>
      </c>
      <c r="C572" s="3">
        <f t="shared" si="71"/>
        <v>-45328</v>
      </c>
      <c r="D572">
        <f t="shared" si="66"/>
        <v>135</v>
      </c>
      <c r="E572">
        <f t="shared" si="67"/>
        <v>4</v>
      </c>
      <c r="F572">
        <f t="shared" si="68"/>
        <v>1</v>
      </c>
      <c r="G572">
        <f t="shared" si="72"/>
        <v>1</v>
      </c>
      <c r="H572">
        <f t="shared" si="69"/>
        <v>1</v>
      </c>
      <c r="I572" s="4" t="str">
        <f t="shared" si="70"/>
        <v>111</v>
      </c>
      <c r="Q572" s="1">
        <v>0.55748541743050972</v>
      </c>
      <c r="R572" s="1">
        <v>6.5286687494895412E-2</v>
      </c>
    </row>
    <row r="573" spans="1:18" x14ac:dyDescent="0.35">
      <c r="A573" t="s">
        <v>575</v>
      </c>
      <c r="B573" s="2">
        <f t="shared" si="65"/>
        <v>45831</v>
      </c>
      <c r="C573" s="3">
        <f t="shared" si="71"/>
        <v>-45831</v>
      </c>
      <c r="D573">
        <f t="shared" si="66"/>
        <v>1480</v>
      </c>
      <c r="E573">
        <f t="shared" si="67"/>
        <v>49</v>
      </c>
      <c r="F573">
        <f t="shared" si="68"/>
        <v>5</v>
      </c>
      <c r="G573">
        <f t="shared" si="72"/>
        <v>5</v>
      </c>
      <c r="H573">
        <f t="shared" si="69"/>
        <v>5</v>
      </c>
      <c r="I573" s="4" t="str">
        <f t="shared" si="70"/>
        <v>555</v>
      </c>
      <c r="Q573" s="1">
        <v>0.3504564394466293</v>
      </c>
      <c r="R573" s="1">
        <v>0.98645053099812308</v>
      </c>
    </row>
    <row r="574" spans="1:18" x14ac:dyDescent="0.35">
      <c r="A574" t="s">
        <v>576</v>
      </c>
      <c r="B574" s="2">
        <f t="shared" si="65"/>
        <v>45374</v>
      </c>
      <c r="C574" s="3">
        <f t="shared" si="71"/>
        <v>-45374</v>
      </c>
      <c r="D574">
        <f t="shared" si="66"/>
        <v>259</v>
      </c>
      <c r="E574">
        <f t="shared" si="67"/>
        <v>8</v>
      </c>
      <c r="F574">
        <f t="shared" si="68"/>
        <v>1</v>
      </c>
      <c r="G574">
        <f t="shared" si="72"/>
        <v>1</v>
      </c>
      <c r="H574">
        <f t="shared" si="69"/>
        <v>1</v>
      </c>
      <c r="I574" s="4" t="str">
        <f t="shared" si="70"/>
        <v>111</v>
      </c>
      <c r="Q574" s="1">
        <v>0.73823096586533676</v>
      </c>
      <c r="R574" s="1">
        <v>0.15010874416075848</v>
      </c>
    </row>
    <row r="575" spans="1:18" x14ac:dyDescent="0.35">
      <c r="A575" t="s">
        <v>577</v>
      </c>
      <c r="B575" s="2">
        <f t="shared" si="65"/>
        <v>45557</v>
      </c>
      <c r="C575" s="3">
        <f t="shared" si="71"/>
        <v>-45557</v>
      </c>
      <c r="D575">
        <f t="shared" si="66"/>
        <v>748</v>
      </c>
      <c r="E575">
        <f t="shared" si="67"/>
        <v>25</v>
      </c>
      <c r="F575">
        <f t="shared" si="68"/>
        <v>2</v>
      </c>
      <c r="G575">
        <f t="shared" si="72"/>
        <v>2</v>
      </c>
      <c r="H575">
        <f t="shared" si="69"/>
        <v>2</v>
      </c>
      <c r="I575" s="4" t="str">
        <f t="shared" si="70"/>
        <v>222</v>
      </c>
      <c r="Q575" s="1">
        <v>0.2930306188228895</v>
      </c>
      <c r="R575" s="1">
        <v>0.48511225531283375</v>
      </c>
    </row>
    <row r="576" spans="1:18" x14ac:dyDescent="0.35">
      <c r="A576" t="s">
        <v>578</v>
      </c>
      <c r="B576" s="2">
        <f t="shared" si="65"/>
        <v>45674</v>
      </c>
      <c r="C576" s="3">
        <f t="shared" si="71"/>
        <v>-45674</v>
      </c>
      <c r="D576">
        <f t="shared" si="66"/>
        <v>1062</v>
      </c>
      <c r="E576">
        <f t="shared" si="67"/>
        <v>35</v>
      </c>
      <c r="F576">
        <f t="shared" si="68"/>
        <v>4</v>
      </c>
      <c r="G576">
        <f t="shared" si="72"/>
        <v>4</v>
      </c>
      <c r="H576">
        <f t="shared" si="69"/>
        <v>4</v>
      </c>
      <c r="I576" s="4" t="str">
        <f t="shared" si="70"/>
        <v>444</v>
      </c>
      <c r="Q576" s="1">
        <v>0.21477665542348701</v>
      </c>
      <c r="R576" s="1">
        <v>0.70024407902824226</v>
      </c>
    </row>
    <row r="577" spans="1:18" x14ac:dyDescent="0.35">
      <c r="A577" t="s">
        <v>579</v>
      </c>
      <c r="B577" s="2">
        <f t="shared" si="65"/>
        <v>45441</v>
      </c>
      <c r="C577" s="3">
        <f t="shared" si="71"/>
        <v>-45441</v>
      </c>
      <c r="D577">
        <f t="shared" si="66"/>
        <v>440</v>
      </c>
      <c r="E577">
        <f t="shared" si="67"/>
        <v>14</v>
      </c>
      <c r="F577">
        <f t="shared" si="68"/>
        <v>2</v>
      </c>
      <c r="G577">
        <f t="shared" si="72"/>
        <v>2</v>
      </c>
      <c r="H577">
        <f t="shared" si="69"/>
        <v>2</v>
      </c>
      <c r="I577" s="4" t="str">
        <f t="shared" si="70"/>
        <v>222</v>
      </c>
      <c r="Q577" s="1">
        <v>0.15264424511207442</v>
      </c>
      <c r="R577" s="1">
        <v>0.27377957846268741</v>
      </c>
    </row>
    <row r="578" spans="1:18" x14ac:dyDescent="0.35">
      <c r="A578" t="s">
        <v>580</v>
      </c>
      <c r="B578" s="2">
        <f t="shared" si="65"/>
        <v>45772</v>
      </c>
      <c r="C578" s="3">
        <f t="shared" si="71"/>
        <v>-45772</v>
      </c>
      <c r="D578">
        <f t="shared" si="66"/>
        <v>1323</v>
      </c>
      <c r="E578">
        <f t="shared" si="67"/>
        <v>44</v>
      </c>
      <c r="F578">
        <f t="shared" si="68"/>
        <v>5</v>
      </c>
      <c r="G578">
        <f t="shared" si="72"/>
        <v>5</v>
      </c>
      <c r="H578">
        <f t="shared" si="69"/>
        <v>5</v>
      </c>
      <c r="I578" s="4" t="str">
        <f t="shared" si="70"/>
        <v>555</v>
      </c>
      <c r="Q578" s="1">
        <v>0.29063136355587538</v>
      </c>
      <c r="R578" s="1">
        <v>0.8784328461734261</v>
      </c>
    </row>
    <row r="579" spans="1:18" x14ac:dyDescent="0.35">
      <c r="A579" t="s">
        <v>581</v>
      </c>
      <c r="B579" s="2">
        <f t="shared" ref="B579:B642" si="73">ROUND(R579*(45838-45292)+45292,0)</f>
        <v>45427</v>
      </c>
      <c r="C579" s="3">
        <f t="shared" si="71"/>
        <v>-45427</v>
      </c>
      <c r="D579">
        <f t="shared" ref="D579:D642" si="74">ROUND((R579)*(1500-40)+40,0)</f>
        <v>402</v>
      </c>
      <c r="E579">
        <f t="shared" ref="E579:E642" si="75">ROUND((R579)*(50-1)+1,0)</f>
        <v>13</v>
      </c>
      <c r="F579">
        <f t="shared" ref="F579:F642" si="76">IF(C579&lt;=$M$4,5,IF(C579&lt;=$M$9,4,IF(C579&lt;=$M$5,3,IF(C579&lt;=$M$6,2,1))))</f>
        <v>2</v>
      </c>
      <c r="G579">
        <f t="shared" si="72"/>
        <v>2</v>
      </c>
      <c r="H579">
        <f t="shared" ref="H579:H642" si="77">IF(D579&lt;=$M$24,1,IF(D579&lt;=$M$25,2,IF(D579&lt;=$M$29,3,IF(D579&lt;=$M$26,4,5))))</f>
        <v>2</v>
      </c>
      <c r="I579" s="4" t="str">
        <f t="shared" ref="I579:I642" si="78">CONCATENATE(F579,G579,H579)</f>
        <v>222</v>
      </c>
      <c r="Q579" s="1">
        <v>0.76808652353020246</v>
      </c>
      <c r="R579" s="1">
        <v>0.24776996031961496</v>
      </c>
    </row>
    <row r="580" spans="1:18" x14ac:dyDescent="0.35">
      <c r="A580" t="s">
        <v>582</v>
      </c>
      <c r="B580" s="2">
        <f t="shared" si="73"/>
        <v>45361</v>
      </c>
      <c r="C580" s="3">
        <f t="shared" ref="C580:C643" si="79">$S$4-B580</f>
        <v>-45361</v>
      </c>
      <c r="D580">
        <f t="shared" si="74"/>
        <v>224</v>
      </c>
      <c r="E580">
        <f t="shared" si="75"/>
        <v>7</v>
      </c>
      <c r="F580">
        <f t="shared" si="76"/>
        <v>1</v>
      </c>
      <c r="G580">
        <f t="shared" ref="G580:G643" si="80">IF(E580&lt;=$M$14,1,IF(E580&lt;=$M$15,2,IF(E580&lt;=$M$19,3,IF(E580&lt;=$M$16,4,5))))</f>
        <v>1</v>
      </c>
      <c r="H580">
        <f t="shared" si="77"/>
        <v>1</v>
      </c>
      <c r="I580" s="4" t="str">
        <f t="shared" si="78"/>
        <v>111</v>
      </c>
      <c r="Q580" s="1">
        <v>0.94053302252970483</v>
      </c>
      <c r="R580" s="1">
        <v>0.12602351395776579</v>
      </c>
    </row>
    <row r="581" spans="1:18" x14ac:dyDescent="0.35">
      <c r="A581" t="s">
        <v>583</v>
      </c>
      <c r="B581" s="2">
        <f t="shared" si="73"/>
        <v>45669</v>
      </c>
      <c r="C581" s="3">
        <f t="shared" si="79"/>
        <v>-45669</v>
      </c>
      <c r="D581">
        <f t="shared" si="74"/>
        <v>1047</v>
      </c>
      <c r="E581">
        <f t="shared" si="75"/>
        <v>35</v>
      </c>
      <c r="F581">
        <f t="shared" si="76"/>
        <v>4</v>
      </c>
      <c r="G581">
        <f t="shared" si="80"/>
        <v>4</v>
      </c>
      <c r="H581">
        <f t="shared" si="77"/>
        <v>4</v>
      </c>
      <c r="I581" s="4" t="str">
        <f t="shared" si="78"/>
        <v>444</v>
      </c>
      <c r="Q581" s="1">
        <v>0.68311713045856748</v>
      </c>
      <c r="R581" s="1">
        <v>0.68978657023172796</v>
      </c>
    </row>
    <row r="582" spans="1:18" x14ac:dyDescent="0.35">
      <c r="A582" t="s">
        <v>584</v>
      </c>
      <c r="B582" s="2">
        <f t="shared" si="73"/>
        <v>45459</v>
      </c>
      <c r="C582" s="3">
        <f t="shared" si="79"/>
        <v>-45459</v>
      </c>
      <c r="D582">
        <f t="shared" si="74"/>
        <v>486</v>
      </c>
      <c r="E582">
        <f t="shared" si="75"/>
        <v>16</v>
      </c>
      <c r="F582">
        <f t="shared" si="76"/>
        <v>2</v>
      </c>
      <c r="G582">
        <f t="shared" si="80"/>
        <v>2</v>
      </c>
      <c r="H582">
        <f t="shared" si="77"/>
        <v>2</v>
      </c>
      <c r="I582" s="4" t="str">
        <f t="shared" si="78"/>
        <v>222</v>
      </c>
      <c r="Q582" s="1">
        <v>0.95509945156939335</v>
      </c>
      <c r="R582" s="1">
        <v>0.30535102193583352</v>
      </c>
    </row>
    <row r="583" spans="1:18" x14ac:dyDescent="0.35">
      <c r="A583" t="s">
        <v>585</v>
      </c>
      <c r="B583" s="2">
        <f t="shared" si="73"/>
        <v>45390</v>
      </c>
      <c r="C583" s="3">
        <f t="shared" si="79"/>
        <v>-45390</v>
      </c>
      <c r="D583">
        <f t="shared" si="74"/>
        <v>303</v>
      </c>
      <c r="E583">
        <f t="shared" si="75"/>
        <v>10</v>
      </c>
      <c r="F583">
        <f t="shared" si="76"/>
        <v>1</v>
      </c>
      <c r="G583">
        <f t="shared" si="80"/>
        <v>1</v>
      </c>
      <c r="H583">
        <f t="shared" si="77"/>
        <v>1</v>
      </c>
      <c r="I583" s="4" t="str">
        <f t="shared" si="78"/>
        <v>111</v>
      </c>
      <c r="Q583" s="1">
        <v>0.98471060341637751</v>
      </c>
      <c r="R583" s="1">
        <v>0.17998450226625395</v>
      </c>
    </row>
    <row r="584" spans="1:18" x14ac:dyDescent="0.35">
      <c r="A584" t="s">
        <v>586</v>
      </c>
      <c r="B584" s="2">
        <f t="shared" si="73"/>
        <v>45295</v>
      </c>
      <c r="C584" s="3">
        <f t="shared" si="79"/>
        <v>-45295</v>
      </c>
      <c r="D584">
        <f t="shared" si="74"/>
        <v>49</v>
      </c>
      <c r="E584">
        <f t="shared" si="75"/>
        <v>1</v>
      </c>
      <c r="F584">
        <f t="shared" si="76"/>
        <v>1</v>
      </c>
      <c r="G584">
        <f t="shared" si="80"/>
        <v>1</v>
      </c>
      <c r="H584">
        <f t="shared" si="77"/>
        <v>1</v>
      </c>
      <c r="I584" s="4" t="str">
        <f t="shared" si="78"/>
        <v>111</v>
      </c>
      <c r="Q584" s="1">
        <v>0.59082910516674425</v>
      </c>
      <c r="R584" s="1">
        <v>6.1166479409868746E-3</v>
      </c>
    </row>
    <row r="585" spans="1:18" x14ac:dyDescent="0.35">
      <c r="A585" t="s">
        <v>587</v>
      </c>
      <c r="B585" s="2">
        <f t="shared" si="73"/>
        <v>45439</v>
      </c>
      <c r="C585" s="3">
        <f t="shared" si="79"/>
        <v>-45439</v>
      </c>
      <c r="D585">
        <f t="shared" si="74"/>
        <v>434</v>
      </c>
      <c r="E585">
        <f t="shared" si="75"/>
        <v>14</v>
      </c>
      <c r="F585">
        <f t="shared" si="76"/>
        <v>2</v>
      </c>
      <c r="G585">
        <f t="shared" si="80"/>
        <v>2</v>
      </c>
      <c r="H585">
        <f t="shared" si="77"/>
        <v>2</v>
      </c>
      <c r="I585" s="4" t="str">
        <f t="shared" si="78"/>
        <v>222</v>
      </c>
      <c r="Q585" s="1">
        <v>0.13240524287588995</v>
      </c>
      <c r="R585" s="1">
        <v>0.27014345758392411</v>
      </c>
    </row>
    <row r="586" spans="1:18" x14ac:dyDescent="0.35">
      <c r="A586" t="s">
        <v>588</v>
      </c>
      <c r="B586" s="2">
        <f t="shared" si="73"/>
        <v>45529</v>
      </c>
      <c r="C586" s="3">
        <f t="shared" si="79"/>
        <v>-45529</v>
      </c>
      <c r="D586">
        <f t="shared" si="74"/>
        <v>673</v>
      </c>
      <c r="E586">
        <f t="shared" si="75"/>
        <v>22</v>
      </c>
      <c r="F586">
        <f t="shared" si="76"/>
        <v>2</v>
      </c>
      <c r="G586">
        <f t="shared" si="80"/>
        <v>2</v>
      </c>
      <c r="H586">
        <f t="shared" si="77"/>
        <v>2</v>
      </c>
      <c r="I586" s="4" t="str">
        <f t="shared" si="78"/>
        <v>222</v>
      </c>
      <c r="Q586" s="1">
        <v>0.27193440200458163</v>
      </c>
      <c r="R586" s="1">
        <v>0.43336896772564193</v>
      </c>
    </row>
    <row r="587" spans="1:18" x14ac:dyDescent="0.35">
      <c r="A587" t="s">
        <v>589</v>
      </c>
      <c r="B587" s="2">
        <f t="shared" si="73"/>
        <v>45767</v>
      </c>
      <c r="C587" s="3">
        <f t="shared" si="79"/>
        <v>-45767</v>
      </c>
      <c r="D587">
        <f t="shared" si="74"/>
        <v>1311</v>
      </c>
      <c r="E587">
        <f t="shared" si="75"/>
        <v>44</v>
      </c>
      <c r="F587">
        <f t="shared" si="76"/>
        <v>5</v>
      </c>
      <c r="G587">
        <f t="shared" si="80"/>
        <v>5</v>
      </c>
      <c r="H587">
        <f t="shared" si="77"/>
        <v>5</v>
      </c>
      <c r="I587" s="4" t="str">
        <f t="shared" si="78"/>
        <v>555</v>
      </c>
      <c r="Q587" s="1">
        <v>0.93165816802982304</v>
      </c>
      <c r="R587" s="1">
        <v>0.87075520131658812</v>
      </c>
    </row>
    <row r="588" spans="1:18" x14ac:dyDescent="0.35">
      <c r="A588" t="s">
        <v>590</v>
      </c>
      <c r="B588" s="2">
        <f t="shared" si="73"/>
        <v>45803</v>
      </c>
      <c r="C588" s="3">
        <f t="shared" si="79"/>
        <v>-45803</v>
      </c>
      <c r="D588">
        <f t="shared" si="74"/>
        <v>1406</v>
      </c>
      <c r="E588">
        <f t="shared" si="75"/>
        <v>47</v>
      </c>
      <c r="F588">
        <f t="shared" si="76"/>
        <v>5</v>
      </c>
      <c r="G588">
        <f t="shared" si="80"/>
        <v>5</v>
      </c>
      <c r="H588">
        <f t="shared" si="77"/>
        <v>5</v>
      </c>
      <c r="I588" s="4" t="str">
        <f t="shared" si="78"/>
        <v>555</v>
      </c>
      <c r="Q588" s="1">
        <v>0.74882422550061745</v>
      </c>
      <c r="R588" s="1">
        <v>0.93572341158178918</v>
      </c>
    </row>
    <row r="589" spans="1:18" x14ac:dyDescent="0.35">
      <c r="A589" t="s">
        <v>591</v>
      </c>
      <c r="B589" s="2">
        <f t="shared" si="73"/>
        <v>45562</v>
      </c>
      <c r="C589" s="3">
        <f t="shared" si="79"/>
        <v>-45562</v>
      </c>
      <c r="D589">
        <f t="shared" si="74"/>
        <v>761</v>
      </c>
      <c r="E589">
        <f t="shared" si="75"/>
        <v>25</v>
      </c>
      <c r="F589">
        <f t="shared" si="76"/>
        <v>2</v>
      </c>
      <c r="G589">
        <f t="shared" si="80"/>
        <v>2</v>
      </c>
      <c r="H589">
        <f t="shared" si="77"/>
        <v>2</v>
      </c>
      <c r="I589" s="4" t="str">
        <f t="shared" si="78"/>
        <v>222</v>
      </c>
      <c r="Q589" s="1">
        <v>0.7917484302297626</v>
      </c>
      <c r="R589" s="1">
        <v>0.49375981108061562</v>
      </c>
    </row>
    <row r="590" spans="1:18" x14ac:dyDescent="0.35">
      <c r="A590" t="s">
        <v>592</v>
      </c>
      <c r="B590" s="2">
        <f t="shared" si="73"/>
        <v>45351</v>
      </c>
      <c r="C590" s="3">
        <f t="shared" si="79"/>
        <v>-45351</v>
      </c>
      <c r="D590">
        <f t="shared" si="74"/>
        <v>197</v>
      </c>
      <c r="E590">
        <f t="shared" si="75"/>
        <v>6</v>
      </c>
      <c r="F590">
        <f t="shared" si="76"/>
        <v>1</v>
      </c>
      <c r="G590">
        <f t="shared" si="80"/>
        <v>1</v>
      </c>
      <c r="H590">
        <f t="shared" si="77"/>
        <v>1</v>
      </c>
      <c r="I590" s="4" t="str">
        <f t="shared" si="78"/>
        <v>111</v>
      </c>
      <c r="Q590" s="1">
        <v>0.17223443742833267</v>
      </c>
      <c r="R590" s="1">
        <v>0.10766131160427561</v>
      </c>
    </row>
    <row r="591" spans="1:18" x14ac:dyDescent="0.35">
      <c r="A591" t="s">
        <v>593</v>
      </c>
      <c r="B591" s="2">
        <f t="shared" si="73"/>
        <v>45564</v>
      </c>
      <c r="C591" s="3">
        <f t="shared" si="79"/>
        <v>-45564</v>
      </c>
      <c r="D591">
        <f t="shared" si="74"/>
        <v>767</v>
      </c>
      <c r="E591">
        <f t="shared" si="75"/>
        <v>25</v>
      </c>
      <c r="F591">
        <f t="shared" si="76"/>
        <v>3</v>
      </c>
      <c r="G591">
        <f t="shared" si="80"/>
        <v>2</v>
      </c>
      <c r="H591">
        <f t="shared" si="77"/>
        <v>3</v>
      </c>
      <c r="I591" s="4" t="str">
        <f t="shared" si="78"/>
        <v>323</v>
      </c>
      <c r="Q591" s="1">
        <v>0.3839002266841397</v>
      </c>
      <c r="R591" s="1">
        <v>0.49813030503933542</v>
      </c>
    </row>
    <row r="592" spans="1:18" x14ac:dyDescent="0.35">
      <c r="A592" t="s">
        <v>594</v>
      </c>
      <c r="B592" s="2">
        <f t="shared" si="73"/>
        <v>45640</v>
      </c>
      <c r="C592" s="3">
        <f t="shared" si="79"/>
        <v>-45640</v>
      </c>
      <c r="D592">
        <f t="shared" si="74"/>
        <v>971</v>
      </c>
      <c r="E592">
        <f t="shared" si="75"/>
        <v>32</v>
      </c>
      <c r="F592">
        <f t="shared" si="76"/>
        <v>4</v>
      </c>
      <c r="G592">
        <f t="shared" si="80"/>
        <v>4</v>
      </c>
      <c r="H592">
        <f t="shared" si="77"/>
        <v>4</v>
      </c>
      <c r="I592" s="4" t="str">
        <f t="shared" si="78"/>
        <v>444</v>
      </c>
      <c r="Q592" s="1">
        <v>0.63771432244128168</v>
      </c>
      <c r="R592" s="1">
        <v>0.63778316008143177</v>
      </c>
    </row>
    <row r="593" spans="1:18" x14ac:dyDescent="0.35">
      <c r="A593" t="s">
        <v>595</v>
      </c>
      <c r="B593" s="2">
        <f t="shared" si="73"/>
        <v>45302</v>
      </c>
      <c r="C593" s="3">
        <f t="shared" si="79"/>
        <v>-45302</v>
      </c>
      <c r="D593">
        <f t="shared" si="74"/>
        <v>66</v>
      </c>
      <c r="E593">
        <f t="shared" si="75"/>
        <v>2</v>
      </c>
      <c r="F593">
        <f t="shared" si="76"/>
        <v>1</v>
      </c>
      <c r="G593">
        <f t="shared" si="80"/>
        <v>1</v>
      </c>
      <c r="H593">
        <f t="shared" si="77"/>
        <v>1</v>
      </c>
      <c r="I593" s="4" t="str">
        <f t="shared" si="78"/>
        <v>111</v>
      </c>
      <c r="Q593" s="1">
        <v>0.49063389822401926</v>
      </c>
      <c r="R593" s="1">
        <v>1.8057932188179526E-2</v>
      </c>
    </row>
    <row r="594" spans="1:18" x14ac:dyDescent="0.35">
      <c r="A594" t="s">
        <v>596</v>
      </c>
      <c r="B594" s="2">
        <f t="shared" si="73"/>
        <v>45394</v>
      </c>
      <c r="C594" s="3">
        <f t="shared" si="79"/>
        <v>-45394</v>
      </c>
      <c r="D594">
        <f t="shared" si="74"/>
        <v>312</v>
      </c>
      <c r="E594">
        <f t="shared" si="75"/>
        <v>10</v>
      </c>
      <c r="F594">
        <f t="shared" si="76"/>
        <v>1</v>
      </c>
      <c r="G594">
        <f t="shared" si="80"/>
        <v>1</v>
      </c>
      <c r="H594">
        <f t="shared" si="77"/>
        <v>1</v>
      </c>
      <c r="I594" s="4" t="str">
        <f t="shared" si="78"/>
        <v>111</v>
      </c>
      <c r="Q594" s="1">
        <v>0.83310625069645861</v>
      </c>
      <c r="R594" s="1">
        <v>0.18628751583920533</v>
      </c>
    </row>
    <row r="595" spans="1:18" x14ac:dyDescent="0.35">
      <c r="A595" t="s">
        <v>597</v>
      </c>
      <c r="B595" s="2">
        <f t="shared" si="73"/>
        <v>45301</v>
      </c>
      <c r="C595" s="3">
        <f t="shared" si="79"/>
        <v>-45301</v>
      </c>
      <c r="D595">
        <f t="shared" si="74"/>
        <v>64</v>
      </c>
      <c r="E595">
        <f t="shared" si="75"/>
        <v>2</v>
      </c>
      <c r="F595">
        <f t="shared" si="76"/>
        <v>1</v>
      </c>
      <c r="G595">
        <f t="shared" si="80"/>
        <v>1</v>
      </c>
      <c r="H595">
        <f t="shared" si="77"/>
        <v>1</v>
      </c>
      <c r="I595" s="4" t="str">
        <f t="shared" si="78"/>
        <v>111</v>
      </c>
      <c r="Q595" s="1">
        <v>2.0904044851723924E-3</v>
      </c>
      <c r="R595" s="1">
        <v>1.6207106645873659E-2</v>
      </c>
    </row>
    <row r="596" spans="1:18" x14ac:dyDescent="0.35">
      <c r="A596" t="s">
        <v>598</v>
      </c>
      <c r="B596" s="2">
        <f t="shared" si="73"/>
        <v>45417</v>
      </c>
      <c r="C596" s="3">
        <f t="shared" si="79"/>
        <v>-45417</v>
      </c>
      <c r="D596">
        <f t="shared" si="74"/>
        <v>375</v>
      </c>
      <c r="E596">
        <f t="shared" si="75"/>
        <v>12</v>
      </c>
      <c r="F596">
        <f t="shared" si="76"/>
        <v>1</v>
      </c>
      <c r="G596">
        <f t="shared" si="80"/>
        <v>1</v>
      </c>
      <c r="H596">
        <f t="shared" si="77"/>
        <v>1</v>
      </c>
      <c r="I596" s="4" t="str">
        <f t="shared" si="78"/>
        <v>111</v>
      </c>
      <c r="Q596" s="1">
        <v>0.88926177865763678</v>
      </c>
      <c r="R596" s="1">
        <v>0.22976611846766049</v>
      </c>
    </row>
    <row r="597" spans="1:18" x14ac:dyDescent="0.35">
      <c r="A597" t="s">
        <v>599</v>
      </c>
      <c r="B597" s="2">
        <f t="shared" si="73"/>
        <v>45585</v>
      </c>
      <c r="C597" s="3">
        <f t="shared" si="79"/>
        <v>-45585</v>
      </c>
      <c r="D597">
        <f t="shared" si="74"/>
        <v>822</v>
      </c>
      <c r="E597">
        <f t="shared" si="75"/>
        <v>27</v>
      </c>
      <c r="F597">
        <f t="shared" si="76"/>
        <v>4</v>
      </c>
      <c r="G597">
        <f t="shared" si="80"/>
        <v>4</v>
      </c>
      <c r="H597">
        <f t="shared" si="77"/>
        <v>4</v>
      </c>
      <c r="I597" s="4" t="str">
        <f t="shared" si="78"/>
        <v>444</v>
      </c>
      <c r="Q597" s="1">
        <v>0.48523764130139413</v>
      </c>
      <c r="R597" s="1">
        <v>0.53578386380504606</v>
      </c>
    </row>
    <row r="598" spans="1:18" x14ac:dyDescent="0.35">
      <c r="A598" t="s">
        <v>600</v>
      </c>
      <c r="B598" s="2">
        <f t="shared" si="73"/>
        <v>45618</v>
      </c>
      <c r="C598" s="3">
        <f t="shared" si="79"/>
        <v>-45618</v>
      </c>
      <c r="D598">
        <f t="shared" si="74"/>
        <v>913</v>
      </c>
      <c r="E598">
        <f t="shared" si="75"/>
        <v>30</v>
      </c>
      <c r="F598">
        <f t="shared" si="76"/>
        <v>4</v>
      </c>
      <c r="G598">
        <f t="shared" si="80"/>
        <v>4</v>
      </c>
      <c r="H598">
        <f t="shared" si="77"/>
        <v>4</v>
      </c>
      <c r="I598" s="4" t="str">
        <f t="shared" si="78"/>
        <v>444</v>
      </c>
      <c r="Q598" s="1">
        <v>0.86377646033016064</v>
      </c>
      <c r="R598" s="1">
        <v>0.59764123966288363</v>
      </c>
    </row>
    <row r="599" spans="1:18" x14ac:dyDescent="0.35">
      <c r="A599" t="s">
        <v>601</v>
      </c>
      <c r="B599" s="2">
        <f t="shared" si="73"/>
        <v>45385</v>
      </c>
      <c r="C599" s="3">
        <f t="shared" si="79"/>
        <v>-45385</v>
      </c>
      <c r="D599">
        <f t="shared" si="74"/>
        <v>289</v>
      </c>
      <c r="E599">
        <f t="shared" si="75"/>
        <v>9</v>
      </c>
      <c r="F599">
        <f t="shared" si="76"/>
        <v>1</v>
      </c>
      <c r="G599">
        <f t="shared" si="80"/>
        <v>1</v>
      </c>
      <c r="H599">
        <f t="shared" si="77"/>
        <v>1</v>
      </c>
      <c r="I599" s="4" t="str">
        <f t="shared" si="78"/>
        <v>111</v>
      </c>
      <c r="Q599" s="1">
        <v>0.54731274384518258</v>
      </c>
      <c r="R599" s="1">
        <v>0.17049502167361963</v>
      </c>
    </row>
    <row r="600" spans="1:18" x14ac:dyDescent="0.35">
      <c r="A600" t="s">
        <v>602</v>
      </c>
      <c r="B600" s="2">
        <f t="shared" si="73"/>
        <v>45492</v>
      </c>
      <c r="C600" s="3">
        <f t="shared" si="79"/>
        <v>-45492</v>
      </c>
      <c r="D600">
        <f t="shared" si="74"/>
        <v>575</v>
      </c>
      <c r="E600">
        <f t="shared" si="75"/>
        <v>19</v>
      </c>
      <c r="F600">
        <f t="shared" si="76"/>
        <v>2</v>
      </c>
      <c r="G600">
        <f t="shared" si="80"/>
        <v>2</v>
      </c>
      <c r="H600">
        <f t="shared" si="77"/>
        <v>2</v>
      </c>
      <c r="I600" s="4" t="str">
        <f t="shared" si="78"/>
        <v>222</v>
      </c>
      <c r="Q600" s="1">
        <v>0.77408471304393611</v>
      </c>
      <c r="R600" s="1">
        <v>0.36672631049102988</v>
      </c>
    </row>
    <row r="601" spans="1:18" x14ac:dyDescent="0.35">
      <c r="A601" t="s">
        <v>603</v>
      </c>
      <c r="B601" s="2">
        <f t="shared" si="73"/>
        <v>45405</v>
      </c>
      <c r="C601" s="3">
        <f t="shared" si="79"/>
        <v>-45405</v>
      </c>
      <c r="D601">
        <f t="shared" si="74"/>
        <v>343</v>
      </c>
      <c r="E601">
        <f t="shared" si="75"/>
        <v>11</v>
      </c>
      <c r="F601">
        <f t="shared" si="76"/>
        <v>1</v>
      </c>
      <c r="G601">
        <f t="shared" si="80"/>
        <v>1</v>
      </c>
      <c r="H601">
        <f t="shared" si="77"/>
        <v>1</v>
      </c>
      <c r="I601" s="4" t="str">
        <f t="shared" si="78"/>
        <v>111</v>
      </c>
      <c r="Q601" s="1">
        <v>0.58271919620153201</v>
      </c>
      <c r="R601" s="1">
        <v>0.20772951461939948</v>
      </c>
    </row>
    <row r="602" spans="1:18" x14ac:dyDescent="0.35">
      <c r="A602" t="s">
        <v>604</v>
      </c>
      <c r="B602" s="2">
        <f t="shared" si="73"/>
        <v>45516</v>
      </c>
      <c r="C602" s="3">
        <f t="shared" si="79"/>
        <v>-45516</v>
      </c>
      <c r="D602">
        <f t="shared" si="74"/>
        <v>639</v>
      </c>
      <c r="E602">
        <f t="shared" si="75"/>
        <v>21</v>
      </c>
      <c r="F602">
        <f t="shared" si="76"/>
        <v>2</v>
      </c>
      <c r="G602">
        <f t="shared" si="80"/>
        <v>2</v>
      </c>
      <c r="H602">
        <f t="shared" si="77"/>
        <v>2</v>
      </c>
      <c r="I602" s="4" t="str">
        <f t="shared" si="78"/>
        <v>222</v>
      </c>
      <c r="Q602" s="1">
        <v>0.70070525502800918</v>
      </c>
      <c r="R602" s="1">
        <v>0.41033103461340414</v>
      </c>
    </row>
    <row r="603" spans="1:18" x14ac:dyDescent="0.35">
      <c r="A603" t="s">
        <v>605</v>
      </c>
      <c r="B603" s="2">
        <f t="shared" si="73"/>
        <v>45522</v>
      </c>
      <c r="C603" s="3">
        <f t="shared" si="79"/>
        <v>-45522</v>
      </c>
      <c r="D603">
        <f t="shared" si="74"/>
        <v>656</v>
      </c>
      <c r="E603">
        <f t="shared" si="75"/>
        <v>22</v>
      </c>
      <c r="F603">
        <f t="shared" si="76"/>
        <v>2</v>
      </c>
      <c r="G603">
        <f t="shared" si="80"/>
        <v>2</v>
      </c>
      <c r="H603">
        <f t="shared" si="77"/>
        <v>2</v>
      </c>
      <c r="I603" s="4" t="str">
        <f t="shared" si="78"/>
        <v>222</v>
      </c>
      <c r="Q603" s="1">
        <v>0.73547620373710554</v>
      </c>
      <c r="R603" s="1">
        <v>0.42157808366219118</v>
      </c>
    </row>
    <row r="604" spans="1:18" x14ac:dyDescent="0.35">
      <c r="A604" t="s">
        <v>606</v>
      </c>
      <c r="B604" s="2">
        <f t="shared" si="73"/>
        <v>45377</v>
      </c>
      <c r="C604" s="3">
        <f t="shared" si="79"/>
        <v>-45377</v>
      </c>
      <c r="D604">
        <f t="shared" si="74"/>
        <v>267</v>
      </c>
      <c r="E604">
        <f t="shared" si="75"/>
        <v>9</v>
      </c>
      <c r="F604">
        <f t="shared" si="76"/>
        <v>1</v>
      </c>
      <c r="G604">
        <f t="shared" si="80"/>
        <v>1</v>
      </c>
      <c r="H604">
        <f t="shared" si="77"/>
        <v>1</v>
      </c>
      <c r="I604" s="4" t="str">
        <f t="shared" si="78"/>
        <v>111</v>
      </c>
      <c r="Q604" s="1">
        <v>0.88553421170012958</v>
      </c>
      <c r="R604" s="1">
        <v>0.15569383787301405</v>
      </c>
    </row>
    <row r="605" spans="1:18" x14ac:dyDescent="0.35">
      <c r="A605" t="s">
        <v>607</v>
      </c>
      <c r="B605" s="2">
        <f t="shared" si="73"/>
        <v>45395</v>
      </c>
      <c r="C605" s="3">
        <f t="shared" si="79"/>
        <v>-45395</v>
      </c>
      <c r="D605">
        <f t="shared" si="74"/>
        <v>316</v>
      </c>
      <c r="E605">
        <f t="shared" si="75"/>
        <v>10</v>
      </c>
      <c r="F605">
        <f t="shared" si="76"/>
        <v>1</v>
      </c>
      <c r="G605">
        <f t="shared" si="80"/>
        <v>1</v>
      </c>
      <c r="H605">
        <f t="shared" si="77"/>
        <v>1</v>
      </c>
      <c r="I605" s="4" t="str">
        <f t="shared" si="78"/>
        <v>111</v>
      </c>
      <c r="Q605" s="1">
        <v>0.64552060578682657</v>
      </c>
      <c r="R605" s="1">
        <v>0.18886176288318934</v>
      </c>
    </row>
    <row r="606" spans="1:18" x14ac:dyDescent="0.35">
      <c r="A606" t="s">
        <v>608</v>
      </c>
      <c r="B606" s="2">
        <f t="shared" si="73"/>
        <v>45564</v>
      </c>
      <c r="C606" s="3">
        <f t="shared" si="79"/>
        <v>-45564</v>
      </c>
      <c r="D606">
        <f t="shared" si="74"/>
        <v>768</v>
      </c>
      <c r="E606">
        <f t="shared" si="75"/>
        <v>25</v>
      </c>
      <c r="F606">
        <f t="shared" si="76"/>
        <v>3</v>
      </c>
      <c r="G606">
        <f t="shared" si="80"/>
        <v>2</v>
      </c>
      <c r="H606">
        <f t="shared" si="77"/>
        <v>3</v>
      </c>
      <c r="I606" s="4" t="str">
        <f t="shared" si="78"/>
        <v>323</v>
      </c>
      <c r="Q606" s="1">
        <v>0.63087282890647756</v>
      </c>
      <c r="R606" s="1">
        <v>0.49866944050985973</v>
      </c>
    </row>
    <row r="607" spans="1:18" x14ac:dyDescent="0.35">
      <c r="A607" t="s">
        <v>609</v>
      </c>
      <c r="B607" s="2">
        <f t="shared" si="73"/>
        <v>45439</v>
      </c>
      <c r="C607" s="3">
        <f t="shared" si="79"/>
        <v>-45439</v>
      </c>
      <c r="D607">
        <f t="shared" si="74"/>
        <v>432</v>
      </c>
      <c r="E607">
        <f t="shared" si="75"/>
        <v>14</v>
      </c>
      <c r="F607">
        <f t="shared" si="76"/>
        <v>2</v>
      </c>
      <c r="G607">
        <f t="shared" si="80"/>
        <v>2</v>
      </c>
      <c r="H607">
        <f t="shared" si="77"/>
        <v>2</v>
      </c>
      <c r="I607" s="4" t="str">
        <f t="shared" si="78"/>
        <v>222</v>
      </c>
      <c r="Q607" s="1">
        <v>0.20389694438480843</v>
      </c>
      <c r="R607" s="1">
        <v>0.2687262425032374</v>
      </c>
    </row>
    <row r="608" spans="1:18" x14ac:dyDescent="0.35">
      <c r="A608" t="s">
        <v>610</v>
      </c>
      <c r="B608" s="2">
        <f t="shared" si="73"/>
        <v>45827</v>
      </c>
      <c r="C608" s="3">
        <f t="shared" si="79"/>
        <v>-45827</v>
      </c>
      <c r="D608">
        <f t="shared" si="74"/>
        <v>1469</v>
      </c>
      <c r="E608">
        <f t="shared" si="75"/>
        <v>49</v>
      </c>
      <c r="F608">
        <f t="shared" si="76"/>
        <v>5</v>
      </c>
      <c r="G608">
        <f t="shared" si="80"/>
        <v>5</v>
      </c>
      <c r="H608">
        <f t="shared" si="77"/>
        <v>5</v>
      </c>
      <c r="I608" s="4" t="str">
        <f t="shared" si="78"/>
        <v>555</v>
      </c>
      <c r="Q608" s="1">
        <v>0.23334499667709008</v>
      </c>
      <c r="R608" s="1">
        <v>0.97906457430057103</v>
      </c>
    </row>
    <row r="609" spans="1:18" x14ac:dyDescent="0.35">
      <c r="A609" t="s">
        <v>611</v>
      </c>
      <c r="B609" s="2">
        <f t="shared" si="73"/>
        <v>45296</v>
      </c>
      <c r="C609" s="3">
        <f t="shared" si="79"/>
        <v>-45296</v>
      </c>
      <c r="D609">
        <f t="shared" si="74"/>
        <v>51</v>
      </c>
      <c r="E609">
        <f t="shared" si="75"/>
        <v>1</v>
      </c>
      <c r="F609">
        <f t="shared" si="76"/>
        <v>1</v>
      </c>
      <c r="G609">
        <f t="shared" si="80"/>
        <v>1</v>
      </c>
      <c r="H609">
        <f t="shared" si="77"/>
        <v>1</v>
      </c>
      <c r="I609" s="4" t="str">
        <f t="shared" si="78"/>
        <v>111</v>
      </c>
      <c r="Q609" s="1">
        <v>0.99006372084952687</v>
      </c>
      <c r="R609" s="1">
        <v>7.4813240848590201E-3</v>
      </c>
    </row>
    <row r="610" spans="1:18" x14ac:dyDescent="0.35">
      <c r="A610" t="s">
        <v>612</v>
      </c>
      <c r="B610" s="2">
        <f t="shared" si="73"/>
        <v>45738</v>
      </c>
      <c r="C610" s="3">
        <f t="shared" si="79"/>
        <v>-45738</v>
      </c>
      <c r="D610">
        <f t="shared" si="74"/>
        <v>1233</v>
      </c>
      <c r="E610">
        <f t="shared" si="75"/>
        <v>41</v>
      </c>
      <c r="F610">
        <f t="shared" si="76"/>
        <v>5</v>
      </c>
      <c r="G610">
        <f t="shared" si="80"/>
        <v>5</v>
      </c>
      <c r="H610">
        <f t="shared" si="77"/>
        <v>5</v>
      </c>
      <c r="I610" s="4" t="str">
        <f t="shared" si="78"/>
        <v>555</v>
      </c>
      <c r="Q610" s="1">
        <v>0.11105239975760883</v>
      </c>
      <c r="R610" s="1">
        <v>0.81697256663180073</v>
      </c>
    </row>
    <row r="611" spans="1:18" x14ac:dyDescent="0.35">
      <c r="A611" t="s">
        <v>613</v>
      </c>
      <c r="B611" s="2">
        <f t="shared" si="73"/>
        <v>45448</v>
      </c>
      <c r="C611" s="3">
        <f t="shared" si="79"/>
        <v>-45448</v>
      </c>
      <c r="D611">
        <f t="shared" si="74"/>
        <v>457</v>
      </c>
      <c r="E611">
        <f t="shared" si="75"/>
        <v>15</v>
      </c>
      <c r="F611">
        <f t="shared" si="76"/>
        <v>2</v>
      </c>
      <c r="G611">
        <f t="shared" si="80"/>
        <v>2</v>
      </c>
      <c r="H611">
        <f t="shared" si="77"/>
        <v>2</v>
      </c>
      <c r="I611" s="4" t="str">
        <f t="shared" si="78"/>
        <v>222</v>
      </c>
      <c r="Q611" s="1">
        <v>0.2075407491516732</v>
      </c>
      <c r="R611" s="1">
        <v>0.28540938966035567</v>
      </c>
    </row>
    <row r="612" spans="1:18" x14ac:dyDescent="0.35">
      <c r="A612" t="s">
        <v>614</v>
      </c>
      <c r="B612" s="2">
        <f t="shared" si="73"/>
        <v>45308</v>
      </c>
      <c r="C612" s="3">
        <f t="shared" si="79"/>
        <v>-45308</v>
      </c>
      <c r="D612">
        <f t="shared" si="74"/>
        <v>83</v>
      </c>
      <c r="E612">
        <f t="shared" si="75"/>
        <v>2</v>
      </c>
      <c r="F612">
        <f t="shared" si="76"/>
        <v>1</v>
      </c>
      <c r="G612">
        <f t="shared" si="80"/>
        <v>1</v>
      </c>
      <c r="H612">
        <f t="shared" si="77"/>
        <v>1</v>
      </c>
      <c r="I612" s="4" t="str">
        <f t="shared" si="78"/>
        <v>111</v>
      </c>
      <c r="Q612" s="1">
        <v>0.25444427338820841</v>
      </c>
      <c r="R612" s="1">
        <v>2.9432824500080668E-2</v>
      </c>
    </row>
    <row r="613" spans="1:18" x14ac:dyDescent="0.35">
      <c r="A613" t="s">
        <v>615</v>
      </c>
      <c r="B613" s="2">
        <f t="shared" si="73"/>
        <v>45393</v>
      </c>
      <c r="C613" s="3">
        <f t="shared" si="79"/>
        <v>-45393</v>
      </c>
      <c r="D613">
        <f t="shared" si="74"/>
        <v>311</v>
      </c>
      <c r="E613">
        <f t="shared" si="75"/>
        <v>10</v>
      </c>
      <c r="F613">
        <f t="shared" si="76"/>
        <v>1</v>
      </c>
      <c r="G613">
        <f t="shared" si="80"/>
        <v>1</v>
      </c>
      <c r="H613">
        <f t="shared" si="77"/>
        <v>1</v>
      </c>
      <c r="I613" s="4" t="str">
        <f t="shared" si="78"/>
        <v>111</v>
      </c>
      <c r="Q613" s="1">
        <v>0.16473044199837872</v>
      </c>
      <c r="R613" s="1">
        <v>0.18531756262862209</v>
      </c>
    </row>
    <row r="614" spans="1:18" x14ac:dyDescent="0.35">
      <c r="A614" t="s">
        <v>616</v>
      </c>
      <c r="B614" s="2">
        <f t="shared" si="73"/>
        <v>45661</v>
      </c>
      <c r="C614" s="3">
        <f t="shared" si="79"/>
        <v>-45661</v>
      </c>
      <c r="D614">
        <f t="shared" si="74"/>
        <v>1027</v>
      </c>
      <c r="E614">
        <f t="shared" si="75"/>
        <v>34</v>
      </c>
      <c r="F614">
        <f t="shared" si="76"/>
        <v>4</v>
      </c>
      <c r="G614">
        <f t="shared" si="80"/>
        <v>4</v>
      </c>
      <c r="H614">
        <f t="shared" si="77"/>
        <v>4</v>
      </c>
      <c r="I614" s="4" t="str">
        <f t="shared" si="78"/>
        <v>444</v>
      </c>
      <c r="Q614" s="1">
        <v>0.13046691539849242</v>
      </c>
      <c r="R614" s="1">
        <v>0.67615953628700154</v>
      </c>
    </row>
    <row r="615" spans="1:18" x14ac:dyDescent="0.35">
      <c r="A615" t="s">
        <v>617</v>
      </c>
      <c r="B615" s="2">
        <f t="shared" si="73"/>
        <v>45687</v>
      </c>
      <c r="C615" s="3">
        <f t="shared" si="79"/>
        <v>-45687</v>
      </c>
      <c r="D615">
        <f t="shared" si="74"/>
        <v>1097</v>
      </c>
      <c r="E615">
        <f t="shared" si="75"/>
        <v>36</v>
      </c>
      <c r="F615">
        <f t="shared" si="76"/>
        <v>4</v>
      </c>
      <c r="G615">
        <f t="shared" si="80"/>
        <v>4</v>
      </c>
      <c r="H615">
        <f t="shared" si="77"/>
        <v>4</v>
      </c>
      <c r="I615" s="4" t="str">
        <f t="shared" si="78"/>
        <v>444</v>
      </c>
      <c r="Q615" s="1">
        <v>0.70232483125804768</v>
      </c>
      <c r="R615" s="1">
        <v>0.72403398641518102</v>
      </c>
    </row>
    <row r="616" spans="1:18" x14ac:dyDescent="0.35">
      <c r="A616" t="s">
        <v>618</v>
      </c>
      <c r="B616" s="2">
        <f t="shared" si="73"/>
        <v>45501</v>
      </c>
      <c r="C616" s="3">
        <f t="shared" si="79"/>
        <v>-45501</v>
      </c>
      <c r="D616">
        <f t="shared" si="74"/>
        <v>599</v>
      </c>
      <c r="E616">
        <f t="shared" si="75"/>
        <v>20</v>
      </c>
      <c r="F616">
        <f t="shared" si="76"/>
        <v>2</v>
      </c>
      <c r="G616">
        <f t="shared" si="80"/>
        <v>2</v>
      </c>
      <c r="H616">
        <f t="shared" si="77"/>
        <v>2</v>
      </c>
      <c r="I616" s="4" t="str">
        <f t="shared" si="78"/>
        <v>222</v>
      </c>
      <c r="Q616" s="1">
        <v>0.70141110586242494</v>
      </c>
      <c r="R616" s="1">
        <v>0.38313041056036612</v>
      </c>
    </row>
    <row r="617" spans="1:18" x14ac:dyDescent="0.35">
      <c r="A617" t="s">
        <v>619</v>
      </c>
      <c r="B617" s="2">
        <f t="shared" si="73"/>
        <v>45573</v>
      </c>
      <c r="C617" s="3">
        <f t="shared" si="79"/>
        <v>-45573</v>
      </c>
      <c r="D617">
        <f t="shared" si="74"/>
        <v>792</v>
      </c>
      <c r="E617">
        <f t="shared" si="75"/>
        <v>26</v>
      </c>
      <c r="F617">
        <f t="shared" si="76"/>
        <v>4</v>
      </c>
      <c r="G617">
        <f t="shared" si="80"/>
        <v>4</v>
      </c>
      <c r="H617">
        <f t="shared" si="77"/>
        <v>4</v>
      </c>
      <c r="I617" s="4" t="str">
        <f t="shared" si="78"/>
        <v>444</v>
      </c>
      <c r="Q617" s="1">
        <v>0.91093041689805554</v>
      </c>
      <c r="R617" s="1">
        <v>0.51498687777438401</v>
      </c>
    </row>
    <row r="618" spans="1:18" x14ac:dyDescent="0.35">
      <c r="A618" t="s">
        <v>620</v>
      </c>
      <c r="B618" s="2">
        <f t="shared" si="73"/>
        <v>45315</v>
      </c>
      <c r="C618" s="3">
        <f t="shared" si="79"/>
        <v>-45315</v>
      </c>
      <c r="D618">
        <f t="shared" si="74"/>
        <v>102</v>
      </c>
      <c r="E618">
        <f t="shared" si="75"/>
        <v>3</v>
      </c>
      <c r="F618">
        <f t="shared" si="76"/>
        <v>1</v>
      </c>
      <c r="G618">
        <f t="shared" si="80"/>
        <v>1</v>
      </c>
      <c r="H618">
        <f t="shared" si="77"/>
        <v>1</v>
      </c>
      <c r="I618" s="4" t="str">
        <f t="shared" si="78"/>
        <v>111</v>
      </c>
      <c r="Q618" s="1">
        <v>0.4536640676607987</v>
      </c>
      <c r="R618" s="1">
        <v>4.2414097668919681E-2</v>
      </c>
    </row>
    <row r="619" spans="1:18" x14ac:dyDescent="0.35">
      <c r="A619" t="s">
        <v>621</v>
      </c>
      <c r="B619" s="2">
        <f t="shared" si="73"/>
        <v>45467</v>
      </c>
      <c r="C619" s="3">
        <f t="shared" si="79"/>
        <v>-45467</v>
      </c>
      <c r="D619">
        <f t="shared" si="74"/>
        <v>507</v>
      </c>
      <c r="E619">
        <f t="shared" si="75"/>
        <v>17</v>
      </c>
      <c r="F619">
        <f t="shared" si="76"/>
        <v>2</v>
      </c>
      <c r="G619">
        <f t="shared" si="80"/>
        <v>2</v>
      </c>
      <c r="H619">
        <f t="shared" si="77"/>
        <v>2</v>
      </c>
      <c r="I619" s="4" t="str">
        <f t="shared" si="78"/>
        <v>222</v>
      </c>
      <c r="Q619" s="1">
        <v>0.46654888531343119</v>
      </c>
      <c r="R619" s="1">
        <v>0.31973327496666426</v>
      </c>
    </row>
    <row r="620" spans="1:18" x14ac:dyDescent="0.35">
      <c r="A620" t="s">
        <v>622</v>
      </c>
      <c r="B620" s="2">
        <f t="shared" si="73"/>
        <v>45608</v>
      </c>
      <c r="C620" s="3">
        <f t="shared" si="79"/>
        <v>-45608</v>
      </c>
      <c r="D620">
        <f t="shared" si="74"/>
        <v>884</v>
      </c>
      <c r="E620">
        <f t="shared" si="75"/>
        <v>29</v>
      </c>
      <c r="F620">
        <f t="shared" si="76"/>
        <v>4</v>
      </c>
      <c r="G620">
        <f t="shared" si="80"/>
        <v>4</v>
      </c>
      <c r="H620">
        <f t="shared" si="77"/>
        <v>4</v>
      </c>
      <c r="I620" s="4" t="str">
        <f t="shared" si="78"/>
        <v>444</v>
      </c>
      <c r="Q620" s="1">
        <v>0.34053226134212489</v>
      </c>
      <c r="R620" s="1">
        <v>0.57826357556433028</v>
      </c>
    </row>
    <row r="621" spans="1:18" x14ac:dyDescent="0.35">
      <c r="A621" t="s">
        <v>623</v>
      </c>
      <c r="B621" s="2">
        <f t="shared" si="73"/>
        <v>45709</v>
      </c>
      <c r="C621" s="3">
        <f t="shared" si="79"/>
        <v>-45709</v>
      </c>
      <c r="D621">
        <f t="shared" si="74"/>
        <v>1155</v>
      </c>
      <c r="E621">
        <f t="shared" si="75"/>
        <v>38</v>
      </c>
      <c r="F621">
        <f t="shared" si="76"/>
        <v>4</v>
      </c>
      <c r="G621">
        <f t="shared" si="80"/>
        <v>4</v>
      </c>
      <c r="H621">
        <f t="shared" si="77"/>
        <v>4</v>
      </c>
      <c r="I621" s="4" t="str">
        <f t="shared" si="78"/>
        <v>444</v>
      </c>
      <c r="Q621" s="1">
        <v>0.25166645916348329</v>
      </c>
      <c r="R621" s="1">
        <v>0.76352454136192005</v>
      </c>
    </row>
    <row r="622" spans="1:18" x14ac:dyDescent="0.35">
      <c r="A622" t="s">
        <v>624</v>
      </c>
      <c r="B622" s="2">
        <f t="shared" si="73"/>
        <v>45503</v>
      </c>
      <c r="C622" s="3">
        <f t="shared" si="79"/>
        <v>-45503</v>
      </c>
      <c r="D622">
        <f t="shared" si="74"/>
        <v>604</v>
      </c>
      <c r="E622">
        <f t="shared" si="75"/>
        <v>20</v>
      </c>
      <c r="F622">
        <f t="shared" si="76"/>
        <v>2</v>
      </c>
      <c r="G622">
        <f t="shared" si="80"/>
        <v>2</v>
      </c>
      <c r="H622">
        <f t="shared" si="77"/>
        <v>2</v>
      </c>
      <c r="I622" s="4" t="str">
        <f t="shared" si="78"/>
        <v>222</v>
      </c>
      <c r="Q622" s="1">
        <v>8.6038893948499506E-2</v>
      </c>
      <c r="R622" s="1">
        <v>0.38661734542293003</v>
      </c>
    </row>
    <row r="623" spans="1:18" x14ac:dyDescent="0.35">
      <c r="A623" t="s">
        <v>625</v>
      </c>
      <c r="B623" s="2">
        <f t="shared" si="73"/>
        <v>45519</v>
      </c>
      <c r="C623" s="3">
        <f t="shared" si="79"/>
        <v>-45519</v>
      </c>
      <c r="D623">
        <f t="shared" si="74"/>
        <v>648</v>
      </c>
      <c r="E623">
        <f t="shared" si="75"/>
        <v>21</v>
      </c>
      <c r="F623">
        <f t="shared" si="76"/>
        <v>2</v>
      </c>
      <c r="G623">
        <f t="shared" si="80"/>
        <v>2</v>
      </c>
      <c r="H623">
        <f t="shared" si="77"/>
        <v>2</v>
      </c>
      <c r="I623" s="4" t="str">
        <f t="shared" si="78"/>
        <v>222</v>
      </c>
      <c r="Q623" s="1">
        <v>0.64455374541002131</v>
      </c>
      <c r="R623" s="1">
        <v>0.41646541644491497</v>
      </c>
    </row>
    <row r="624" spans="1:18" x14ac:dyDescent="0.35">
      <c r="A624" t="s">
        <v>626</v>
      </c>
      <c r="B624" s="2">
        <f t="shared" si="73"/>
        <v>45679</v>
      </c>
      <c r="C624" s="3">
        <f t="shared" si="79"/>
        <v>-45679</v>
      </c>
      <c r="D624">
        <f t="shared" si="74"/>
        <v>1075</v>
      </c>
      <c r="E624">
        <f t="shared" si="75"/>
        <v>36</v>
      </c>
      <c r="F624">
        <f t="shared" si="76"/>
        <v>4</v>
      </c>
      <c r="G624">
        <f t="shared" si="80"/>
        <v>4</v>
      </c>
      <c r="H624">
        <f t="shared" si="77"/>
        <v>4</v>
      </c>
      <c r="I624" s="4" t="str">
        <f t="shared" si="78"/>
        <v>444</v>
      </c>
      <c r="Q624" s="1">
        <v>0.72181671862026242</v>
      </c>
      <c r="R624" s="1">
        <v>0.70858582112903046</v>
      </c>
    </row>
    <row r="625" spans="1:18" x14ac:dyDescent="0.35">
      <c r="A625" t="s">
        <v>627</v>
      </c>
      <c r="B625" s="2">
        <f t="shared" si="73"/>
        <v>45334</v>
      </c>
      <c r="C625" s="3">
        <f t="shared" si="79"/>
        <v>-45334</v>
      </c>
      <c r="D625">
        <f t="shared" si="74"/>
        <v>152</v>
      </c>
      <c r="E625">
        <f t="shared" si="75"/>
        <v>5</v>
      </c>
      <c r="F625">
        <f t="shared" si="76"/>
        <v>1</v>
      </c>
      <c r="G625">
        <f t="shared" si="80"/>
        <v>1</v>
      </c>
      <c r="H625">
        <f t="shared" si="77"/>
        <v>1</v>
      </c>
      <c r="I625" s="4" t="str">
        <f t="shared" si="78"/>
        <v>111</v>
      </c>
      <c r="Q625" s="1">
        <v>0.36313300270388038</v>
      </c>
      <c r="R625" s="1">
        <v>7.6814455759117384E-2</v>
      </c>
    </row>
    <row r="626" spans="1:18" x14ac:dyDescent="0.35">
      <c r="A626" t="s">
        <v>628</v>
      </c>
      <c r="B626" s="2">
        <f t="shared" si="73"/>
        <v>45703</v>
      </c>
      <c r="C626" s="3">
        <f t="shared" si="79"/>
        <v>-45703</v>
      </c>
      <c r="D626">
        <f t="shared" si="74"/>
        <v>1139</v>
      </c>
      <c r="E626">
        <f t="shared" si="75"/>
        <v>38</v>
      </c>
      <c r="F626">
        <f t="shared" si="76"/>
        <v>4</v>
      </c>
      <c r="G626">
        <f t="shared" si="80"/>
        <v>4</v>
      </c>
      <c r="H626">
        <f t="shared" si="77"/>
        <v>4</v>
      </c>
      <c r="I626" s="4" t="str">
        <f t="shared" si="78"/>
        <v>444</v>
      </c>
      <c r="Q626" s="1">
        <v>0.10788670312401938</v>
      </c>
      <c r="R626" s="1">
        <v>0.75269545891322764</v>
      </c>
    </row>
    <row r="627" spans="1:18" x14ac:dyDescent="0.35">
      <c r="A627" t="s">
        <v>629</v>
      </c>
      <c r="B627" s="2">
        <f t="shared" si="73"/>
        <v>45730</v>
      </c>
      <c r="C627" s="3">
        <f t="shared" si="79"/>
        <v>-45730</v>
      </c>
      <c r="D627">
        <f t="shared" si="74"/>
        <v>1211</v>
      </c>
      <c r="E627">
        <f t="shared" si="75"/>
        <v>40</v>
      </c>
      <c r="F627">
        <f t="shared" si="76"/>
        <v>5</v>
      </c>
      <c r="G627">
        <f t="shared" si="80"/>
        <v>5</v>
      </c>
      <c r="H627">
        <f t="shared" si="77"/>
        <v>5</v>
      </c>
      <c r="I627" s="4" t="str">
        <f t="shared" si="78"/>
        <v>555</v>
      </c>
      <c r="Q627" s="1">
        <v>0.71523469998609213</v>
      </c>
      <c r="R627" s="1">
        <v>0.80191531468289412</v>
      </c>
    </row>
    <row r="628" spans="1:18" x14ac:dyDescent="0.35">
      <c r="A628" t="s">
        <v>630</v>
      </c>
      <c r="B628" s="2">
        <f t="shared" si="73"/>
        <v>45792</v>
      </c>
      <c r="C628" s="3">
        <f t="shared" si="79"/>
        <v>-45792</v>
      </c>
      <c r="D628">
        <f t="shared" si="74"/>
        <v>1378</v>
      </c>
      <c r="E628">
        <f t="shared" si="75"/>
        <v>46</v>
      </c>
      <c r="F628">
        <f t="shared" si="76"/>
        <v>5</v>
      </c>
      <c r="G628">
        <f t="shared" si="80"/>
        <v>5</v>
      </c>
      <c r="H628">
        <f t="shared" si="77"/>
        <v>5</v>
      </c>
      <c r="I628" s="4" t="str">
        <f t="shared" si="78"/>
        <v>555</v>
      </c>
      <c r="Q628" s="1">
        <v>0.63678548741575403</v>
      </c>
      <c r="R628" s="1">
        <v>0.91620059113350516</v>
      </c>
    </row>
    <row r="629" spans="1:18" x14ac:dyDescent="0.35">
      <c r="A629" t="s">
        <v>631</v>
      </c>
      <c r="B629" s="2">
        <f t="shared" si="73"/>
        <v>45762</v>
      </c>
      <c r="C629" s="3">
        <f t="shared" si="79"/>
        <v>-45762</v>
      </c>
      <c r="D629">
        <f t="shared" si="74"/>
        <v>1296</v>
      </c>
      <c r="E629">
        <f t="shared" si="75"/>
        <v>43</v>
      </c>
      <c r="F629">
        <f t="shared" si="76"/>
        <v>5</v>
      </c>
      <c r="G629">
        <f t="shared" si="80"/>
        <v>5</v>
      </c>
      <c r="H629">
        <f t="shared" si="77"/>
        <v>5</v>
      </c>
      <c r="I629" s="4" t="str">
        <f t="shared" si="78"/>
        <v>555</v>
      </c>
      <c r="Q629" s="1">
        <v>0.30356332227913441</v>
      </c>
      <c r="R629" s="1">
        <v>0.8602286226891851</v>
      </c>
    </row>
    <row r="630" spans="1:18" x14ac:dyDescent="0.35">
      <c r="A630" t="s">
        <v>632</v>
      </c>
      <c r="B630" s="2">
        <f t="shared" si="73"/>
        <v>45354</v>
      </c>
      <c r="C630" s="3">
        <f t="shared" si="79"/>
        <v>-45354</v>
      </c>
      <c r="D630">
        <f t="shared" si="74"/>
        <v>207</v>
      </c>
      <c r="E630">
        <f t="shared" si="75"/>
        <v>7</v>
      </c>
      <c r="F630">
        <f t="shared" si="76"/>
        <v>1</v>
      </c>
      <c r="G630">
        <f t="shared" si="80"/>
        <v>1</v>
      </c>
      <c r="H630">
        <f t="shared" si="77"/>
        <v>1</v>
      </c>
      <c r="I630" s="4" t="str">
        <f t="shared" si="78"/>
        <v>111</v>
      </c>
      <c r="Q630" s="1">
        <v>0.29834556781266508</v>
      </c>
      <c r="R630" s="1">
        <v>0.1141266147605029</v>
      </c>
    </row>
    <row r="631" spans="1:18" x14ac:dyDescent="0.35">
      <c r="A631" t="s">
        <v>633</v>
      </c>
      <c r="B631" s="2">
        <f t="shared" si="73"/>
        <v>45566</v>
      </c>
      <c r="C631" s="3">
        <f t="shared" si="79"/>
        <v>-45566</v>
      </c>
      <c r="D631">
        <f t="shared" si="74"/>
        <v>773</v>
      </c>
      <c r="E631">
        <f t="shared" si="75"/>
        <v>26</v>
      </c>
      <c r="F631">
        <f t="shared" si="76"/>
        <v>4</v>
      </c>
      <c r="G631">
        <f t="shared" si="80"/>
        <v>4</v>
      </c>
      <c r="H631">
        <f t="shared" si="77"/>
        <v>4</v>
      </c>
      <c r="I631" s="4" t="str">
        <f t="shared" si="78"/>
        <v>444</v>
      </c>
      <c r="Q631" s="1">
        <v>0.23856860542913183</v>
      </c>
      <c r="R631" s="1">
        <v>0.50213595433595981</v>
      </c>
    </row>
    <row r="632" spans="1:18" x14ac:dyDescent="0.35">
      <c r="A632" t="s">
        <v>634</v>
      </c>
      <c r="B632" s="2">
        <f t="shared" si="73"/>
        <v>45422</v>
      </c>
      <c r="C632" s="3">
        <f t="shared" si="79"/>
        <v>-45422</v>
      </c>
      <c r="D632">
        <f t="shared" si="74"/>
        <v>388</v>
      </c>
      <c r="E632">
        <f t="shared" si="75"/>
        <v>13</v>
      </c>
      <c r="F632">
        <f t="shared" si="76"/>
        <v>2</v>
      </c>
      <c r="G632">
        <f t="shared" si="80"/>
        <v>2</v>
      </c>
      <c r="H632">
        <f t="shared" si="77"/>
        <v>2</v>
      </c>
      <c r="I632" s="4" t="str">
        <f t="shared" si="78"/>
        <v>222</v>
      </c>
      <c r="Q632" s="1">
        <v>0.53938981425834609</v>
      </c>
      <c r="R632" s="1">
        <v>0.23810582219813492</v>
      </c>
    </row>
    <row r="633" spans="1:18" x14ac:dyDescent="0.35">
      <c r="A633" t="s">
        <v>635</v>
      </c>
      <c r="B633" s="2">
        <f t="shared" si="73"/>
        <v>45775</v>
      </c>
      <c r="C633" s="3">
        <f t="shared" si="79"/>
        <v>-45775</v>
      </c>
      <c r="D633">
        <f t="shared" si="74"/>
        <v>1331</v>
      </c>
      <c r="E633">
        <f t="shared" si="75"/>
        <v>44</v>
      </c>
      <c r="F633">
        <f t="shared" si="76"/>
        <v>5</v>
      </c>
      <c r="G633">
        <f t="shared" si="80"/>
        <v>5</v>
      </c>
      <c r="H633">
        <f t="shared" si="77"/>
        <v>5</v>
      </c>
      <c r="I633" s="4" t="str">
        <f t="shared" si="78"/>
        <v>555</v>
      </c>
      <c r="Q633" s="1">
        <v>0.32867431199756936</v>
      </c>
      <c r="R633" s="1">
        <v>0.8842834277140097</v>
      </c>
    </row>
    <row r="634" spans="1:18" x14ac:dyDescent="0.35">
      <c r="A634" t="s">
        <v>636</v>
      </c>
      <c r="B634" s="2">
        <f t="shared" si="73"/>
        <v>45698</v>
      </c>
      <c r="C634" s="3">
        <f t="shared" si="79"/>
        <v>-45698</v>
      </c>
      <c r="D634">
        <f t="shared" si="74"/>
        <v>1126</v>
      </c>
      <c r="E634">
        <f t="shared" si="75"/>
        <v>37</v>
      </c>
      <c r="F634">
        <f t="shared" si="76"/>
        <v>4</v>
      </c>
      <c r="G634">
        <f t="shared" si="80"/>
        <v>4</v>
      </c>
      <c r="H634">
        <f t="shared" si="77"/>
        <v>4</v>
      </c>
      <c r="I634" s="4" t="str">
        <f t="shared" si="78"/>
        <v>444</v>
      </c>
      <c r="Q634" s="1">
        <v>0.33103108929574654</v>
      </c>
      <c r="R634" s="1">
        <v>0.74374322595957698</v>
      </c>
    </row>
    <row r="635" spans="1:18" x14ac:dyDescent="0.35">
      <c r="A635" t="s">
        <v>637</v>
      </c>
      <c r="B635" s="2">
        <f t="shared" si="73"/>
        <v>45371</v>
      </c>
      <c r="C635" s="3">
        <f t="shared" si="79"/>
        <v>-45371</v>
      </c>
      <c r="D635">
        <f t="shared" si="74"/>
        <v>251</v>
      </c>
      <c r="E635">
        <f t="shared" si="75"/>
        <v>8</v>
      </c>
      <c r="F635">
        <f t="shared" si="76"/>
        <v>1</v>
      </c>
      <c r="G635">
        <f t="shared" si="80"/>
        <v>1</v>
      </c>
      <c r="H635">
        <f t="shared" si="77"/>
        <v>1</v>
      </c>
      <c r="I635" s="4" t="str">
        <f t="shared" si="78"/>
        <v>111</v>
      </c>
      <c r="Q635" s="1">
        <v>0.60036250508786049</v>
      </c>
      <c r="R635" s="1">
        <v>0.14422005670934568</v>
      </c>
    </row>
    <row r="636" spans="1:18" x14ac:dyDescent="0.35">
      <c r="A636" t="s">
        <v>638</v>
      </c>
      <c r="B636" s="2">
        <f t="shared" si="73"/>
        <v>45825</v>
      </c>
      <c r="C636" s="3">
        <f t="shared" si="79"/>
        <v>-45825</v>
      </c>
      <c r="D636">
        <f t="shared" si="74"/>
        <v>1465</v>
      </c>
      <c r="E636">
        <f t="shared" si="75"/>
        <v>49</v>
      </c>
      <c r="F636">
        <f t="shared" si="76"/>
        <v>5</v>
      </c>
      <c r="G636">
        <f t="shared" si="80"/>
        <v>5</v>
      </c>
      <c r="H636">
        <f t="shared" si="77"/>
        <v>5</v>
      </c>
      <c r="I636" s="4" t="str">
        <f t="shared" si="78"/>
        <v>555</v>
      </c>
      <c r="Q636" s="1">
        <v>3.4884329079142296E-3</v>
      </c>
      <c r="R636" s="1">
        <v>0.97604092009224941</v>
      </c>
    </row>
    <row r="637" spans="1:18" x14ac:dyDescent="0.35">
      <c r="A637" t="s">
        <v>639</v>
      </c>
      <c r="B637" s="2">
        <f t="shared" si="73"/>
        <v>45536</v>
      </c>
      <c r="C637" s="3">
        <f t="shared" si="79"/>
        <v>-45536</v>
      </c>
      <c r="D637">
        <f t="shared" si="74"/>
        <v>693</v>
      </c>
      <c r="E637">
        <f t="shared" si="75"/>
        <v>23</v>
      </c>
      <c r="F637">
        <f t="shared" si="76"/>
        <v>2</v>
      </c>
      <c r="G637">
        <f t="shared" si="80"/>
        <v>2</v>
      </c>
      <c r="H637">
        <f t="shared" si="77"/>
        <v>2</v>
      </c>
      <c r="I637" s="4" t="str">
        <f t="shared" si="78"/>
        <v>222</v>
      </c>
      <c r="Q637" s="1">
        <v>0.16676379572822142</v>
      </c>
      <c r="R637" s="1">
        <v>0.44732951262607645</v>
      </c>
    </row>
    <row r="638" spans="1:18" x14ac:dyDescent="0.35">
      <c r="A638" t="s">
        <v>640</v>
      </c>
      <c r="B638" s="2">
        <f t="shared" si="73"/>
        <v>45550</v>
      </c>
      <c r="C638" s="3">
        <f t="shared" si="79"/>
        <v>-45550</v>
      </c>
      <c r="D638">
        <f t="shared" si="74"/>
        <v>731</v>
      </c>
      <c r="E638">
        <f t="shared" si="75"/>
        <v>24</v>
      </c>
      <c r="F638">
        <f t="shared" si="76"/>
        <v>2</v>
      </c>
      <c r="G638">
        <f t="shared" si="80"/>
        <v>2</v>
      </c>
      <c r="H638">
        <f t="shared" si="77"/>
        <v>2</v>
      </c>
      <c r="I638" s="4" t="str">
        <f t="shared" si="78"/>
        <v>222</v>
      </c>
      <c r="Q638" s="1">
        <v>0.80347871101251533</v>
      </c>
      <c r="R638" s="1">
        <v>0.4733583057868278</v>
      </c>
    </row>
    <row r="639" spans="1:18" x14ac:dyDescent="0.35">
      <c r="A639" t="s">
        <v>641</v>
      </c>
      <c r="B639" s="2">
        <f t="shared" si="73"/>
        <v>45765</v>
      </c>
      <c r="C639" s="3">
        <f t="shared" si="79"/>
        <v>-45765</v>
      </c>
      <c r="D639">
        <f t="shared" si="74"/>
        <v>1305</v>
      </c>
      <c r="E639">
        <f t="shared" si="75"/>
        <v>43</v>
      </c>
      <c r="F639">
        <f t="shared" si="76"/>
        <v>5</v>
      </c>
      <c r="G639">
        <f t="shared" si="80"/>
        <v>5</v>
      </c>
      <c r="H639">
        <f t="shared" si="77"/>
        <v>5</v>
      </c>
      <c r="I639" s="4" t="str">
        <f t="shared" si="78"/>
        <v>555</v>
      </c>
      <c r="Q639" s="1">
        <v>0.67324428443201556</v>
      </c>
      <c r="R639" s="1">
        <v>0.8662344900639799</v>
      </c>
    </row>
    <row r="640" spans="1:18" x14ac:dyDescent="0.35">
      <c r="A640" t="s">
        <v>642</v>
      </c>
      <c r="B640" s="2">
        <f t="shared" si="73"/>
        <v>45477</v>
      </c>
      <c r="C640" s="3">
        <f t="shared" si="79"/>
        <v>-45477</v>
      </c>
      <c r="D640">
        <f t="shared" si="74"/>
        <v>535</v>
      </c>
      <c r="E640">
        <f t="shared" si="75"/>
        <v>18</v>
      </c>
      <c r="F640">
        <f t="shared" si="76"/>
        <v>2</v>
      </c>
      <c r="G640">
        <f t="shared" si="80"/>
        <v>2</v>
      </c>
      <c r="H640">
        <f t="shared" si="77"/>
        <v>2</v>
      </c>
      <c r="I640" s="4" t="str">
        <f t="shared" si="78"/>
        <v>222</v>
      </c>
      <c r="Q640" s="1">
        <v>0.65165611262715573</v>
      </c>
      <c r="R640" s="1">
        <v>0.33890374927777245</v>
      </c>
    </row>
    <row r="641" spans="1:18" x14ac:dyDescent="0.35">
      <c r="A641" t="s">
        <v>643</v>
      </c>
      <c r="B641" s="2">
        <f t="shared" si="73"/>
        <v>45721</v>
      </c>
      <c r="C641" s="3">
        <f t="shared" si="79"/>
        <v>-45721</v>
      </c>
      <c r="D641">
        <f t="shared" si="74"/>
        <v>1187</v>
      </c>
      <c r="E641">
        <f t="shared" si="75"/>
        <v>39</v>
      </c>
      <c r="F641">
        <f t="shared" si="76"/>
        <v>5</v>
      </c>
      <c r="G641">
        <f t="shared" si="80"/>
        <v>4</v>
      </c>
      <c r="H641">
        <f t="shared" si="77"/>
        <v>5</v>
      </c>
      <c r="I641" s="4" t="str">
        <f t="shared" si="78"/>
        <v>545</v>
      </c>
      <c r="Q641" s="1">
        <v>0.52413691116903005</v>
      </c>
      <c r="R641" s="1">
        <v>0.7855904818421825</v>
      </c>
    </row>
    <row r="642" spans="1:18" x14ac:dyDescent="0.35">
      <c r="A642" t="s">
        <v>644</v>
      </c>
      <c r="B642" s="2">
        <f t="shared" si="73"/>
        <v>45365</v>
      </c>
      <c r="C642" s="3">
        <f t="shared" si="79"/>
        <v>-45365</v>
      </c>
      <c r="D642">
        <f t="shared" si="74"/>
        <v>235</v>
      </c>
      <c r="E642">
        <f t="shared" si="75"/>
        <v>8</v>
      </c>
      <c r="F642">
        <f t="shared" si="76"/>
        <v>1</v>
      </c>
      <c r="G642">
        <f t="shared" si="80"/>
        <v>1</v>
      </c>
      <c r="H642">
        <f t="shared" si="77"/>
        <v>1</v>
      </c>
      <c r="I642" s="4" t="str">
        <f t="shared" si="78"/>
        <v>111</v>
      </c>
      <c r="Q642" s="1">
        <v>0.75923158310561667</v>
      </c>
      <c r="R642" s="1">
        <v>0.13333345507713512</v>
      </c>
    </row>
    <row r="643" spans="1:18" x14ac:dyDescent="0.35">
      <c r="A643" t="s">
        <v>645</v>
      </c>
      <c r="B643" s="2">
        <f t="shared" ref="B643:B706" si="81">ROUND(R643*(45838-45292)+45292,0)</f>
        <v>45759</v>
      </c>
      <c r="C643" s="3">
        <f t="shared" si="79"/>
        <v>-45759</v>
      </c>
      <c r="D643">
        <f t="shared" ref="D643:D706" si="82">ROUND((R643)*(1500-40)+40,0)</f>
        <v>1288</v>
      </c>
      <c r="E643">
        <f t="shared" ref="E643:E706" si="83">ROUND((R643)*(50-1)+1,0)</f>
        <v>43</v>
      </c>
      <c r="F643">
        <f t="shared" ref="F643:F706" si="84">IF(C643&lt;=$M$4,5,IF(C643&lt;=$M$9,4,IF(C643&lt;=$M$5,3,IF(C643&lt;=$M$6,2,1))))</f>
        <v>5</v>
      </c>
      <c r="G643">
        <f t="shared" si="80"/>
        <v>5</v>
      </c>
      <c r="H643">
        <f t="shared" ref="H643:H706" si="85">IF(D643&lt;=$M$24,1,IF(D643&lt;=$M$25,2,IF(D643&lt;=$M$29,3,IF(D643&lt;=$M$26,4,5))))</f>
        <v>5</v>
      </c>
      <c r="I643" s="4" t="str">
        <f t="shared" ref="I643:I706" si="86">CONCATENATE(F643,G643,H643)</f>
        <v>555</v>
      </c>
      <c r="Q643" s="1">
        <v>0.60333341287821818</v>
      </c>
      <c r="R643" s="1">
        <v>0.85480182607006616</v>
      </c>
    </row>
    <row r="644" spans="1:18" x14ac:dyDescent="0.35">
      <c r="A644" t="s">
        <v>646</v>
      </c>
      <c r="B644" s="2">
        <f t="shared" si="81"/>
        <v>45355</v>
      </c>
      <c r="C644" s="3">
        <f t="shared" ref="C644:C707" si="87">$S$4-B644</f>
        <v>-45355</v>
      </c>
      <c r="D644">
        <f t="shared" si="82"/>
        <v>209</v>
      </c>
      <c r="E644">
        <f t="shared" si="83"/>
        <v>7</v>
      </c>
      <c r="F644">
        <f t="shared" si="84"/>
        <v>1</v>
      </c>
      <c r="G644">
        <f t="shared" ref="G644:G707" si="88">IF(E644&lt;=$M$14,1,IF(E644&lt;=$M$15,2,IF(E644&lt;=$M$19,3,IF(E644&lt;=$M$16,4,5))))</f>
        <v>1</v>
      </c>
      <c r="H644">
        <f t="shared" si="85"/>
        <v>1</v>
      </c>
      <c r="I644" s="4" t="str">
        <f t="shared" si="86"/>
        <v>111</v>
      </c>
      <c r="Q644" s="1">
        <v>0.65335783204371056</v>
      </c>
      <c r="R644" s="1">
        <v>0.11560360682855431</v>
      </c>
    </row>
    <row r="645" spans="1:18" x14ac:dyDescent="0.35">
      <c r="A645" t="s">
        <v>647</v>
      </c>
      <c r="B645" s="2">
        <f t="shared" si="81"/>
        <v>45705</v>
      </c>
      <c r="C645" s="3">
        <f t="shared" si="87"/>
        <v>-45705</v>
      </c>
      <c r="D645">
        <f t="shared" si="82"/>
        <v>1144</v>
      </c>
      <c r="E645">
        <f t="shared" si="83"/>
        <v>38</v>
      </c>
      <c r="F645">
        <f t="shared" si="84"/>
        <v>4</v>
      </c>
      <c r="G645">
        <f t="shared" si="88"/>
        <v>4</v>
      </c>
      <c r="H645">
        <f t="shared" si="85"/>
        <v>4</v>
      </c>
      <c r="I645" s="4" t="str">
        <f t="shared" si="86"/>
        <v>444</v>
      </c>
      <c r="Q645" s="1">
        <v>3.6652172947371331E-2</v>
      </c>
      <c r="R645" s="1">
        <v>0.75609344946088408</v>
      </c>
    </row>
    <row r="646" spans="1:18" x14ac:dyDescent="0.35">
      <c r="A646" t="s">
        <v>648</v>
      </c>
      <c r="B646" s="2">
        <f t="shared" si="81"/>
        <v>45437</v>
      </c>
      <c r="C646" s="3">
        <f t="shared" si="87"/>
        <v>-45437</v>
      </c>
      <c r="D646">
        <f t="shared" si="82"/>
        <v>427</v>
      </c>
      <c r="E646">
        <f t="shared" si="83"/>
        <v>14</v>
      </c>
      <c r="F646">
        <f t="shared" si="84"/>
        <v>2</v>
      </c>
      <c r="G646">
        <f t="shared" si="88"/>
        <v>2</v>
      </c>
      <c r="H646">
        <f t="shared" si="85"/>
        <v>2</v>
      </c>
      <c r="I646" s="4" t="str">
        <f t="shared" si="86"/>
        <v>222</v>
      </c>
      <c r="Q646" s="1">
        <v>0.22336561820667722</v>
      </c>
      <c r="R646" s="1">
        <v>0.26502776532111449</v>
      </c>
    </row>
    <row r="647" spans="1:18" x14ac:dyDescent="0.35">
      <c r="A647" t="s">
        <v>649</v>
      </c>
      <c r="B647" s="2">
        <f t="shared" si="81"/>
        <v>45523</v>
      </c>
      <c r="C647" s="3">
        <f t="shared" si="87"/>
        <v>-45523</v>
      </c>
      <c r="D647">
        <f t="shared" si="82"/>
        <v>658</v>
      </c>
      <c r="E647">
        <f t="shared" si="83"/>
        <v>22</v>
      </c>
      <c r="F647">
        <f t="shared" si="84"/>
        <v>2</v>
      </c>
      <c r="G647">
        <f t="shared" si="88"/>
        <v>2</v>
      </c>
      <c r="H647">
        <f t="shared" si="85"/>
        <v>2</v>
      </c>
      <c r="I647" s="4" t="str">
        <f t="shared" si="86"/>
        <v>222</v>
      </c>
      <c r="Q647" s="1">
        <v>0.52709361048689407</v>
      </c>
      <c r="R647" s="1">
        <v>0.42355996425864162</v>
      </c>
    </row>
    <row r="648" spans="1:18" x14ac:dyDescent="0.35">
      <c r="A648" t="s">
        <v>650</v>
      </c>
      <c r="B648" s="2">
        <f t="shared" si="81"/>
        <v>45623</v>
      </c>
      <c r="C648" s="3">
        <f t="shared" si="87"/>
        <v>-45623</v>
      </c>
      <c r="D648">
        <f t="shared" si="82"/>
        <v>926</v>
      </c>
      <c r="E648">
        <f t="shared" si="83"/>
        <v>31</v>
      </c>
      <c r="F648">
        <f t="shared" si="84"/>
        <v>4</v>
      </c>
      <c r="G648">
        <f t="shared" si="88"/>
        <v>4</v>
      </c>
      <c r="H648">
        <f t="shared" si="85"/>
        <v>4</v>
      </c>
      <c r="I648" s="4" t="str">
        <f t="shared" si="86"/>
        <v>444</v>
      </c>
      <c r="Q648" s="1">
        <v>0.83918320302024585</v>
      </c>
      <c r="R648" s="1">
        <v>0.6070222927745379</v>
      </c>
    </row>
    <row r="649" spans="1:18" x14ac:dyDescent="0.35">
      <c r="A649" t="s">
        <v>651</v>
      </c>
      <c r="B649" s="2">
        <f t="shared" si="81"/>
        <v>45768</v>
      </c>
      <c r="C649" s="3">
        <f t="shared" si="87"/>
        <v>-45768</v>
      </c>
      <c r="D649">
        <f t="shared" si="82"/>
        <v>1313</v>
      </c>
      <c r="E649">
        <f t="shared" si="83"/>
        <v>44</v>
      </c>
      <c r="F649">
        <f t="shared" si="84"/>
        <v>5</v>
      </c>
      <c r="G649">
        <f t="shared" si="88"/>
        <v>5</v>
      </c>
      <c r="H649">
        <f t="shared" si="85"/>
        <v>5</v>
      </c>
      <c r="I649" s="4" t="str">
        <f t="shared" si="86"/>
        <v>555</v>
      </c>
      <c r="Q649" s="1">
        <v>0.9194081743377176</v>
      </c>
      <c r="R649" s="1">
        <v>0.87176714939543942</v>
      </c>
    </row>
    <row r="650" spans="1:18" x14ac:dyDescent="0.35">
      <c r="A650" t="s">
        <v>652</v>
      </c>
      <c r="B650" s="2">
        <f t="shared" si="81"/>
        <v>45733</v>
      </c>
      <c r="C650" s="3">
        <f t="shared" si="87"/>
        <v>-45733</v>
      </c>
      <c r="D650">
        <f t="shared" si="82"/>
        <v>1219</v>
      </c>
      <c r="E650">
        <f t="shared" si="83"/>
        <v>41</v>
      </c>
      <c r="F650">
        <f t="shared" si="84"/>
        <v>5</v>
      </c>
      <c r="G650">
        <f t="shared" si="88"/>
        <v>5</v>
      </c>
      <c r="H650">
        <f t="shared" si="85"/>
        <v>5</v>
      </c>
      <c r="I650" s="4" t="str">
        <f t="shared" si="86"/>
        <v>555</v>
      </c>
      <c r="Q650" s="1">
        <v>0.77016159449429955</v>
      </c>
      <c r="R650" s="1">
        <v>0.80759569461055136</v>
      </c>
    </row>
    <row r="651" spans="1:18" x14ac:dyDescent="0.35">
      <c r="A651" t="s">
        <v>653</v>
      </c>
      <c r="B651" s="2">
        <f t="shared" si="81"/>
        <v>45744</v>
      </c>
      <c r="C651" s="3">
        <f t="shared" si="87"/>
        <v>-45744</v>
      </c>
      <c r="D651">
        <f t="shared" si="82"/>
        <v>1249</v>
      </c>
      <c r="E651">
        <f t="shared" si="83"/>
        <v>42</v>
      </c>
      <c r="F651">
        <f t="shared" si="84"/>
        <v>5</v>
      </c>
      <c r="G651">
        <f t="shared" si="88"/>
        <v>5</v>
      </c>
      <c r="H651">
        <f t="shared" si="85"/>
        <v>5</v>
      </c>
      <c r="I651" s="4" t="str">
        <f t="shared" si="86"/>
        <v>555</v>
      </c>
      <c r="Q651" s="1">
        <v>7.7227643589764305E-2</v>
      </c>
      <c r="R651" s="1">
        <v>0.82795277866935146</v>
      </c>
    </row>
    <row r="652" spans="1:18" x14ac:dyDescent="0.35">
      <c r="A652" t="s">
        <v>654</v>
      </c>
      <c r="B652" s="2">
        <f t="shared" si="81"/>
        <v>45571</v>
      </c>
      <c r="C652" s="3">
        <f t="shared" si="87"/>
        <v>-45571</v>
      </c>
      <c r="D652">
        <f t="shared" si="82"/>
        <v>785</v>
      </c>
      <c r="E652">
        <f t="shared" si="83"/>
        <v>26</v>
      </c>
      <c r="F652">
        <f t="shared" si="84"/>
        <v>4</v>
      </c>
      <c r="G652">
        <f t="shared" si="88"/>
        <v>4</v>
      </c>
      <c r="H652">
        <f t="shared" si="85"/>
        <v>4</v>
      </c>
      <c r="I652" s="4" t="str">
        <f t="shared" si="86"/>
        <v>444</v>
      </c>
      <c r="Q652" s="1">
        <v>0.7269767545630571</v>
      </c>
      <c r="R652" s="1">
        <v>0.5104569455958593</v>
      </c>
    </row>
    <row r="653" spans="1:18" x14ac:dyDescent="0.35">
      <c r="A653" t="s">
        <v>655</v>
      </c>
      <c r="B653" s="2">
        <f t="shared" si="81"/>
        <v>45465</v>
      </c>
      <c r="C653" s="3">
        <f t="shared" si="87"/>
        <v>-45465</v>
      </c>
      <c r="D653">
        <f t="shared" si="82"/>
        <v>503</v>
      </c>
      <c r="E653">
        <f t="shared" si="83"/>
        <v>17</v>
      </c>
      <c r="F653">
        <f t="shared" si="84"/>
        <v>2</v>
      </c>
      <c r="G653">
        <f t="shared" si="88"/>
        <v>2</v>
      </c>
      <c r="H653">
        <f t="shared" si="85"/>
        <v>2</v>
      </c>
      <c r="I653" s="4" t="str">
        <f t="shared" si="86"/>
        <v>222</v>
      </c>
      <c r="Q653" s="1">
        <v>0.83258232801045584</v>
      </c>
      <c r="R653" s="1">
        <v>0.31741329417442632</v>
      </c>
    </row>
    <row r="654" spans="1:18" x14ac:dyDescent="0.35">
      <c r="A654" t="s">
        <v>656</v>
      </c>
      <c r="B654" s="2">
        <f t="shared" si="81"/>
        <v>45338</v>
      </c>
      <c r="C654" s="3">
        <f t="shared" si="87"/>
        <v>-45338</v>
      </c>
      <c r="D654">
        <f t="shared" si="82"/>
        <v>162</v>
      </c>
      <c r="E654">
        <f t="shared" si="83"/>
        <v>5</v>
      </c>
      <c r="F654">
        <f t="shared" si="84"/>
        <v>1</v>
      </c>
      <c r="G654">
        <f t="shared" si="88"/>
        <v>1</v>
      </c>
      <c r="H654">
        <f t="shared" si="85"/>
        <v>1</v>
      </c>
      <c r="I654" s="4" t="str">
        <f t="shared" si="86"/>
        <v>111</v>
      </c>
      <c r="Q654" s="1">
        <v>8.5421025547175788E-2</v>
      </c>
      <c r="R654" s="1">
        <v>8.3598359907525177E-2</v>
      </c>
    </row>
    <row r="655" spans="1:18" x14ac:dyDescent="0.35">
      <c r="A655" t="s">
        <v>657</v>
      </c>
      <c r="B655" s="2">
        <f t="shared" si="81"/>
        <v>45741</v>
      </c>
      <c r="C655" s="3">
        <f t="shared" si="87"/>
        <v>-45741</v>
      </c>
      <c r="D655">
        <f t="shared" si="82"/>
        <v>1239</v>
      </c>
      <c r="E655">
        <f t="shared" si="83"/>
        <v>41</v>
      </c>
      <c r="F655">
        <f t="shared" si="84"/>
        <v>5</v>
      </c>
      <c r="G655">
        <f t="shared" si="88"/>
        <v>5</v>
      </c>
      <c r="H655">
        <f t="shared" si="85"/>
        <v>5</v>
      </c>
      <c r="I655" s="4" t="str">
        <f t="shared" si="86"/>
        <v>555</v>
      </c>
      <c r="Q655" s="1">
        <v>0.90195101840682301</v>
      </c>
      <c r="R655" s="1">
        <v>0.82151806490492263</v>
      </c>
    </row>
    <row r="656" spans="1:18" x14ac:dyDescent="0.35">
      <c r="A656" t="s">
        <v>658</v>
      </c>
      <c r="B656" s="2">
        <f t="shared" si="81"/>
        <v>45327</v>
      </c>
      <c r="C656" s="3">
        <f t="shared" si="87"/>
        <v>-45327</v>
      </c>
      <c r="D656">
        <f t="shared" si="82"/>
        <v>134</v>
      </c>
      <c r="E656">
        <f t="shared" si="83"/>
        <v>4</v>
      </c>
      <c r="F656">
        <f t="shared" si="84"/>
        <v>1</v>
      </c>
      <c r="G656">
        <f t="shared" si="88"/>
        <v>1</v>
      </c>
      <c r="H656">
        <f t="shared" si="85"/>
        <v>1</v>
      </c>
      <c r="I656" s="4" t="str">
        <f t="shared" si="86"/>
        <v>111</v>
      </c>
      <c r="Q656" s="1">
        <v>0.26968279646146132</v>
      </c>
      <c r="R656" s="1">
        <v>6.4463921928871737E-2</v>
      </c>
    </row>
    <row r="657" spans="1:18" x14ac:dyDescent="0.35">
      <c r="A657" t="s">
        <v>659</v>
      </c>
      <c r="B657" s="2">
        <f t="shared" si="81"/>
        <v>45304</v>
      </c>
      <c r="C657" s="3">
        <f t="shared" si="87"/>
        <v>-45304</v>
      </c>
      <c r="D657">
        <f t="shared" si="82"/>
        <v>73</v>
      </c>
      <c r="E657">
        <f t="shared" si="83"/>
        <v>2</v>
      </c>
      <c r="F657">
        <f t="shared" si="84"/>
        <v>1</v>
      </c>
      <c r="G657">
        <f t="shared" si="88"/>
        <v>1</v>
      </c>
      <c r="H657">
        <f t="shared" si="85"/>
        <v>1</v>
      </c>
      <c r="I657" s="4" t="str">
        <f t="shared" si="86"/>
        <v>111</v>
      </c>
      <c r="Q657" s="1">
        <v>0.50966054069481481</v>
      </c>
      <c r="R657" s="1">
        <v>2.2437001684278424E-2</v>
      </c>
    </row>
    <row r="658" spans="1:18" x14ac:dyDescent="0.35">
      <c r="A658" t="s">
        <v>660</v>
      </c>
      <c r="B658" s="2">
        <f t="shared" si="81"/>
        <v>45805</v>
      </c>
      <c r="C658" s="3">
        <f t="shared" si="87"/>
        <v>-45805</v>
      </c>
      <c r="D658">
        <f t="shared" si="82"/>
        <v>1412</v>
      </c>
      <c r="E658">
        <f t="shared" si="83"/>
        <v>47</v>
      </c>
      <c r="F658">
        <f t="shared" si="84"/>
        <v>5</v>
      </c>
      <c r="G658">
        <f t="shared" si="88"/>
        <v>5</v>
      </c>
      <c r="H658">
        <f t="shared" si="85"/>
        <v>5</v>
      </c>
      <c r="I658" s="4" t="str">
        <f t="shared" si="86"/>
        <v>555</v>
      </c>
      <c r="Q658" s="1">
        <v>0.23811646758806926</v>
      </c>
      <c r="R658" s="1">
        <v>0.93984043800270389</v>
      </c>
    </row>
    <row r="659" spans="1:18" x14ac:dyDescent="0.35">
      <c r="A659" t="s">
        <v>661</v>
      </c>
      <c r="B659" s="2">
        <f t="shared" si="81"/>
        <v>45336</v>
      </c>
      <c r="C659" s="3">
        <f t="shared" si="87"/>
        <v>-45336</v>
      </c>
      <c r="D659">
        <f t="shared" si="82"/>
        <v>158</v>
      </c>
      <c r="E659">
        <f t="shared" si="83"/>
        <v>5</v>
      </c>
      <c r="F659">
        <f t="shared" si="84"/>
        <v>1</v>
      </c>
      <c r="G659">
        <f t="shared" si="88"/>
        <v>1</v>
      </c>
      <c r="H659">
        <f t="shared" si="85"/>
        <v>1</v>
      </c>
      <c r="I659" s="4" t="str">
        <f t="shared" si="86"/>
        <v>111</v>
      </c>
      <c r="Q659" s="1">
        <v>4.4777534074265324E-2</v>
      </c>
      <c r="R659" s="1">
        <v>8.0605946162694009E-2</v>
      </c>
    </row>
    <row r="660" spans="1:18" x14ac:dyDescent="0.35">
      <c r="A660" t="s">
        <v>662</v>
      </c>
      <c r="B660" s="2">
        <f t="shared" si="81"/>
        <v>45344</v>
      </c>
      <c r="C660" s="3">
        <f t="shared" si="87"/>
        <v>-45344</v>
      </c>
      <c r="D660">
        <f t="shared" si="82"/>
        <v>179</v>
      </c>
      <c r="E660">
        <f t="shared" si="83"/>
        <v>6</v>
      </c>
      <c r="F660">
        <f t="shared" si="84"/>
        <v>1</v>
      </c>
      <c r="G660">
        <f t="shared" si="88"/>
        <v>1</v>
      </c>
      <c r="H660">
        <f t="shared" si="85"/>
        <v>1</v>
      </c>
      <c r="I660" s="4" t="str">
        <f t="shared" si="86"/>
        <v>111</v>
      </c>
      <c r="Q660" s="1">
        <v>0.59462248186992239</v>
      </c>
      <c r="R660" s="1">
        <v>9.5119103072192512E-2</v>
      </c>
    </row>
    <row r="661" spans="1:18" x14ac:dyDescent="0.35">
      <c r="A661" t="s">
        <v>663</v>
      </c>
      <c r="B661" s="2">
        <f t="shared" si="81"/>
        <v>45293</v>
      </c>
      <c r="C661" s="3">
        <f t="shared" si="87"/>
        <v>-45293</v>
      </c>
      <c r="D661">
        <f t="shared" si="82"/>
        <v>42</v>
      </c>
      <c r="E661">
        <f t="shared" si="83"/>
        <v>1</v>
      </c>
      <c r="F661">
        <f t="shared" si="84"/>
        <v>1</v>
      </c>
      <c r="G661">
        <f t="shared" si="88"/>
        <v>1</v>
      </c>
      <c r="H661">
        <f t="shared" si="85"/>
        <v>1</v>
      </c>
      <c r="I661" s="4" t="str">
        <f t="shared" si="86"/>
        <v>111</v>
      </c>
      <c r="Q661" s="1">
        <v>0.26941370108243778</v>
      </c>
      <c r="R661" s="1">
        <v>1.1051039657506978E-3</v>
      </c>
    </row>
    <row r="662" spans="1:18" x14ac:dyDescent="0.35">
      <c r="A662" t="s">
        <v>664</v>
      </c>
      <c r="B662" s="2">
        <f t="shared" si="81"/>
        <v>45619</v>
      </c>
      <c r="C662" s="3">
        <f t="shared" si="87"/>
        <v>-45619</v>
      </c>
      <c r="D662">
        <f t="shared" si="82"/>
        <v>913</v>
      </c>
      <c r="E662">
        <f t="shared" si="83"/>
        <v>30</v>
      </c>
      <c r="F662">
        <f t="shared" si="84"/>
        <v>4</v>
      </c>
      <c r="G662">
        <f t="shared" si="88"/>
        <v>4</v>
      </c>
      <c r="H662">
        <f t="shared" si="85"/>
        <v>4</v>
      </c>
      <c r="I662" s="4" t="str">
        <f t="shared" si="86"/>
        <v>444</v>
      </c>
      <c r="Q662" s="1">
        <v>0.41654481177150338</v>
      </c>
      <c r="R662" s="1">
        <v>0.59825240312708106</v>
      </c>
    </row>
    <row r="663" spans="1:18" x14ac:dyDescent="0.35">
      <c r="A663" t="s">
        <v>665</v>
      </c>
      <c r="B663" s="2">
        <f t="shared" si="81"/>
        <v>45826</v>
      </c>
      <c r="C663" s="3">
        <f t="shared" si="87"/>
        <v>-45826</v>
      </c>
      <c r="D663">
        <f t="shared" si="82"/>
        <v>1467</v>
      </c>
      <c r="E663">
        <f t="shared" si="83"/>
        <v>49</v>
      </c>
      <c r="F663">
        <f t="shared" si="84"/>
        <v>5</v>
      </c>
      <c r="G663">
        <f t="shared" si="88"/>
        <v>5</v>
      </c>
      <c r="H663">
        <f t="shared" si="85"/>
        <v>5</v>
      </c>
      <c r="I663" s="4" t="str">
        <f t="shared" si="86"/>
        <v>555</v>
      </c>
      <c r="Q663" s="1">
        <v>0.47242777953461956</v>
      </c>
      <c r="R663" s="1">
        <v>0.97742562569734281</v>
      </c>
    </row>
    <row r="664" spans="1:18" x14ac:dyDescent="0.35">
      <c r="A664" t="s">
        <v>666</v>
      </c>
      <c r="B664" s="2">
        <f t="shared" si="81"/>
        <v>45704</v>
      </c>
      <c r="C664" s="3">
        <f t="shared" si="87"/>
        <v>-45704</v>
      </c>
      <c r="D664">
        <f t="shared" si="82"/>
        <v>1142</v>
      </c>
      <c r="E664">
        <f t="shared" si="83"/>
        <v>38</v>
      </c>
      <c r="F664">
        <f t="shared" si="84"/>
        <v>4</v>
      </c>
      <c r="G664">
        <f t="shared" si="88"/>
        <v>4</v>
      </c>
      <c r="H664">
        <f t="shared" si="85"/>
        <v>4</v>
      </c>
      <c r="I664" s="4" t="str">
        <f t="shared" si="86"/>
        <v>444</v>
      </c>
      <c r="Q664" s="1">
        <v>0.31166139702251305</v>
      </c>
      <c r="R664" s="1">
        <v>0.75481707782613416</v>
      </c>
    </row>
    <row r="665" spans="1:18" x14ac:dyDescent="0.35">
      <c r="A665" t="s">
        <v>667</v>
      </c>
      <c r="B665" s="2">
        <f t="shared" si="81"/>
        <v>45390</v>
      </c>
      <c r="C665" s="3">
        <f t="shared" si="87"/>
        <v>-45390</v>
      </c>
      <c r="D665">
        <f t="shared" si="82"/>
        <v>302</v>
      </c>
      <c r="E665">
        <f t="shared" si="83"/>
        <v>10</v>
      </c>
      <c r="F665">
        <f t="shared" si="84"/>
        <v>1</v>
      </c>
      <c r="G665">
        <f t="shared" si="88"/>
        <v>1</v>
      </c>
      <c r="H665">
        <f t="shared" si="85"/>
        <v>1</v>
      </c>
      <c r="I665" s="4" t="str">
        <f t="shared" si="86"/>
        <v>111</v>
      </c>
      <c r="Q665" s="1">
        <v>0.16852499076518557</v>
      </c>
      <c r="R665" s="1">
        <v>0.17933795933113639</v>
      </c>
    </row>
    <row r="666" spans="1:18" x14ac:dyDescent="0.35">
      <c r="A666" t="s">
        <v>668</v>
      </c>
      <c r="B666" s="2">
        <f t="shared" si="81"/>
        <v>45758</v>
      </c>
      <c r="C666" s="3">
        <f t="shared" si="87"/>
        <v>-45758</v>
      </c>
      <c r="D666">
        <f t="shared" si="82"/>
        <v>1287</v>
      </c>
      <c r="E666">
        <f t="shared" si="83"/>
        <v>43</v>
      </c>
      <c r="F666">
        <f t="shared" si="84"/>
        <v>5</v>
      </c>
      <c r="G666">
        <f t="shared" si="88"/>
        <v>5</v>
      </c>
      <c r="H666">
        <f t="shared" si="85"/>
        <v>5</v>
      </c>
      <c r="I666" s="4" t="str">
        <f t="shared" si="86"/>
        <v>555</v>
      </c>
      <c r="Q666" s="1">
        <v>0.64600742383945797</v>
      </c>
      <c r="R666" s="1">
        <v>0.85420199296156996</v>
      </c>
    </row>
    <row r="667" spans="1:18" x14ac:dyDescent="0.35">
      <c r="A667" t="s">
        <v>669</v>
      </c>
      <c r="B667" s="2">
        <f t="shared" si="81"/>
        <v>45327</v>
      </c>
      <c r="C667" s="3">
        <f t="shared" si="87"/>
        <v>-45327</v>
      </c>
      <c r="D667">
        <f t="shared" si="82"/>
        <v>133</v>
      </c>
      <c r="E667">
        <f t="shared" si="83"/>
        <v>4</v>
      </c>
      <c r="F667">
        <f t="shared" si="84"/>
        <v>1</v>
      </c>
      <c r="G667">
        <f t="shared" si="88"/>
        <v>1</v>
      </c>
      <c r="H667">
        <f t="shared" si="85"/>
        <v>1</v>
      </c>
      <c r="I667" s="4" t="str">
        <f t="shared" si="86"/>
        <v>111</v>
      </c>
      <c r="Q667" s="1">
        <v>0.62566304253896776</v>
      </c>
      <c r="R667" s="1">
        <v>6.3772072253222678E-2</v>
      </c>
    </row>
    <row r="668" spans="1:18" x14ac:dyDescent="0.35">
      <c r="A668" t="s">
        <v>670</v>
      </c>
      <c r="B668" s="2">
        <f t="shared" si="81"/>
        <v>45339</v>
      </c>
      <c r="C668" s="3">
        <f t="shared" si="87"/>
        <v>-45339</v>
      </c>
      <c r="D668">
        <f t="shared" si="82"/>
        <v>164</v>
      </c>
      <c r="E668">
        <f t="shared" si="83"/>
        <v>5</v>
      </c>
      <c r="F668">
        <f t="shared" si="84"/>
        <v>1</v>
      </c>
      <c r="G668">
        <f t="shared" si="88"/>
        <v>1</v>
      </c>
      <c r="H668">
        <f t="shared" si="85"/>
        <v>1</v>
      </c>
      <c r="I668" s="4" t="str">
        <f t="shared" si="86"/>
        <v>111</v>
      </c>
      <c r="Q668" s="1">
        <v>0.72271122280120892</v>
      </c>
      <c r="R668" s="1">
        <v>8.5175148299076242E-2</v>
      </c>
    </row>
    <row r="669" spans="1:18" x14ac:dyDescent="0.35">
      <c r="A669" t="s">
        <v>671</v>
      </c>
      <c r="B669" s="2">
        <f t="shared" si="81"/>
        <v>45494</v>
      </c>
      <c r="C669" s="3">
        <f t="shared" si="87"/>
        <v>-45494</v>
      </c>
      <c r="D669">
        <f t="shared" si="82"/>
        <v>581</v>
      </c>
      <c r="E669">
        <f t="shared" si="83"/>
        <v>19</v>
      </c>
      <c r="F669">
        <f t="shared" si="84"/>
        <v>2</v>
      </c>
      <c r="G669">
        <f t="shared" si="88"/>
        <v>2</v>
      </c>
      <c r="H669">
        <f t="shared" si="85"/>
        <v>2</v>
      </c>
      <c r="I669" s="4" t="str">
        <f t="shared" si="86"/>
        <v>222</v>
      </c>
      <c r="Q669" s="1">
        <v>0.36267991687382806</v>
      </c>
      <c r="R669" s="1">
        <v>0.37063691689202027</v>
      </c>
    </row>
    <row r="670" spans="1:18" x14ac:dyDescent="0.35">
      <c r="A670" t="s">
        <v>672</v>
      </c>
      <c r="B670" s="2">
        <f t="shared" si="81"/>
        <v>45373</v>
      </c>
      <c r="C670" s="3">
        <f t="shared" si="87"/>
        <v>-45373</v>
      </c>
      <c r="D670">
        <f t="shared" si="82"/>
        <v>256</v>
      </c>
      <c r="E670">
        <f t="shared" si="83"/>
        <v>8</v>
      </c>
      <c r="F670">
        <f t="shared" si="84"/>
        <v>1</v>
      </c>
      <c r="G670">
        <f t="shared" si="88"/>
        <v>1</v>
      </c>
      <c r="H670">
        <f t="shared" si="85"/>
        <v>1</v>
      </c>
      <c r="I670" s="4" t="str">
        <f t="shared" si="86"/>
        <v>111</v>
      </c>
      <c r="Q670" s="1">
        <v>0.37390373546532596</v>
      </c>
      <c r="R670" s="1">
        <v>0.14805956038377055</v>
      </c>
    </row>
    <row r="671" spans="1:18" x14ac:dyDescent="0.35">
      <c r="A671" t="s">
        <v>673</v>
      </c>
      <c r="B671" s="2">
        <f t="shared" si="81"/>
        <v>45379</v>
      </c>
      <c r="C671" s="3">
        <f t="shared" si="87"/>
        <v>-45379</v>
      </c>
      <c r="D671">
        <f t="shared" si="82"/>
        <v>273</v>
      </c>
      <c r="E671">
        <f t="shared" si="83"/>
        <v>9</v>
      </c>
      <c r="F671">
        <f t="shared" si="84"/>
        <v>1</v>
      </c>
      <c r="G671">
        <f t="shared" si="88"/>
        <v>1</v>
      </c>
      <c r="H671">
        <f t="shared" si="85"/>
        <v>1</v>
      </c>
      <c r="I671" s="4" t="str">
        <f t="shared" si="86"/>
        <v>111</v>
      </c>
      <c r="Q671" s="1">
        <v>0.89785953735589563</v>
      </c>
      <c r="R671" s="1">
        <v>0.15942783851675923</v>
      </c>
    </row>
    <row r="672" spans="1:18" x14ac:dyDescent="0.35">
      <c r="A672" t="s">
        <v>674</v>
      </c>
      <c r="B672" s="2">
        <f t="shared" si="81"/>
        <v>45627</v>
      </c>
      <c r="C672" s="3">
        <f t="shared" si="87"/>
        <v>-45627</v>
      </c>
      <c r="D672">
        <f t="shared" si="82"/>
        <v>937</v>
      </c>
      <c r="E672">
        <f t="shared" si="83"/>
        <v>31</v>
      </c>
      <c r="F672">
        <f t="shared" si="84"/>
        <v>4</v>
      </c>
      <c r="G672">
        <f t="shared" si="88"/>
        <v>4</v>
      </c>
      <c r="H672">
        <f t="shared" si="85"/>
        <v>4</v>
      </c>
      <c r="I672" s="4" t="str">
        <f t="shared" si="86"/>
        <v>444</v>
      </c>
      <c r="Q672" s="1">
        <v>0.23027772005448777</v>
      </c>
      <c r="R672" s="1">
        <v>0.61434440653650513</v>
      </c>
    </row>
    <row r="673" spans="1:18" x14ac:dyDescent="0.35">
      <c r="A673" t="s">
        <v>675</v>
      </c>
      <c r="B673" s="2">
        <f t="shared" si="81"/>
        <v>45730</v>
      </c>
      <c r="C673" s="3">
        <f t="shared" si="87"/>
        <v>-45730</v>
      </c>
      <c r="D673">
        <f t="shared" si="82"/>
        <v>1211</v>
      </c>
      <c r="E673">
        <f t="shared" si="83"/>
        <v>40</v>
      </c>
      <c r="F673">
        <f t="shared" si="84"/>
        <v>5</v>
      </c>
      <c r="G673">
        <f t="shared" si="88"/>
        <v>5</v>
      </c>
      <c r="H673">
        <f t="shared" si="85"/>
        <v>5</v>
      </c>
      <c r="I673" s="4" t="str">
        <f t="shared" si="86"/>
        <v>555</v>
      </c>
      <c r="Q673" s="1">
        <v>0.93351873737682256</v>
      </c>
      <c r="R673" s="1">
        <v>0.80173196485996601</v>
      </c>
    </row>
    <row r="674" spans="1:18" x14ac:dyDescent="0.35">
      <c r="A674" t="s">
        <v>676</v>
      </c>
      <c r="B674" s="2">
        <f t="shared" si="81"/>
        <v>45400</v>
      </c>
      <c r="C674" s="3">
        <f t="shared" si="87"/>
        <v>-45400</v>
      </c>
      <c r="D674">
        <f t="shared" si="82"/>
        <v>329</v>
      </c>
      <c r="E674">
        <f t="shared" si="83"/>
        <v>11</v>
      </c>
      <c r="F674">
        <f t="shared" si="84"/>
        <v>1</v>
      </c>
      <c r="G674">
        <f t="shared" si="88"/>
        <v>1</v>
      </c>
      <c r="H674">
        <f t="shared" si="85"/>
        <v>1</v>
      </c>
      <c r="I674" s="4" t="str">
        <f t="shared" si="86"/>
        <v>111</v>
      </c>
      <c r="Q674" s="1">
        <v>0.46310960142621194</v>
      </c>
      <c r="R674" s="1">
        <v>0.19778889036104097</v>
      </c>
    </row>
    <row r="675" spans="1:18" x14ac:dyDescent="0.35">
      <c r="A675" t="s">
        <v>677</v>
      </c>
      <c r="B675" s="2">
        <f t="shared" si="81"/>
        <v>45512</v>
      </c>
      <c r="C675" s="3">
        <f t="shared" si="87"/>
        <v>-45512</v>
      </c>
      <c r="D675">
        <f t="shared" si="82"/>
        <v>629</v>
      </c>
      <c r="E675">
        <f t="shared" si="83"/>
        <v>21</v>
      </c>
      <c r="F675">
        <f t="shared" si="84"/>
        <v>2</v>
      </c>
      <c r="G675">
        <f t="shared" si="88"/>
        <v>2</v>
      </c>
      <c r="H675">
        <f t="shared" si="85"/>
        <v>2</v>
      </c>
      <c r="I675" s="4" t="str">
        <f t="shared" si="86"/>
        <v>222</v>
      </c>
      <c r="Q675" s="1">
        <v>0.45010173680799492</v>
      </c>
      <c r="R675" s="1">
        <v>0.40366846373044152</v>
      </c>
    </row>
    <row r="676" spans="1:18" x14ac:dyDescent="0.35">
      <c r="A676" t="s">
        <v>678</v>
      </c>
      <c r="B676" s="2">
        <f t="shared" si="81"/>
        <v>45614</v>
      </c>
      <c r="C676" s="3">
        <f t="shared" si="87"/>
        <v>-45614</v>
      </c>
      <c r="D676">
        <f t="shared" si="82"/>
        <v>900</v>
      </c>
      <c r="E676">
        <f t="shared" si="83"/>
        <v>30</v>
      </c>
      <c r="F676">
        <f t="shared" si="84"/>
        <v>4</v>
      </c>
      <c r="G676">
        <f t="shared" si="88"/>
        <v>4</v>
      </c>
      <c r="H676">
        <f t="shared" si="85"/>
        <v>4</v>
      </c>
      <c r="I676" s="4" t="str">
        <f t="shared" si="86"/>
        <v>444</v>
      </c>
      <c r="Q676" s="1">
        <v>0.59097141532188513</v>
      </c>
      <c r="R676" s="1">
        <v>0.58900110973010733</v>
      </c>
    </row>
    <row r="677" spans="1:18" x14ac:dyDescent="0.35">
      <c r="A677" t="s">
        <v>679</v>
      </c>
      <c r="B677" s="2">
        <f t="shared" si="81"/>
        <v>45687</v>
      </c>
      <c r="C677" s="3">
        <f t="shared" si="87"/>
        <v>-45687</v>
      </c>
      <c r="D677">
        <f t="shared" si="82"/>
        <v>1096</v>
      </c>
      <c r="E677">
        <f t="shared" si="83"/>
        <v>36</v>
      </c>
      <c r="F677">
        <f t="shared" si="84"/>
        <v>4</v>
      </c>
      <c r="G677">
        <f t="shared" si="88"/>
        <v>4</v>
      </c>
      <c r="H677">
        <f t="shared" si="85"/>
        <v>4</v>
      </c>
      <c r="I677" s="4" t="str">
        <f t="shared" si="86"/>
        <v>444</v>
      </c>
      <c r="Q677" s="1">
        <v>0.47748182684375673</v>
      </c>
      <c r="R677" s="1">
        <v>0.72322199071724369</v>
      </c>
    </row>
    <row r="678" spans="1:18" x14ac:dyDescent="0.35">
      <c r="A678" t="s">
        <v>680</v>
      </c>
      <c r="B678" s="2">
        <f t="shared" si="81"/>
        <v>45656</v>
      </c>
      <c r="C678" s="3">
        <f t="shared" si="87"/>
        <v>-45656</v>
      </c>
      <c r="D678">
        <f t="shared" si="82"/>
        <v>1014</v>
      </c>
      <c r="E678">
        <f t="shared" si="83"/>
        <v>34</v>
      </c>
      <c r="F678">
        <f t="shared" si="84"/>
        <v>4</v>
      </c>
      <c r="G678">
        <f t="shared" si="88"/>
        <v>4</v>
      </c>
      <c r="H678">
        <f t="shared" si="85"/>
        <v>4</v>
      </c>
      <c r="I678" s="4" t="str">
        <f t="shared" si="86"/>
        <v>444</v>
      </c>
      <c r="Q678" s="1">
        <v>0.85654525287478145</v>
      </c>
      <c r="R678" s="1">
        <v>0.66681880199312638</v>
      </c>
    </row>
    <row r="679" spans="1:18" x14ac:dyDescent="0.35">
      <c r="A679" t="s">
        <v>681</v>
      </c>
      <c r="B679" s="2">
        <f t="shared" si="81"/>
        <v>45526</v>
      </c>
      <c r="C679" s="3">
        <f t="shared" si="87"/>
        <v>-45526</v>
      </c>
      <c r="D679">
        <f t="shared" si="82"/>
        <v>666</v>
      </c>
      <c r="E679">
        <f t="shared" si="83"/>
        <v>22</v>
      </c>
      <c r="F679">
        <f t="shared" si="84"/>
        <v>2</v>
      </c>
      <c r="G679">
        <f t="shared" si="88"/>
        <v>2</v>
      </c>
      <c r="H679">
        <f t="shared" si="85"/>
        <v>2</v>
      </c>
      <c r="I679" s="4" t="str">
        <f t="shared" si="86"/>
        <v>222</v>
      </c>
      <c r="Q679" s="1">
        <v>0.43688493398625117</v>
      </c>
      <c r="R679" s="1">
        <v>0.42867179111655973</v>
      </c>
    </row>
    <row r="680" spans="1:18" x14ac:dyDescent="0.35">
      <c r="A680" t="s">
        <v>682</v>
      </c>
      <c r="B680" s="2">
        <f t="shared" si="81"/>
        <v>45674</v>
      </c>
      <c r="C680" s="3">
        <f t="shared" si="87"/>
        <v>-45674</v>
      </c>
      <c r="D680">
        <f t="shared" si="82"/>
        <v>1060</v>
      </c>
      <c r="E680">
        <f t="shared" si="83"/>
        <v>35</v>
      </c>
      <c r="F680">
        <f t="shared" si="84"/>
        <v>4</v>
      </c>
      <c r="G680">
        <f t="shared" si="88"/>
        <v>4</v>
      </c>
      <c r="H680">
        <f t="shared" si="85"/>
        <v>4</v>
      </c>
      <c r="I680" s="4" t="str">
        <f t="shared" si="86"/>
        <v>444</v>
      </c>
      <c r="Q680" s="1">
        <v>6.6815482437852736E-2</v>
      </c>
      <c r="R680" s="1">
        <v>0.69896364654894305</v>
      </c>
    </row>
    <row r="681" spans="1:18" x14ac:dyDescent="0.35">
      <c r="A681" t="s">
        <v>683</v>
      </c>
      <c r="B681" s="2">
        <f t="shared" si="81"/>
        <v>45335</v>
      </c>
      <c r="C681" s="3">
        <f t="shared" si="87"/>
        <v>-45335</v>
      </c>
      <c r="D681">
        <f t="shared" si="82"/>
        <v>156</v>
      </c>
      <c r="E681">
        <f t="shared" si="83"/>
        <v>5</v>
      </c>
      <c r="F681">
        <f t="shared" si="84"/>
        <v>1</v>
      </c>
      <c r="G681">
        <f t="shared" si="88"/>
        <v>1</v>
      </c>
      <c r="H681">
        <f t="shared" si="85"/>
        <v>1</v>
      </c>
      <c r="I681" s="4" t="str">
        <f t="shared" si="86"/>
        <v>111</v>
      </c>
      <c r="Q681" s="1">
        <v>0.28336795087908884</v>
      </c>
      <c r="R681" s="1">
        <v>7.9235226967479755E-2</v>
      </c>
    </row>
    <row r="682" spans="1:18" x14ac:dyDescent="0.35">
      <c r="A682" t="s">
        <v>684</v>
      </c>
      <c r="B682" s="2">
        <f t="shared" si="81"/>
        <v>45697</v>
      </c>
      <c r="C682" s="3">
        <f t="shared" si="87"/>
        <v>-45697</v>
      </c>
      <c r="D682">
        <f t="shared" si="82"/>
        <v>1122</v>
      </c>
      <c r="E682">
        <f t="shared" si="83"/>
        <v>37</v>
      </c>
      <c r="F682">
        <f t="shared" si="84"/>
        <v>4</v>
      </c>
      <c r="G682">
        <f t="shared" si="88"/>
        <v>4</v>
      </c>
      <c r="H682">
        <f t="shared" si="85"/>
        <v>4</v>
      </c>
      <c r="I682" s="4" t="str">
        <f t="shared" si="86"/>
        <v>444</v>
      </c>
      <c r="Q682" s="1">
        <v>0.52427645819748536</v>
      </c>
      <c r="R682" s="1">
        <v>0.74097155369389733</v>
      </c>
    </row>
    <row r="683" spans="1:18" x14ac:dyDescent="0.35">
      <c r="A683" t="s">
        <v>685</v>
      </c>
      <c r="B683" s="2">
        <f t="shared" si="81"/>
        <v>45690</v>
      </c>
      <c r="C683" s="3">
        <f t="shared" si="87"/>
        <v>-45690</v>
      </c>
      <c r="D683">
        <f t="shared" si="82"/>
        <v>1104</v>
      </c>
      <c r="E683">
        <f t="shared" si="83"/>
        <v>37</v>
      </c>
      <c r="F683">
        <f t="shared" si="84"/>
        <v>4</v>
      </c>
      <c r="G683">
        <f t="shared" si="88"/>
        <v>4</v>
      </c>
      <c r="H683">
        <f t="shared" si="85"/>
        <v>4</v>
      </c>
      <c r="I683" s="4" t="str">
        <f t="shared" si="86"/>
        <v>444</v>
      </c>
      <c r="Q683" s="1">
        <v>0.20899143294663602</v>
      </c>
      <c r="R683" s="1">
        <v>0.7289713555280849</v>
      </c>
    </row>
    <row r="684" spans="1:18" x14ac:dyDescent="0.35">
      <c r="A684" t="s">
        <v>686</v>
      </c>
      <c r="B684" s="2">
        <f t="shared" si="81"/>
        <v>45695</v>
      </c>
      <c r="C684" s="3">
        <f t="shared" si="87"/>
        <v>-45695</v>
      </c>
      <c r="D684">
        <f t="shared" si="82"/>
        <v>1118</v>
      </c>
      <c r="E684">
        <f t="shared" si="83"/>
        <v>37</v>
      </c>
      <c r="F684">
        <f t="shared" si="84"/>
        <v>4</v>
      </c>
      <c r="G684">
        <f t="shared" si="88"/>
        <v>4</v>
      </c>
      <c r="H684">
        <f t="shared" si="85"/>
        <v>4</v>
      </c>
      <c r="I684" s="4" t="str">
        <f t="shared" si="86"/>
        <v>444</v>
      </c>
      <c r="Q684" s="1">
        <v>0.74398893873419314</v>
      </c>
      <c r="R684" s="1">
        <v>0.73801877228641932</v>
      </c>
    </row>
    <row r="685" spans="1:18" x14ac:dyDescent="0.35">
      <c r="A685" t="s">
        <v>687</v>
      </c>
      <c r="B685" s="2">
        <f t="shared" si="81"/>
        <v>45834</v>
      </c>
      <c r="C685" s="3">
        <f t="shared" si="87"/>
        <v>-45834</v>
      </c>
      <c r="D685">
        <f t="shared" si="82"/>
        <v>1490</v>
      </c>
      <c r="E685">
        <f t="shared" si="83"/>
        <v>50</v>
      </c>
      <c r="F685">
        <f t="shared" si="84"/>
        <v>5</v>
      </c>
      <c r="G685">
        <f t="shared" si="88"/>
        <v>5</v>
      </c>
      <c r="H685">
        <f t="shared" si="85"/>
        <v>5</v>
      </c>
      <c r="I685" s="4" t="str">
        <f t="shared" si="86"/>
        <v>555</v>
      </c>
      <c r="Q685" s="1">
        <v>2.2942306572355298E-2</v>
      </c>
      <c r="R685" s="1">
        <v>0.99326974348536512</v>
      </c>
    </row>
    <row r="686" spans="1:18" x14ac:dyDescent="0.35">
      <c r="A686" t="s">
        <v>688</v>
      </c>
      <c r="B686" s="2">
        <f t="shared" si="81"/>
        <v>45733</v>
      </c>
      <c r="C686" s="3">
        <f t="shared" si="87"/>
        <v>-45733</v>
      </c>
      <c r="D686">
        <f t="shared" si="82"/>
        <v>1218</v>
      </c>
      <c r="E686">
        <f t="shared" si="83"/>
        <v>41</v>
      </c>
      <c r="F686">
        <f t="shared" si="84"/>
        <v>5</v>
      </c>
      <c r="G686">
        <f t="shared" si="88"/>
        <v>5</v>
      </c>
      <c r="H686">
        <f t="shared" si="85"/>
        <v>5</v>
      </c>
      <c r="I686" s="4" t="str">
        <f t="shared" si="86"/>
        <v>555</v>
      </c>
      <c r="Q686" s="1">
        <v>0.7101627821533073</v>
      </c>
      <c r="R686" s="1">
        <v>0.80692141077721158</v>
      </c>
    </row>
    <row r="687" spans="1:18" x14ac:dyDescent="0.35">
      <c r="A687" t="s">
        <v>689</v>
      </c>
      <c r="B687" s="2">
        <f t="shared" si="81"/>
        <v>45775</v>
      </c>
      <c r="C687" s="3">
        <f t="shared" si="87"/>
        <v>-45775</v>
      </c>
      <c r="D687">
        <f t="shared" si="82"/>
        <v>1331</v>
      </c>
      <c r="E687">
        <f t="shared" si="83"/>
        <v>44</v>
      </c>
      <c r="F687">
        <f t="shared" si="84"/>
        <v>5</v>
      </c>
      <c r="G687">
        <f t="shared" si="88"/>
        <v>5</v>
      </c>
      <c r="H687">
        <f t="shared" si="85"/>
        <v>5</v>
      </c>
      <c r="I687" s="4" t="str">
        <f t="shared" si="86"/>
        <v>555</v>
      </c>
      <c r="Q687" s="1">
        <v>0.27538241948078401</v>
      </c>
      <c r="R687" s="1">
        <v>0.88457259451899439</v>
      </c>
    </row>
    <row r="688" spans="1:18" x14ac:dyDescent="0.35">
      <c r="A688" t="s">
        <v>690</v>
      </c>
      <c r="B688" s="2">
        <f t="shared" si="81"/>
        <v>45476</v>
      </c>
      <c r="C688" s="3">
        <f t="shared" si="87"/>
        <v>-45476</v>
      </c>
      <c r="D688">
        <f t="shared" si="82"/>
        <v>531</v>
      </c>
      <c r="E688">
        <f t="shared" si="83"/>
        <v>17</v>
      </c>
      <c r="F688">
        <f t="shared" si="84"/>
        <v>2</v>
      </c>
      <c r="G688">
        <f t="shared" si="88"/>
        <v>2</v>
      </c>
      <c r="H688">
        <f t="shared" si="85"/>
        <v>2</v>
      </c>
      <c r="I688" s="4" t="str">
        <f t="shared" si="86"/>
        <v>222</v>
      </c>
      <c r="Q688" s="1">
        <v>0.934407563527622</v>
      </c>
      <c r="R688" s="1">
        <v>0.33608754663279783</v>
      </c>
    </row>
    <row r="689" spans="1:18" x14ac:dyDescent="0.35">
      <c r="A689" t="s">
        <v>691</v>
      </c>
      <c r="B689" s="2">
        <f t="shared" si="81"/>
        <v>45402</v>
      </c>
      <c r="C689" s="3">
        <f t="shared" si="87"/>
        <v>-45402</v>
      </c>
      <c r="D689">
        <f t="shared" si="82"/>
        <v>334</v>
      </c>
      <c r="E689">
        <f t="shared" si="83"/>
        <v>11</v>
      </c>
      <c r="F689">
        <f t="shared" si="84"/>
        <v>1</v>
      </c>
      <c r="G689">
        <f t="shared" si="88"/>
        <v>1</v>
      </c>
      <c r="H689">
        <f t="shared" si="85"/>
        <v>1</v>
      </c>
      <c r="I689" s="4" t="str">
        <f t="shared" si="86"/>
        <v>111</v>
      </c>
      <c r="Q689" s="1">
        <v>5.0724559438182548E-2</v>
      </c>
      <c r="R689" s="1">
        <v>0.20159294078903589</v>
      </c>
    </row>
    <row r="690" spans="1:18" x14ac:dyDescent="0.35">
      <c r="A690" t="s">
        <v>692</v>
      </c>
      <c r="B690" s="2">
        <f t="shared" si="81"/>
        <v>45556</v>
      </c>
      <c r="C690" s="3">
        <f t="shared" si="87"/>
        <v>-45556</v>
      </c>
      <c r="D690">
        <f t="shared" si="82"/>
        <v>745</v>
      </c>
      <c r="E690">
        <f t="shared" si="83"/>
        <v>25</v>
      </c>
      <c r="F690">
        <f t="shared" si="84"/>
        <v>2</v>
      </c>
      <c r="G690">
        <f t="shared" si="88"/>
        <v>2</v>
      </c>
      <c r="H690">
        <f t="shared" si="85"/>
        <v>2</v>
      </c>
      <c r="I690" s="4" t="str">
        <f t="shared" si="86"/>
        <v>222</v>
      </c>
      <c r="Q690" s="1">
        <v>0.87617712110525958</v>
      </c>
      <c r="R690" s="1">
        <v>0.48297861598094871</v>
      </c>
    </row>
    <row r="691" spans="1:18" x14ac:dyDescent="0.35">
      <c r="A691" t="s">
        <v>693</v>
      </c>
      <c r="B691" s="2">
        <f t="shared" si="81"/>
        <v>45630</v>
      </c>
      <c r="C691" s="3">
        <f t="shared" si="87"/>
        <v>-45630</v>
      </c>
      <c r="D691">
        <f t="shared" si="82"/>
        <v>945</v>
      </c>
      <c r="E691">
        <f t="shared" si="83"/>
        <v>31</v>
      </c>
      <c r="F691">
        <f t="shared" si="84"/>
        <v>4</v>
      </c>
      <c r="G691">
        <f t="shared" si="88"/>
        <v>4</v>
      </c>
      <c r="H691">
        <f t="shared" si="85"/>
        <v>4</v>
      </c>
      <c r="I691" s="4" t="str">
        <f t="shared" si="86"/>
        <v>444</v>
      </c>
      <c r="Q691" s="1">
        <v>0.72046349004003207</v>
      </c>
      <c r="R691" s="1">
        <v>0.6196001695942136</v>
      </c>
    </row>
    <row r="692" spans="1:18" x14ac:dyDescent="0.35">
      <c r="A692" t="s">
        <v>694</v>
      </c>
      <c r="B692" s="2">
        <f t="shared" si="81"/>
        <v>45688</v>
      </c>
      <c r="C692" s="3">
        <f t="shared" si="87"/>
        <v>-45688</v>
      </c>
      <c r="D692">
        <f t="shared" si="82"/>
        <v>1098</v>
      </c>
      <c r="E692">
        <f t="shared" si="83"/>
        <v>37</v>
      </c>
      <c r="F692">
        <f t="shared" si="84"/>
        <v>4</v>
      </c>
      <c r="G692">
        <f t="shared" si="88"/>
        <v>4</v>
      </c>
      <c r="H692">
        <f t="shared" si="85"/>
        <v>4</v>
      </c>
      <c r="I692" s="4" t="str">
        <f t="shared" si="86"/>
        <v>444</v>
      </c>
      <c r="Q692" s="1">
        <v>0.30689001984369457</v>
      </c>
      <c r="R692" s="1">
        <v>0.7246532845909377</v>
      </c>
    </row>
    <row r="693" spans="1:18" x14ac:dyDescent="0.35">
      <c r="A693" t="s">
        <v>695</v>
      </c>
      <c r="B693" s="2">
        <f t="shared" si="81"/>
        <v>45312</v>
      </c>
      <c r="C693" s="3">
        <f t="shared" si="87"/>
        <v>-45312</v>
      </c>
      <c r="D693">
        <f t="shared" si="82"/>
        <v>94</v>
      </c>
      <c r="E693">
        <f t="shared" si="83"/>
        <v>3</v>
      </c>
      <c r="F693">
        <f t="shared" si="84"/>
        <v>1</v>
      </c>
      <c r="G693">
        <f t="shared" si="88"/>
        <v>1</v>
      </c>
      <c r="H693">
        <f t="shared" si="85"/>
        <v>1</v>
      </c>
      <c r="I693" s="4" t="str">
        <f t="shared" si="86"/>
        <v>111</v>
      </c>
      <c r="Q693" s="1">
        <v>0.80631948617846994</v>
      </c>
      <c r="R693" s="1">
        <v>3.6977835163232164E-2</v>
      </c>
    </row>
    <row r="694" spans="1:18" x14ac:dyDescent="0.35">
      <c r="A694" t="s">
        <v>696</v>
      </c>
      <c r="B694" s="2">
        <f t="shared" si="81"/>
        <v>45487</v>
      </c>
      <c r="C694" s="3">
        <f t="shared" si="87"/>
        <v>-45487</v>
      </c>
      <c r="D694">
        <f t="shared" si="82"/>
        <v>562</v>
      </c>
      <c r="E694">
        <f t="shared" si="83"/>
        <v>19</v>
      </c>
      <c r="F694">
        <f t="shared" si="84"/>
        <v>2</v>
      </c>
      <c r="G694">
        <f t="shared" si="88"/>
        <v>2</v>
      </c>
      <c r="H694">
        <f t="shared" si="85"/>
        <v>2</v>
      </c>
      <c r="I694" s="4" t="str">
        <f t="shared" si="86"/>
        <v>222</v>
      </c>
      <c r="Q694" s="1">
        <v>0.14470359265392529</v>
      </c>
      <c r="R694" s="1">
        <v>0.35740408513479538</v>
      </c>
    </row>
    <row r="695" spans="1:18" x14ac:dyDescent="0.35">
      <c r="A695" t="s">
        <v>697</v>
      </c>
      <c r="B695" s="2">
        <f t="shared" si="81"/>
        <v>45768</v>
      </c>
      <c r="C695" s="3">
        <f t="shared" si="87"/>
        <v>-45768</v>
      </c>
      <c r="D695">
        <f t="shared" si="82"/>
        <v>1312</v>
      </c>
      <c r="E695">
        <f t="shared" si="83"/>
        <v>44</v>
      </c>
      <c r="F695">
        <f t="shared" si="84"/>
        <v>5</v>
      </c>
      <c r="G695">
        <f t="shared" si="88"/>
        <v>5</v>
      </c>
      <c r="H695">
        <f t="shared" si="85"/>
        <v>5</v>
      </c>
      <c r="I695" s="4" t="str">
        <f t="shared" si="86"/>
        <v>555</v>
      </c>
      <c r="Q695" s="1">
        <v>0.67421222264175107</v>
      </c>
      <c r="R695" s="1">
        <v>0.87099257161562094</v>
      </c>
    </row>
    <row r="696" spans="1:18" x14ac:dyDescent="0.35">
      <c r="A696" t="s">
        <v>698</v>
      </c>
      <c r="B696" s="2">
        <f t="shared" si="81"/>
        <v>45498</v>
      </c>
      <c r="C696" s="3">
        <f t="shared" si="87"/>
        <v>-45498</v>
      </c>
      <c r="D696">
        <f t="shared" si="82"/>
        <v>591</v>
      </c>
      <c r="E696">
        <f t="shared" si="83"/>
        <v>20</v>
      </c>
      <c r="F696">
        <f t="shared" si="84"/>
        <v>2</v>
      </c>
      <c r="G696">
        <f t="shared" si="88"/>
        <v>2</v>
      </c>
      <c r="H696">
        <f t="shared" si="85"/>
        <v>2</v>
      </c>
      <c r="I696" s="4" t="str">
        <f t="shared" si="86"/>
        <v>222</v>
      </c>
      <c r="Q696" s="1">
        <v>0.20458497686853727</v>
      </c>
      <c r="R696" s="1">
        <v>0.37768320049222415</v>
      </c>
    </row>
    <row r="697" spans="1:18" x14ac:dyDescent="0.35">
      <c r="A697" t="s">
        <v>699</v>
      </c>
      <c r="B697" s="2">
        <f t="shared" si="81"/>
        <v>45731</v>
      </c>
      <c r="C697" s="3">
        <f t="shared" si="87"/>
        <v>-45731</v>
      </c>
      <c r="D697">
        <f t="shared" si="82"/>
        <v>1214</v>
      </c>
      <c r="E697">
        <f t="shared" si="83"/>
        <v>40</v>
      </c>
      <c r="F697">
        <f t="shared" si="84"/>
        <v>5</v>
      </c>
      <c r="G697">
        <f t="shared" si="88"/>
        <v>5</v>
      </c>
      <c r="H697">
        <f t="shared" si="85"/>
        <v>5</v>
      </c>
      <c r="I697" s="4" t="str">
        <f t="shared" si="86"/>
        <v>555</v>
      </c>
      <c r="Q697" s="1">
        <v>0.67418852763845838</v>
      </c>
      <c r="R697" s="1">
        <v>0.80392739907486332</v>
      </c>
    </row>
    <row r="698" spans="1:18" x14ac:dyDescent="0.35">
      <c r="A698" t="s">
        <v>700</v>
      </c>
      <c r="B698" s="2">
        <f t="shared" si="81"/>
        <v>45471</v>
      </c>
      <c r="C698" s="3">
        <f t="shared" si="87"/>
        <v>-45471</v>
      </c>
      <c r="D698">
        <f t="shared" si="82"/>
        <v>518</v>
      </c>
      <c r="E698">
        <f t="shared" si="83"/>
        <v>17</v>
      </c>
      <c r="F698">
        <f t="shared" si="84"/>
        <v>2</v>
      </c>
      <c r="G698">
        <f t="shared" si="88"/>
        <v>2</v>
      </c>
      <c r="H698">
        <f t="shared" si="85"/>
        <v>2</v>
      </c>
      <c r="I698" s="4" t="str">
        <f t="shared" si="86"/>
        <v>222</v>
      </c>
      <c r="Q698" s="1">
        <v>0.62567740786112158</v>
      </c>
      <c r="R698" s="1">
        <v>0.32722369962713727</v>
      </c>
    </row>
    <row r="699" spans="1:18" x14ac:dyDescent="0.35">
      <c r="A699" t="s">
        <v>701</v>
      </c>
      <c r="B699" s="2">
        <f t="shared" si="81"/>
        <v>45409</v>
      </c>
      <c r="C699" s="3">
        <f t="shared" si="87"/>
        <v>-45409</v>
      </c>
      <c r="D699">
        <f t="shared" si="82"/>
        <v>353</v>
      </c>
      <c r="E699">
        <f t="shared" si="83"/>
        <v>11</v>
      </c>
      <c r="F699">
        <f t="shared" si="84"/>
        <v>1</v>
      </c>
      <c r="G699">
        <f t="shared" si="88"/>
        <v>1</v>
      </c>
      <c r="H699">
        <f t="shared" si="85"/>
        <v>1</v>
      </c>
      <c r="I699" s="4" t="str">
        <f t="shared" si="86"/>
        <v>111</v>
      </c>
      <c r="Q699" s="1">
        <v>0.69002506154833099</v>
      </c>
      <c r="R699" s="1">
        <v>0.21408219407669393</v>
      </c>
    </row>
    <row r="700" spans="1:18" x14ac:dyDescent="0.35">
      <c r="A700" t="s">
        <v>702</v>
      </c>
      <c r="B700" s="2">
        <f t="shared" si="81"/>
        <v>45302</v>
      </c>
      <c r="C700" s="3">
        <f t="shared" si="87"/>
        <v>-45302</v>
      </c>
      <c r="D700">
        <f t="shared" si="82"/>
        <v>66</v>
      </c>
      <c r="E700">
        <f t="shared" si="83"/>
        <v>2</v>
      </c>
      <c r="F700">
        <f t="shared" si="84"/>
        <v>1</v>
      </c>
      <c r="G700">
        <f t="shared" si="88"/>
        <v>1</v>
      </c>
      <c r="H700">
        <f t="shared" si="85"/>
        <v>1</v>
      </c>
      <c r="I700" s="4" t="str">
        <f t="shared" si="86"/>
        <v>111</v>
      </c>
      <c r="Q700" s="1">
        <v>0.76890300734496775</v>
      </c>
      <c r="R700" s="1">
        <v>1.749801273225815E-2</v>
      </c>
    </row>
    <row r="701" spans="1:18" x14ac:dyDescent="0.35">
      <c r="A701" t="s">
        <v>703</v>
      </c>
      <c r="B701" s="2">
        <f t="shared" si="81"/>
        <v>45585</v>
      </c>
      <c r="C701" s="3">
        <f t="shared" si="87"/>
        <v>-45585</v>
      </c>
      <c r="D701">
        <f t="shared" si="82"/>
        <v>824</v>
      </c>
      <c r="E701">
        <f t="shared" si="83"/>
        <v>27</v>
      </c>
      <c r="F701">
        <f t="shared" si="84"/>
        <v>4</v>
      </c>
      <c r="G701">
        <f t="shared" si="88"/>
        <v>4</v>
      </c>
      <c r="H701">
        <f t="shared" si="85"/>
        <v>4</v>
      </c>
      <c r="I701" s="4" t="str">
        <f t="shared" si="86"/>
        <v>444</v>
      </c>
      <c r="Q701" s="1">
        <v>7.7000126960424797E-3</v>
      </c>
      <c r="R701" s="1">
        <v>0.53696524067135509</v>
      </c>
    </row>
    <row r="702" spans="1:18" x14ac:dyDescent="0.35">
      <c r="A702" t="s">
        <v>704</v>
      </c>
      <c r="B702" s="2">
        <f t="shared" si="81"/>
        <v>45377</v>
      </c>
      <c r="C702" s="3">
        <f t="shared" si="87"/>
        <v>-45377</v>
      </c>
      <c r="D702">
        <f t="shared" si="82"/>
        <v>266</v>
      </c>
      <c r="E702">
        <f t="shared" si="83"/>
        <v>9</v>
      </c>
      <c r="F702">
        <f t="shared" si="84"/>
        <v>1</v>
      </c>
      <c r="G702">
        <f t="shared" si="88"/>
        <v>1</v>
      </c>
      <c r="H702">
        <f t="shared" si="85"/>
        <v>1</v>
      </c>
      <c r="I702" s="4" t="str">
        <f t="shared" si="86"/>
        <v>111</v>
      </c>
      <c r="Q702" s="1">
        <v>0.48598506882341275</v>
      </c>
      <c r="R702" s="1">
        <v>0.15494672131161213</v>
      </c>
    </row>
    <row r="703" spans="1:18" x14ac:dyDescent="0.35">
      <c r="A703" t="s">
        <v>705</v>
      </c>
      <c r="B703" s="2">
        <f t="shared" si="81"/>
        <v>45323</v>
      </c>
      <c r="C703" s="3">
        <f t="shared" si="87"/>
        <v>-45323</v>
      </c>
      <c r="D703">
        <f t="shared" si="82"/>
        <v>124</v>
      </c>
      <c r="E703">
        <f t="shared" si="83"/>
        <v>4</v>
      </c>
      <c r="F703">
        <f t="shared" si="84"/>
        <v>1</v>
      </c>
      <c r="G703">
        <f t="shared" si="88"/>
        <v>1</v>
      </c>
      <c r="H703">
        <f t="shared" si="85"/>
        <v>1</v>
      </c>
      <c r="I703" s="4" t="str">
        <f t="shared" si="86"/>
        <v>111</v>
      </c>
      <c r="Q703" s="1">
        <v>0.49988925525860151</v>
      </c>
      <c r="R703" s="1">
        <v>5.7371884703549814E-2</v>
      </c>
    </row>
    <row r="704" spans="1:18" x14ac:dyDescent="0.35">
      <c r="A704" t="s">
        <v>706</v>
      </c>
      <c r="B704" s="2">
        <f t="shared" si="81"/>
        <v>45464</v>
      </c>
      <c r="C704" s="3">
        <f t="shared" si="87"/>
        <v>-45464</v>
      </c>
      <c r="D704">
        <f t="shared" si="82"/>
        <v>499</v>
      </c>
      <c r="E704">
        <f t="shared" si="83"/>
        <v>16</v>
      </c>
      <c r="F704">
        <f t="shared" si="84"/>
        <v>2</v>
      </c>
      <c r="G704">
        <f t="shared" si="88"/>
        <v>2</v>
      </c>
      <c r="H704">
        <f t="shared" si="85"/>
        <v>2</v>
      </c>
      <c r="I704" s="4" t="str">
        <f t="shared" si="86"/>
        <v>222</v>
      </c>
      <c r="Q704" s="1">
        <v>0.57364655985654844</v>
      </c>
      <c r="R704" s="1">
        <v>0.31459739717425061</v>
      </c>
    </row>
    <row r="705" spans="1:18" x14ac:dyDescent="0.35">
      <c r="A705" t="s">
        <v>707</v>
      </c>
      <c r="B705" s="2">
        <f t="shared" si="81"/>
        <v>45837</v>
      </c>
      <c r="C705" s="3">
        <f t="shared" si="87"/>
        <v>-45837</v>
      </c>
      <c r="D705">
        <f t="shared" si="82"/>
        <v>1499</v>
      </c>
      <c r="E705">
        <f t="shared" si="83"/>
        <v>50</v>
      </c>
      <c r="F705">
        <f t="shared" si="84"/>
        <v>5</v>
      </c>
      <c r="G705">
        <f t="shared" si="88"/>
        <v>5</v>
      </c>
      <c r="H705">
        <f t="shared" si="85"/>
        <v>5</v>
      </c>
      <c r="I705" s="4" t="str">
        <f t="shared" si="86"/>
        <v>555</v>
      </c>
      <c r="Q705" s="1">
        <v>0.88462432941397739</v>
      </c>
      <c r="R705" s="1">
        <v>0.9990729355349387</v>
      </c>
    </row>
    <row r="706" spans="1:18" x14ac:dyDescent="0.35">
      <c r="A706" t="s">
        <v>708</v>
      </c>
      <c r="B706" s="2">
        <f t="shared" si="81"/>
        <v>45321</v>
      </c>
      <c r="C706" s="3">
        <f t="shared" si="87"/>
        <v>-45321</v>
      </c>
      <c r="D706">
        <f t="shared" si="82"/>
        <v>117</v>
      </c>
      <c r="E706">
        <f t="shared" si="83"/>
        <v>4</v>
      </c>
      <c r="F706">
        <f t="shared" si="84"/>
        <v>1</v>
      </c>
      <c r="G706">
        <f t="shared" si="88"/>
        <v>1</v>
      </c>
      <c r="H706">
        <f t="shared" si="85"/>
        <v>1</v>
      </c>
      <c r="I706" s="4" t="str">
        <f t="shared" si="86"/>
        <v>111</v>
      </c>
      <c r="Q706" s="1">
        <v>8.3953058231110878E-2</v>
      </c>
      <c r="R706" s="1">
        <v>5.2406095383138118E-2</v>
      </c>
    </row>
    <row r="707" spans="1:18" x14ac:dyDescent="0.35">
      <c r="A707" t="s">
        <v>709</v>
      </c>
      <c r="B707" s="2">
        <f t="shared" ref="B707:B770" si="89">ROUND(R707*(45838-45292)+45292,0)</f>
        <v>45500</v>
      </c>
      <c r="C707" s="3">
        <f t="shared" si="87"/>
        <v>-45500</v>
      </c>
      <c r="D707">
        <f t="shared" ref="D707:D770" si="90">ROUND((R707)*(1500-40)+40,0)</f>
        <v>595</v>
      </c>
      <c r="E707">
        <f t="shared" ref="E707:E770" si="91">ROUND((R707)*(50-1)+1,0)</f>
        <v>20</v>
      </c>
      <c r="F707">
        <f t="shared" ref="F707:F770" si="92">IF(C707&lt;=$M$4,5,IF(C707&lt;=$M$9,4,IF(C707&lt;=$M$5,3,IF(C707&lt;=$M$6,2,1))))</f>
        <v>2</v>
      </c>
      <c r="G707">
        <f t="shared" si="88"/>
        <v>2</v>
      </c>
      <c r="H707">
        <f t="shared" ref="H707:H770" si="93">IF(D707&lt;=$M$24,1,IF(D707&lt;=$M$25,2,IF(D707&lt;=$M$29,3,IF(D707&lt;=$M$26,4,5))))</f>
        <v>2</v>
      </c>
      <c r="I707" s="4" t="str">
        <f t="shared" ref="I707:I770" si="94">CONCATENATE(F707,G707,H707)</f>
        <v>222</v>
      </c>
      <c r="Q707" s="1">
        <v>0.49389893717603939</v>
      </c>
      <c r="R707" s="1">
        <v>0.38027146712650017</v>
      </c>
    </row>
    <row r="708" spans="1:18" x14ac:dyDescent="0.35">
      <c r="A708" t="s">
        <v>710</v>
      </c>
      <c r="B708" s="2">
        <f t="shared" si="89"/>
        <v>45635</v>
      </c>
      <c r="C708" s="3">
        <f t="shared" ref="C708:C771" si="95">$S$4-B708</f>
        <v>-45635</v>
      </c>
      <c r="D708">
        <f t="shared" si="90"/>
        <v>957</v>
      </c>
      <c r="E708">
        <f t="shared" si="91"/>
        <v>32</v>
      </c>
      <c r="F708">
        <f t="shared" si="92"/>
        <v>4</v>
      </c>
      <c r="G708">
        <f t="shared" ref="G708:G771" si="96">IF(E708&lt;=$M$14,1,IF(E708&lt;=$M$15,2,IF(E708&lt;=$M$19,3,IF(E708&lt;=$M$16,4,5))))</f>
        <v>4</v>
      </c>
      <c r="H708">
        <f t="shared" si="93"/>
        <v>4</v>
      </c>
      <c r="I708" s="4" t="str">
        <f t="shared" si="94"/>
        <v>444</v>
      </c>
      <c r="Q708" s="1">
        <v>0.51035523354940382</v>
      </c>
      <c r="R708" s="1">
        <v>0.62830579230446215</v>
      </c>
    </row>
    <row r="709" spans="1:18" x14ac:dyDescent="0.35">
      <c r="A709" t="s">
        <v>711</v>
      </c>
      <c r="B709" s="2">
        <f t="shared" si="89"/>
        <v>45388</v>
      </c>
      <c r="C709" s="3">
        <f t="shared" si="95"/>
        <v>-45388</v>
      </c>
      <c r="D709">
        <f t="shared" si="90"/>
        <v>295</v>
      </c>
      <c r="E709">
        <f t="shared" si="91"/>
        <v>10</v>
      </c>
      <c r="F709">
        <f t="shared" si="92"/>
        <v>1</v>
      </c>
      <c r="G709">
        <f t="shared" si="96"/>
        <v>1</v>
      </c>
      <c r="H709">
        <f t="shared" si="93"/>
        <v>1</v>
      </c>
      <c r="I709" s="4" t="str">
        <f t="shared" si="94"/>
        <v>111</v>
      </c>
      <c r="Q709" s="1">
        <v>0.1098638501476038</v>
      </c>
      <c r="R709" s="1">
        <v>0.17494169247268943</v>
      </c>
    </row>
    <row r="710" spans="1:18" x14ac:dyDescent="0.35">
      <c r="A710" t="s">
        <v>712</v>
      </c>
      <c r="B710" s="2">
        <f t="shared" si="89"/>
        <v>45522</v>
      </c>
      <c r="C710" s="3">
        <f t="shared" si="95"/>
        <v>-45522</v>
      </c>
      <c r="D710">
        <f t="shared" si="90"/>
        <v>656</v>
      </c>
      <c r="E710">
        <f t="shared" si="91"/>
        <v>22</v>
      </c>
      <c r="F710">
        <f t="shared" si="92"/>
        <v>2</v>
      </c>
      <c r="G710">
        <f t="shared" si="96"/>
        <v>2</v>
      </c>
      <c r="H710">
        <f t="shared" si="93"/>
        <v>2</v>
      </c>
      <c r="I710" s="4" t="str">
        <f t="shared" si="94"/>
        <v>222</v>
      </c>
      <c r="Q710" s="1">
        <v>0.49121495098458312</v>
      </c>
      <c r="R710" s="1">
        <v>0.42214172878352263</v>
      </c>
    </row>
    <row r="711" spans="1:18" x14ac:dyDescent="0.35">
      <c r="A711" t="s">
        <v>713</v>
      </c>
      <c r="B711" s="2">
        <f t="shared" si="89"/>
        <v>45392</v>
      </c>
      <c r="C711" s="3">
        <f t="shared" si="95"/>
        <v>-45392</v>
      </c>
      <c r="D711">
        <f t="shared" si="90"/>
        <v>308</v>
      </c>
      <c r="E711">
        <f t="shared" si="91"/>
        <v>10</v>
      </c>
      <c r="F711">
        <f t="shared" si="92"/>
        <v>1</v>
      </c>
      <c r="G711">
        <f t="shared" si="96"/>
        <v>1</v>
      </c>
      <c r="H711">
        <f t="shared" si="93"/>
        <v>1</v>
      </c>
      <c r="I711" s="4" t="str">
        <f t="shared" si="94"/>
        <v>111</v>
      </c>
      <c r="Q711" s="1">
        <v>0.43625208558487127</v>
      </c>
      <c r="R711" s="1">
        <v>0.18377921950856135</v>
      </c>
    </row>
    <row r="712" spans="1:18" x14ac:dyDescent="0.35">
      <c r="A712" t="s">
        <v>714</v>
      </c>
      <c r="B712" s="2">
        <f t="shared" si="89"/>
        <v>45607</v>
      </c>
      <c r="C712" s="3">
        <f t="shared" si="95"/>
        <v>-45607</v>
      </c>
      <c r="D712">
        <f t="shared" si="90"/>
        <v>881</v>
      </c>
      <c r="E712">
        <f t="shared" si="91"/>
        <v>29</v>
      </c>
      <c r="F712">
        <f t="shared" si="92"/>
        <v>4</v>
      </c>
      <c r="G712">
        <f t="shared" si="96"/>
        <v>4</v>
      </c>
      <c r="H712">
        <f t="shared" si="93"/>
        <v>4</v>
      </c>
      <c r="I712" s="4" t="str">
        <f t="shared" si="94"/>
        <v>444</v>
      </c>
      <c r="Q712" s="1">
        <v>0.88639800211369335</v>
      </c>
      <c r="R712" s="1">
        <v>0.57609719746107813</v>
      </c>
    </row>
    <row r="713" spans="1:18" x14ac:dyDescent="0.35">
      <c r="A713" t="s">
        <v>715</v>
      </c>
      <c r="B713" s="2">
        <f t="shared" si="89"/>
        <v>45729</v>
      </c>
      <c r="C713" s="3">
        <f t="shared" si="95"/>
        <v>-45729</v>
      </c>
      <c r="D713">
        <f t="shared" si="90"/>
        <v>1208</v>
      </c>
      <c r="E713">
        <f t="shared" si="91"/>
        <v>40</v>
      </c>
      <c r="F713">
        <f t="shared" si="92"/>
        <v>5</v>
      </c>
      <c r="G713">
        <f t="shared" si="96"/>
        <v>5</v>
      </c>
      <c r="H713">
        <f t="shared" si="93"/>
        <v>5</v>
      </c>
      <c r="I713" s="4" t="str">
        <f t="shared" si="94"/>
        <v>555</v>
      </c>
      <c r="Q713" s="1">
        <v>0.166403690670204</v>
      </c>
      <c r="R713" s="1">
        <v>0.80020199180553919</v>
      </c>
    </row>
    <row r="714" spans="1:18" x14ac:dyDescent="0.35">
      <c r="A714" t="s">
        <v>716</v>
      </c>
      <c r="B714" s="2">
        <f t="shared" si="89"/>
        <v>45553</v>
      </c>
      <c r="C714" s="3">
        <f t="shared" si="95"/>
        <v>-45553</v>
      </c>
      <c r="D714">
        <f t="shared" si="90"/>
        <v>737</v>
      </c>
      <c r="E714">
        <f t="shared" si="91"/>
        <v>24</v>
      </c>
      <c r="F714">
        <f t="shared" si="92"/>
        <v>2</v>
      </c>
      <c r="G714">
        <f t="shared" si="96"/>
        <v>2</v>
      </c>
      <c r="H714">
        <f t="shared" si="93"/>
        <v>2</v>
      </c>
      <c r="I714" s="4" t="str">
        <f t="shared" si="94"/>
        <v>222</v>
      </c>
      <c r="Q714" s="1">
        <v>0.8983244681552075</v>
      </c>
      <c r="R714" s="1">
        <v>0.47760627512417952</v>
      </c>
    </row>
    <row r="715" spans="1:18" x14ac:dyDescent="0.35">
      <c r="A715" t="s">
        <v>717</v>
      </c>
      <c r="B715" s="2">
        <f t="shared" si="89"/>
        <v>45650</v>
      </c>
      <c r="C715" s="3">
        <f t="shared" si="95"/>
        <v>-45650</v>
      </c>
      <c r="D715">
        <f t="shared" si="90"/>
        <v>998</v>
      </c>
      <c r="E715">
        <f t="shared" si="91"/>
        <v>33</v>
      </c>
      <c r="F715">
        <f t="shared" si="92"/>
        <v>4</v>
      </c>
      <c r="G715">
        <f t="shared" si="96"/>
        <v>4</v>
      </c>
      <c r="H715">
        <f t="shared" si="93"/>
        <v>4</v>
      </c>
      <c r="I715" s="4" t="str">
        <f t="shared" si="94"/>
        <v>444</v>
      </c>
      <c r="Q715" s="1">
        <v>0.13337874745036205</v>
      </c>
      <c r="R715" s="1">
        <v>0.65645261230459395</v>
      </c>
    </row>
    <row r="716" spans="1:18" x14ac:dyDescent="0.35">
      <c r="A716" t="s">
        <v>718</v>
      </c>
      <c r="B716" s="2">
        <f t="shared" si="89"/>
        <v>45425</v>
      </c>
      <c r="C716" s="3">
        <f t="shared" si="95"/>
        <v>-45425</v>
      </c>
      <c r="D716">
        <f t="shared" si="90"/>
        <v>396</v>
      </c>
      <c r="E716">
        <f t="shared" si="91"/>
        <v>13</v>
      </c>
      <c r="F716">
        <f t="shared" si="92"/>
        <v>2</v>
      </c>
      <c r="G716">
        <f t="shared" si="96"/>
        <v>2</v>
      </c>
      <c r="H716">
        <f t="shared" si="93"/>
        <v>2</v>
      </c>
      <c r="I716" s="4" t="str">
        <f t="shared" si="94"/>
        <v>222</v>
      </c>
      <c r="Q716" s="1">
        <v>0.9956306257836971</v>
      </c>
      <c r="R716" s="1">
        <v>0.24383225499232619</v>
      </c>
    </row>
    <row r="717" spans="1:18" x14ac:dyDescent="0.35">
      <c r="A717" t="s">
        <v>719</v>
      </c>
      <c r="B717" s="2">
        <f t="shared" si="89"/>
        <v>45712</v>
      </c>
      <c r="C717" s="3">
        <f t="shared" si="95"/>
        <v>-45712</v>
      </c>
      <c r="D717">
        <f t="shared" si="90"/>
        <v>1162</v>
      </c>
      <c r="E717">
        <f t="shared" si="91"/>
        <v>39</v>
      </c>
      <c r="F717">
        <f t="shared" si="92"/>
        <v>5</v>
      </c>
      <c r="G717">
        <f t="shared" si="96"/>
        <v>4</v>
      </c>
      <c r="H717">
        <f t="shared" si="93"/>
        <v>5</v>
      </c>
      <c r="I717" s="4" t="str">
        <f t="shared" si="94"/>
        <v>545</v>
      </c>
      <c r="Q717" s="1">
        <v>0.12553933144013785</v>
      </c>
      <c r="R717" s="1">
        <v>0.76876021377865267</v>
      </c>
    </row>
    <row r="718" spans="1:18" x14ac:dyDescent="0.35">
      <c r="A718" t="s">
        <v>720</v>
      </c>
      <c r="B718" s="2">
        <f t="shared" si="89"/>
        <v>45787</v>
      </c>
      <c r="C718" s="3">
        <f t="shared" si="95"/>
        <v>-45787</v>
      </c>
      <c r="D718">
        <f t="shared" si="90"/>
        <v>1365</v>
      </c>
      <c r="E718">
        <f t="shared" si="91"/>
        <v>45</v>
      </c>
      <c r="F718">
        <f t="shared" si="92"/>
        <v>5</v>
      </c>
      <c r="G718">
        <f t="shared" si="96"/>
        <v>5</v>
      </c>
      <c r="H718">
        <f t="shared" si="93"/>
        <v>5</v>
      </c>
      <c r="I718" s="4" t="str">
        <f t="shared" si="94"/>
        <v>555</v>
      </c>
      <c r="Q718" s="1">
        <v>0.12245326372180654</v>
      </c>
      <c r="R718" s="1">
        <v>0.9075021875172179</v>
      </c>
    </row>
    <row r="719" spans="1:18" x14ac:dyDescent="0.35">
      <c r="A719" t="s">
        <v>721</v>
      </c>
      <c r="B719" s="2">
        <f t="shared" si="89"/>
        <v>45828</v>
      </c>
      <c r="C719" s="3">
        <f t="shared" si="95"/>
        <v>-45828</v>
      </c>
      <c r="D719">
        <f t="shared" si="90"/>
        <v>1473</v>
      </c>
      <c r="E719">
        <f t="shared" si="91"/>
        <v>49</v>
      </c>
      <c r="F719">
        <f t="shared" si="92"/>
        <v>5</v>
      </c>
      <c r="G719">
        <f t="shared" si="96"/>
        <v>5</v>
      </c>
      <c r="H719">
        <f t="shared" si="93"/>
        <v>5</v>
      </c>
      <c r="I719" s="4" t="str">
        <f t="shared" si="94"/>
        <v>555</v>
      </c>
      <c r="Q719" s="1">
        <v>0.77371905380399086</v>
      </c>
      <c r="R719" s="1">
        <v>0.98139582418012372</v>
      </c>
    </row>
    <row r="720" spans="1:18" x14ac:dyDescent="0.35">
      <c r="A720" t="s">
        <v>722</v>
      </c>
      <c r="B720" s="2">
        <f t="shared" si="89"/>
        <v>45682</v>
      </c>
      <c r="C720" s="3">
        <f t="shared" si="95"/>
        <v>-45682</v>
      </c>
      <c r="D720">
        <f t="shared" si="90"/>
        <v>1084</v>
      </c>
      <c r="E720">
        <f t="shared" si="91"/>
        <v>36</v>
      </c>
      <c r="F720">
        <f t="shared" si="92"/>
        <v>4</v>
      </c>
      <c r="G720">
        <f t="shared" si="96"/>
        <v>4</v>
      </c>
      <c r="H720">
        <f t="shared" si="93"/>
        <v>4</v>
      </c>
      <c r="I720" s="4" t="str">
        <f t="shared" si="94"/>
        <v>444</v>
      </c>
      <c r="Q720" s="1">
        <v>0.33094358473030161</v>
      </c>
      <c r="R720" s="1">
        <v>0.71491905968296465</v>
      </c>
    </row>
    <row r="721" spans="1:18" x14ac:dyDescent="0.35">
      <c r="A721" t="s">
        <v>723</v>
      </c>
      <c r="B721" s="2">
        <f t="shared" si="89"/>
        <v>45629</v>
      </c>
      <c r="C721" s="3">
        <f t="shared" si="95"/>
        <v>-45629</v>
      </c>
      <c r="D721">
        <f t="shared" si="90"/>
        <v>942</v>
      </c>
      <c r="E721">
        <f t="shared" si="91"/>
        <v>31</v>
      </c>
      <c r="F721">
        <f t="shared" si="92"/>
        <v>4</v>
      </c>
      <c r="G721">
        <f t="shared" si="96"/>
        <v>4</v>
      </c>
      <c r="H721">
        <f t="shared" si="93"/>
        <v>4</v>
      </c>
      <c r="I721" s="4" t="str">
        <f t="shared" si="94"/>
        <v>444</v>
      </c>
      <c r="Q721" s="1">
        <v>0.19388031948190498</v>
      </c>
      <c r="R721" s="1">
        <v>0.61758719715537402</v>
      </c>
    </row>
    <row r="722" spans="1:18" x14ac:dyDescent="0.35">
      <c r="A722" t="s">
        <v>724</v>
      </c>
      <c r="B722" s="2">
        <f t="shared" si="89"/>
        <v>45808</v>
      </c>
      <c r="C722" s="3">
        <f t="shared" si="95"/>
        <v>-45808</v>
      </c>
      <c r="D722">
        <f t="shared" si="90"/>
        <v>1421</v>
      </c>
      <c r="E722">
        <f t="shared" si="91"/>
        <v>47</v>
      </c>
      <c r="F722">
        <f t="shared" si="92"/>
        <v>5</v>
      </c>
      <c r="G722">
        <f t="shared" si="96"/>
        <v>5</v>
      </c>
      <c r="H722">
        <f t="shared" si="93"/>
        <v>5</v>
      </c>
      <c r="I722" s="4" t="str">
        <f t="shared" si="94"/>
        <v>555</v>
      </c>
      <c r="Q722" s="1">
        <v>0.27252996448354916</v>
      </c>
      <c r="R722" s="1">
        <v>0.94559828526334877</v>
      </c>
    </row>
    <row r="723" spans="1:18" x14ac:dyDescent="0.35">
      <c r="A723" t="s">
        <v>725</v>
      </c>
      <c r="B723" s="2">
        <f t="shared" si="89"/>
        <v>45808</v>
      </c>
      <c r="C723" s="3">
        <f t="shared" si="95"/>
        <v>-45808</v>
      </c>
      <c r="D723">
        <f t="shared" si="90"/>
        <v>1419</v>
      </c>
      <c r="E723">
        <f t="shared" si="91"/>
        <v>47</v>
      </c>
      <c r="F723">
        <f t="shared" si="92"/>
        <v>5</v>
      </c>
      <c r="G723">
        <f t="shared" si="96"/>
        <v>5</v>
      </c>
      <c r="H723">
        <f t="shared" si="93"/>
        <v>5</v>
      </c>
      <c r="I723" s="4" t="str">
        <f t="shared" si="94"/>
        <v>555</v>
      </c>
      <c r="Q723" s="1">
        <v>9.8658897544943613E-2</v>
      </c>
      <c r="R723" s="1">
        <v>0.94449753512619661</v>
      </c>
    </row>
    <row r="724" spans="1:18" x14ac:dyDescent="0.35">
      <c r="A724" t="s">
        <v>726</v>
      </c>
      <c r="B724" s="2">
        <f t="shared" si="89"/>
        <v>45552</v>
      </c>
      <c r="C724" s="3">
        <f t="shared" si="95"/>
        <v>-45552</v>
      </c>
      <c r="D724">
        <f t="shared" si="90"/>
        <v>736</v>
      </c>
      <c r="E724">
        <f t="shared" si="91"/>
        <v>24</v>
      </c>
      <c r="F724">
        <f t="shared" si="92"/>
        <v>2</v>
      </c>
      <c r="G724">
        <f t="shared" si="96"/>
        <v>2</v>
      </c>
      <c r="H724">
        <f t="shared" si="93"/>
        <v>2</v>
      </c>
      <c r="I724" s="4" t="str">
        <f t="shared" si="94"/>
        <v>222</v>
      </c>
      <c r="Q724" s="1">
        <v>0.53793658926767451</v>
      </c>
      <c r="R724" s="1">
        <v>0.47642378128131024</v>
      </c>
    </row>
    <row r="725" spans="1:18" x14ac:dyDescent="0.35">
      <c r="A725" t="s">
        <v>727</v>
      </c>
      <c r="B725" s="2">
        <f t="shared" si="89"/>
        <v>45365</v>
      </c>
      <c r="C725" s="3">
        <f t="shared" si="95"/>
        <v>-45365</v>
      </c>
      <c r="D725">
        <f t="shared" si="90"/>
        <v>236</v>
      </c>
      <c r="E725">
        <f t="shared" si="91"/>
        <v>8</v>
      </c>
      <c r="F725">
        <f t="shared" si="92"/>
        <v>1</v>
      </c>
      <c r="G725">
        <f t="shared" si="96"/>
        <v>1</v>
      </c>
      <c r="H725">
        <f t="shared" si="93"/>
        <v>1</v>
      </c>
      <c r="I725" s="4" t="str">
        <f t="shared" si="94"/>
        <v>111</v>
      </c>
      <c r="Q725" s="1">
        <v>0.35430241786648597</v>
      </c>
      <c r="R725" s="1">
        <v>0.13396793709911015</v>
      </c>
    </row>
    <row r="726" spans="1:18" x14ac:dyDescent="0.35">
      <c r="A726" t="s">
        <v>728</v>
      </c>
      <c r="B726" s="2">
        <f t="shared" si="89"/>
        <v>45751</v>
      </c>
      <c r="C726" s="3">
        <f t="shared" si="95"/>
        <v>-45751</v>
      </c>
      <c r="D726">
        <f t="shared" si="90"/>
        <v>1267</v>
      </c>
      <c r="E726">
        <f t="shared" si="91"/>
        <v>42</v>
      </c>
      <c r="F726">
        <f t="shared" si="92"/>
        <v>5</v>
      </c>
      <c r="G726">
        <f t="shared" si="96"/>
        <v>5</v>
      </c>
      <c r="H726">
        <f t="shared" si="93"/>
        <v>5</v>
      </c>
      <c r="I726" s="4" t="str">
        <f t="shared" si="94"/>
        <v>555</v>
      </c>
      <c r="Q726" s="1">
        <v>0.12397012529329754</v>
      </c>
      <c r="R726" s="1">
        <v>0.84062424806966052</v>
      </c>
    </row>
    <row r="727" spans="1:18" x14ac:dyDescent="0.35">
      <c r="A727" t="s">
        <v>729</v>
      </c>
      <c r="B727" s="2">
        <f t="shared" si="89"/>
        <v>45608</v>
      </c>
      <c r="C727" s="3">
        <f t="shared" si="95"/>
        <v>-45608</v>
      </c>
      <c r="D727">
        <f t="shared" si="90"/>
        <v>885</v>
      </c>
      <c r="E727">
        <f t="shared" si="91"/>
        <v>29</v>
      </c>
      <c r="F727">
        <f t="shared" si="92"/>
        <v>4</v>
      </c>
      <c r="G727">
        <f t="shared" si="96"/>
        <v>4</v>
      </c>
      <c r="H727">
        <f t="shared" si="93"/>
        <v>4</v>
      </c>
      <c r="I727" s="4" t="str">
        <f t="shared" si="94"/>
        <v>444</v>
      </c>
      <c r="Q727" s="1">
        <v>0.23434615505554013</v>
      </c>
      <c r="R727" s="1">
        <v>0.57904196093384153</v>
      </c>
    </row>
    <row r="728" spans="1:18" x14ac:dyDescent="0.35">
      <c r="A728" t="s">
        <v>730</v>
      </c>
      <c r="B728" s="2">
        <f t="shared" si="89"/>
        <v>45582</v>
      </c>
      <c r="C728" s="3">
        <f t="shared" si="95"/>
        <v>-45582</v>
      </c>
      <c r="D728">
        <f t="shared" si="90"/>
        <v>815</v>
      </c>
      <c r="E728">
        <f t="shared" si="91"/>
        <v>27</v>
      </c>
      <c r="F728">
        <f t="shared" si="92"/>
        <v>4</v>
      </c>
      <c r="G728">
        <f t="shared" si="96"/>
        <v>4</v>
      </c>
      <c r="H728">
        <f t="shared" si="93"/>
        <v>4</v>
      </c>
      <c r="I728" s="4" t="str">
        <f t="shared" si="94"/>
        <v>444</v>
      </c>
      <c r="Q728" s="1">
        <v>0.15481159554574841</v>
      </c>
      <c r="R728" s="1">
        <v>0.5305617008296365</v>
      </c>
    </row>
    <row r="729" spans="1:18" x14ac:dyDescent="0.35">
      <c r="A729" t="s">
        <v>731</v>
      </c>
      <c r="B729" s="2">
        <f t="shared" si="89"/>
        <v>45706</v>
      </c>
      <c r="C729" s="3">
        <f t="shared" si="95"/>
        <v>-45706</v>
      </c>
      <c r="D729">
        <f t="shared" si="90"/>
        <v>1146</v>
      </c>
      <c r="E729">
        <f t="shared" si="91"/>
        <v>38</v>
      </c>
      <c r="F729">
        <f t="shared" si="92"/>
        <v>4</v>
      </c>
      <c r="G729">
        <f t="shared" si="96"/>
        <v>4</v>
      </c>
      <c r="H729">
        <f t="shared" si="93"/>
        <v>4</v>
      </c>
      <c r="I729" s="4" t="str">
        <f t="shared" si="94"/>
        <v>444</v>
      </c>
      <c r="Q729" s="1">
        <v>5.3584422373641916E-2</v>
      </c>
      <c r="R729" s="1">
        <v>0.75763508178586469</v>
      </c>
    </row>
    <row r="730" spans="1:18" x14ac:dyDescent="0.35">
      <c r="A730" t="s">
        <v>732</v>
      </c>
      <c r="B730" s="2">
        <f t="shared" si="89"/>
        <v>45431</v>
      </c>
      <c r="C730" s="3">
        <f t="shared" si="95"/>
        <v>-45431</v>
      </c>
      <c r="D730">
        <f t="shared" si="90"/>
        <v>412</v>
      </c>
      <c r="E730">
        <f t="shared" si="91"/>
        <v>13</v>
      </c>
      <c r="F730">
        <f t="shared" si="92"/>
        <v>2</v>
      </c>
      <c r="G730">
        <f t="shared" si="96"/>
        <v>2</v>
      </c>
      <c r="H730">
        <f t="shared" si="93"/>
        <v>2</v>
      </c>
      <c r="I730" s="4" t="str">
        <f t="shared" si="94"/>
        <v>222</v>
      </c>
      <c r="Q730" s="1">
        <v>0.22712847031280869</v>
      </c>
      <c r="R730" s="1">
        <v>0.25465962233324158</v>
      </c>
    </row>
    <row r="731" spans="1:18" x14ac:dyDescent="0.35">
      <c r="A731" t="s">
        <v>733</v>
      </c>
      <c r="B731" s="2">
        <f t="shared" si="89"/>
        <v>45818</v>
      </c>
      <c r="C731" s="3">
        <f t="shared" si="95"/>
        <v>-45818</v>
      </c>
      <c r="D731">
        <f t="shared" si="90"/>
        <v>1446</v>
      </c>
      <c r="E731">
        <f t="shared" si="91"/>
        <v>48</v>
      </c>
      <c r="F731">
        <f t="shared" si="92"/>
        <v>5</v>
      </c>
      <c r="G731">
        <f t="shared" si="96"/>
        <v>5</v>
      </c>
      <c r="H731">
        <f t="shared" si="93"/>
        <v>5</v>
      </c>
      <c r="I731" s="4" t="str">
        <f t="shared" si="94"/>
        <v>555</v>
      </c>
      <c r="Q731" s="1">
        <v>0.88797985720742689</v>
      </c>
      <c r="R731" s="1">
        <v>0.96310835962162933</v>
      </c>
    </row>
    <row r="732" spans="1:18" x14ac:dyDescent="0.35">
      <c r="A732" t="s">
        <v>734</v>
      </c>
      <c r="B732" s="2">
        <f t="shared" si="89"/>
        <v>45468</v>
      </c>
      <c r="C732" s="3">
        <f t="shared" si="95"/>
        <v>-45468</v>
      </c>
      <c r="D732">
        <f t="shared" si="90"/>
        <v>510</v>
      </c>
      <c r="E732">
        <f t="shared" si="91"/>
        <v>17</v>
      </c>
      <c r="F732">
        <f t="shared" si="92"/>
        <v>2</v>
      </c>
      <c r="G732">
        <f t="shared" si="96"/>
        <v>2</v>
      </c>
      <c r="H732">
        <f t="shared" si="93"/>
        <v>2</v>
      </c>
      <c r="I732" s="4" t="str">
        <f t="shared" si="94"/>
        <v>222</v>
      </c>
      <c r="Q732" s="1">
        <v>0.35828118445361734</v>
      </c>
      <c r="R732" s="1">
        <v>0.32224625706214716</v>
      </c>
    </row>
    <row r="733" spans="1:18" x14ac:dyDescent="0.35">
      <c r="A733" t="s">
        <v>735</v>
      </c>
      <c r="B733" s="2">
        <f t="shared" si="89"/>
        <v>45697</v>
      </c>
      <c r="C733" s="3">
        <f t="shared" si="95"/>
        <v>-45697</v>
      </c>
      <c r="D733">
        <f t="shared" si="90"/>
        <v>1122</v>
      </c>
      <c r="E733">
        <f t="shared" si="91"/>
        <v>37</v>
      </c>
      <c r="F733">
        <f t="shared" si="92"/>
        <v>4</v>
      </c>
      <c r="G733">
        <f t="shared" si="96"/>
        <v>4</v>
      </c>
      <c r="H733">
        <f t="shared" si="93"/>
        <v>4</v>
      </c>
      <c r="I733" s="4" t="str">
        <f t="shared" si="94"/>
        <v>444</v>
      </c>
      <c r="Q733" s="1">
        <v>0.57321452017168806</v>
      </c>
      <c r="R733" s="1">
        <v>0.74128056223697958</v>
      </c>
    </row>
    <row r="734" spans="1:18" x14ac:dyDescent="0.35">
      <c r="A734" t="s">
        <v>736</v>
      </c>
      <c r="B734" s="2">
        <f t="shared" si="89"/>
        <v>45724</v>
      </c>
      <c r="C734" s="3">
        <f t="shared" si="95"/>
        <v>-45724</v>
      </c>
      <c r="D734">
        <f t="shared" si="90"/>
        <v>1196</v>
      </c>
      <c r="E734">
        <f t="shared" si="91"/>
        <v>40</v>
      </c>
      <c r="F734">
        <f t="shared" si="92"/>
        <v>5</v>
      </c>
      <c r="G734">
        <f t="shared" si="96"/>
        <v>5</v>
      </c>
      <c r="H734">
        <f t="shared" si="93"/>
        <v>5</v>
      </c>
      <c r="I734" s="4" t="str">
        <f t="shared" si="94"/>
        <v>555</v>
      </c>
      <c r="Q734" s="1">
        <v>0.29272599841095603</v>
      </c>
      <c r="R734" s="1">
        <v>0.79182524866071713</v>
      </c>
    </row>
    <row r="735" spans="1:18" x14ac:dyDescent="0.35">
      <c r="A735" t="s">
        <v>737</v>
      </c>
      <c r="B735" s="2">
        <f t="shared" si="89"/>
        <v>45404</v>
      </c>
      <c r="C735" s="3">
        <f t="shared" si="95"/>
        <v>-45404</v>
      </c>
      <c r="D735">
        <f t="shared" si="90"/>
        <v>341</v>
      </c>
      <c r="E735">
        <f t="shared" si="91"/>
        <v>11</v>
      </c>
      <c r="F735">
        <f t="shared" si="92"/>
        <v>1</v>
      </c>
      <c r="G735">
        <f t="shared" si="96"/>
        <v>1</v>
      </c>
      <c r="H735">
        <f t="shared" si="93"/>
        <v>1</v>
      </c>
      <c r="I735" s="4" t="str">
        <f t="shared" si="94"/>
        <v>111</v>
      </c>
      <c r="Q735" s="1">
        <v>0.53011627642789527</v>
      </c>
      <c r="R735" s="1">
        <v>0.20597582357419353</v>
      </c>
    </row>
    <row r="736" spans="1:18" x14ac:dyDescent="0.35">
      <c r="A736" t="s">
        <v>738</v>
      </c>
      <c r="B736" s="2">
        <f t="shared" si="89"/>
        <v>45788</v>
      </c>
      <c r="C736" s="3">
        <f t="shared" si="95"/>
        <v>-45788</v>
      </c>
      <c r="D736">
        <f t="shared" si="90"/>
        <v>1365</v>
      </c>
      <c r="E736">
        <f t="shared" si="91"/>
        <v>45</v>
      </c>
      <c r="F736">
        <f t="shared" si="92"/>
        <v>5</v>
      </c>
      <c r="G736">
        <f t="shared" si="96"/>
        <v>5</v>
      </c>
      <c r="H736">
        <f t="shared" si="93"/>
        <v>5</v>
      </c>
      <c r="I736" s="4" t="str">
        <f t="shared" si="94"/>
        <v>555</v>
      </c>
      <c r="Q736" s="1">
        <v>0.78968585115386192</v>
      </c>
      <c r="R736" s="1">
        <v>0.90770170247924209</v>
      </c>
    </row>
    <row r="737" spans="1:18" x14ac:dyDescent="0.35">
      <c r="A737" t="s">
        <v>739</v>
      </c>
      <c r="B737" s="2">
        <f t="shared" si="89"/>
        <v>45542</v>
      </c>
      <c r="C737" s="3">
        <f t="shared" si="95"/>
        <v>-45542</v>
      </c>
      <c r="D737">
        <f t="shared" si="90"/>
        <v>708</v>
      </c>
      <c r="E737">
        <f t="shared" si="91"/>
        <v>23</v>
      </c>
      <c r="F737">
        <f t="shared" si="92"/>
        <v>2</v>
      </c>
      <c r="G737">
        <f t="shared" si="96"/>
        <v>2</v>
      </c>
      <c r="H737">
        <f t="shared" si="93"/>
        <v>2</v>
      </c>
      <c r="I737" s="4" t="str">
        <f t="shared" si="94"/>
        <v>222</v>
      </c>
      <c r="Q737" s="1">
        <v>0.8080141239209282</v>
      </c>
      <c r="R737" s="1">
        <v>0.45766912375544688</v>
      </c>
    </row>
    <row r="738" spans="1:18" x14ac:dyDescent="0.35">
      <c r="A738" t="s">
        <v>740</v>
      </c>
      <c r="B738" s="2">
        <f t="shared" si="89"/>
        <v>45487</v>
      </c>
      <c r="C738" s="3">
        <f t="shared" si="95"/>
        <v>-45487</v>
      </c>
      <c r="D738">
        <f t="shared" si="90"/>
        <v>562</v>
      </c>
      <c r="E738">
        <f t="shared" si="91"/>
        <v>19</v>
      </c>
      <c r="F738">
        <f t="shared" si="92"/>
        <v>2</v>
      </c>
      <c r="G738">
        <f t="shared" si="96"/>
        <v>2</v>
      </c>
      <c r="H738">
        <f t="shared" si="93"/>
        <v>2</v>
      </c>
      <c r="I738" s="4" t="str">
        <f t="shared" si="94"/>
        <v>222</v>
      </c>
      <c r="Q738" s="1">
        <v>0.67884872365798066</v>
      </c>
      <c r="R738" s="1">
        <v>0.35782336762164113</v>
      </c>
    </row>
    <row r="739" spans="1:18" x14ac:dyDescent="0.35">
      <c r="A739" t="s">
        <v>741</v>
      </c>
      <c r="B739" s="2">
        <f t="shared" si="89"/>
        <v>45493</v>
      </c>
      <c r="C739" s="3">
        <f t="shared" si="95"/>
        <v>-45493</v>
      </c>
      <c r="D739">
        <f t="shared" si="90"/>
        <v>578</v>
      </c>
      <c r="E739">
        <f t="shared" si="91"/>
        <v>19</v>
      </c>
      <c r="F739">
        <f t="shared" si="92"/>
        <v>2</v>
      </c>
      <c r="G739">
        <f t="shared" si="96"/>
        <v>2</v>
      </c>
      <c r="H739">
        <f t="shared" si="93"/>
        <v>2</v>
      </c>
      <c r="I739" s="4" t="str">
        <f t="shared" si="94"/>
        <v>222</v>
      </c>
      <c r="Q739" s="1">
        <v>3.6286536062500652E-2</v>
      </c>
      <c r="R739" s="1">
        <v>0.36859800295180134</v>
      </c>
    </row>
    <row r="740" spans="1:18" x14ac:dyDescent="0.35">
      <c r="A740" t="s">
        <v>742</v>
      </c>
      <c r="B740" s="2">
        <f t="shared" si="89"/>
        <v>45419</v>
      </c>
      <c r="C740" s="3">
        <f t="shared" si="95"/>
        <v>-45419</v>
      </c>
      <c r="D740">
        <f t="shared" si="90"/>
        <v>380</v>
      </c>
      <c r="E740">
        <f t="shared" si="91"/>
        <v>12</v>
      </c>
      <c r="F740">
        <f t="shared" si="92"/>
        <v>1</v>
      </c>
      <c r="G740">
        <f t="shared" si="96"/>
        <v>1</v>
      </c>
      <c r="H740">
        <f t="shared" si="93"/>
        <v>1</v>
      </c>
      <c r="I740" s="4" t="str">
        <f t="shared" si="94"/>
        <v>111</v>
      </c>
      <c r="Q740" s="1">
        <v>0.36401352642762652</v>
      </c>
      <c r="R740" s="1">
        <v>0.23256374629634857</v>
      </c>
    </row>
    <row r="741" spans="1:18" x14ac:dyDescent="0.35">
      <c r="A741" t="s">
        <v>743</v>
      </c>
      <c r="B741" s="2">
        <f t="shared" si="89"/>
        <v>45607</v>
      </c>
      <c r="C741" s="3">
        <f t="shared" si="95"/>
        <v>-45607</v>
      </c>
      <c r="D741">
        <f t="shared" si="90"/>
        <v>883</v>
      </c>
      <c r="E741">
        <f t="shared" si="91"/>
        <v>29</v>
      </c>
      <c r="F741">
        <f t="shared" si="92"/>
        <v>4</v>
      </c>
      <c r="G741">
        <f t="shared" si="96"/>
        <v>4</v>
      </c>
      <c r="H741">
        <f t="shared" si="93"/>
        <v>4</v>
      </c>
      <c r="I741" s="4" t="str">
        <f t="shared" si="94"/>
        <v>444</v>
      </c>
      <c r="Q741" s="1">
        <v>0.9443988362669653</v>
      </c>
      <c r="R741" s="1">
        <v>0.57771453948731477</v>
      </c>
    </row>
    <row r="742" spans="1:18" x14ac:dyDescent="0.35">
      <c r="A742" t="s">
        <v>744</v>
      </c>
      <c r="B742" s="2">
        <f t="shared" si="89"/>
        <v>45475</v>
      </c>
      <c r="C742" s="3">
        <f t="shared" si="95"/>
        <v>-45475</v>
      </c>
      <c r="D742">
        <f t="shared" si="90"/>
        <v>530</v>
      </c>
      <c r="E742">
        <f t="shared" si="91"/>
        <v>17</v>
      </c>
      <c r="F742">
        <f t="shared" si="92"/>
        <v>2</v>
      </c>
      <c r="G742">
        <f t="shared" si="96"/>
        <v>2</v>
      </c>
      <c r="H742">
        <f t="shared" si="93"/>
        <v>2</v>
      </c>
      <c r="I742" s="4" t="str">
        <f t="shared" si="94"/>
        <v>222</v>
      </c>
      <c r="Q742" s="1">
        <v>0.9864020991512179</v>
      </c>
      <c r="R742" s="1">
        <v>0.33555210665629587</v>
      </c>
    </row>
    <row r="743" spans="1:18" x14ac:dyDescent="0.35">
      <c r="A743" t="s">
        <v>745</v>
      </c>
      <c r="B743" s="2">
        <f t="shared" si="89"/>
        <v>45684</v>
      </c>
      <c r="C743" s="3">
        <f t="shared" si="95"/>
        <v>-45684</v>
      </c>
      <c r="D743">
        <f t="shared" si="90"/>
        <v>1087</v>
      </c>
      <c r="E743">
        <f t="shared" si="91"/>
        <v>36</v>
      </c>
      <c r="F743">
        <f t="shared" si="92"/>
        <v>4</v>
      </c>
      <c r="G743">
        <f t="shared" si="96"/>
        <v>4</v>
      </c>
      <c r="H743">
        <f t="shared" si="93"/>
        <v>4</v>
      </c>
      <c r="I743" s="4" t="str">
        <f t="shared" si="94"/>
        <v>444</v>
      </c>
      <c r="Q743" s="1">
        <v>0.65875507591343141</v>
      </c>
      <c r="R743" s="1">
        <v>0.71744839186365827</v>
      </c>
    </row>
    <row r="744" spans="1:18" x14ac:dyDescent="0.35">
      <c r="A744" t="s">
        <v>746</v>
      </c>
      <c r="B744" s="2">
        <f t="shared" si="89"/>
        <v>45501</v>
      </c>
      <c r="C744" s="3">
        <f t="shared" si="95"/>
        <v>-45501</v>
      </c>
      <c r="D744">
        <f t="shared" si="90"/>
        <v>599</v>
      </c>
      <c r="E744">
        <f t="shared" si="91"/>
        <v>20</v>
      </c>
      <c r="F744">
        <f t="shared" si="92"/>
        <v>2</v>
      </c>
      <c r="G744">
        <f t="shared" si="96"/>
        <v>2</v>
      </c>
      <c r="H744">
        <f t="shared" si="93"/>
        <v>2</v>
      </c>
      <c r="I744" s="4" t="str">
        <f t="shared" si="94"/>
        <v>222</v>
      </c>
      <c r="Q744" s="1">
        <v>0.64080050575724889</v>
      </c>
      <c r="R744" s="1">
        <v>0.38313570291531918</v>
      </c>
    </row>
    <row r="745" spans="1:18" x14ac:dyDescent="0.35">
      <c r="A745" t="s">
        <v>747</v>
      </c>
      <c r="B745" s="2">
        <f t="shared" si="89"/>
        <v>45672</v>
      </c>
      <c r="C745" s="3">
        <f t="shared" si="95"/>
        <v>-45672</v>
      </c>
      <c r="D745">
        <f t="shared" si="90"/>
        <v>1056</v>
      </c>
      <c r="E745">
        <f t="shared" si="91"/>
        <v>35</v>
      </c>
      <c r="F745">
        <f t="shared" si="92"/>
        <v>4</v>
      </c>
      <c r="G745">
        <f t="shared" si="96"/>
        <v>4</v>
      </c>
      <c r="H745">
        <f t="shared" si="93"/>
        <v>4</v>
      </c>
      <c r="I745" s="4" t="str">
        <f t="shared" si="94"/>
        <v>444</v>
      </c>
      <c r="Q745" s="1">
        <v>0.24639139902471918</v>
      </c>
      <c r="R745" s="1">
        <v>0.69609748118552417</v>
      </c>
    </row>
    <row r="746" spans="1:18" x14ac:dyDescent="0.35">
      <c r="A746" t="s">
        <v>748</v>
      </c>
      <c r="B746" s="2">
        <f t="shared" si="89"/>
        <v>45602</v>
      </c>
      <c r="C746" s="3">
        <f t="shared" si="95"/>
        <v>-45602</v>
      </c>
      <c r="D746">
        <f t="shared" si="90"/>
        <v>870</v>
      </c>
      <c r="E746">
        <f t="shared" si="91"/>
        <v>29</v>
      </c>
      <c r="F746">
        <f t="shared" si="92"/>
        <v>4</v>
      </c>
      <c r="G746">
        <f t="shared" si="96"/>
        <v>4</v>
      </c>
      <c r="H746">
        <f t="shared" si="93"/>
        <v>4</v>
      </c>
      <c r="I746" s="4" t="str">
        <f t="shared" si="94"/>
        <v>444</v>
      </c>
      <c r="Q746" s="1">
        <v>0.82068241989818813</v>
      </c>
      <c r="R746" s="1">
        <v>0.568198509825107</v>
      </c>
    </row>
    <row r="747" spans="1:18" x14ac:dyDescent="0.35">
      <c r="A747" t="s">
        <v>749</v>
      </c>
      <c r="B747" s="2">
        <f t="shared" si="89"/>
        <v>45660</v>
      </c>
      <c r="C747" s="3">
        <f t="shared" si="95"/>
        <v>-45660</v>
      </c>
      <c r="D747">
        <f t="shared" si="90"/>
        <v>1024</v>
      </c>
      <c r="E747">
        <f t="shared" si="91"/>
        <v>34</v>
      </c>
      <c r="F747">
        <f t="shared" si="92"/>
        <v>4</v>
      </c>
      <c r="G747">
        <f t="shared" si="96"/>
        <v>4</v>
      </c>
      <c r="H747">
        <f t="shared" si="93"/>
        <v>4</v>
      </c>
      <c r="I747" s="4" t="str">
        <f t="shared" si="94"/>
        <v>444</v>
      </c>
      <c r="Q747" s="1">
        <v>0.56084214262373044</v>
      </c>
      <c r="R747" s="1">
        <v>0.67428813523659548</v>
      </c>
    </row>
    <row r="748" spans="1:18" x14ac:dyDescent="0.35">
      <c r="A748" t="s">
        <v>750</v>
      </c>
      <c r="B748" s="2">
        <f t="shared" si="89"/>
        <v>45767</v>
      </c>
      <c r="C748" s="3">
        <f t="shared" si="95"/>
        <v>-45767</v>
      </c>
      <c r="D748">
        <f t="shared" si="90"/>
        <v>1309</v>
      </c>
      <c r="E748">
        <f t="shared" si="91"/>
        <v>44</v>
      </c>
      <c r="F748">
        <f t="shared" si="92"/>
        <v>5</v>
      </c>
      <c r="G748">
        <f t="shared" si="96"/>
        <v>5</v>
      </c>
      <c r="H748">
        <f t="shared" si="93"/>
        <v>5</v>
      </c>
      <c r="I748" s="4" t="str">
        <f t="shared" si="94"/>
        <v>555</v>
      </c>
      <c r="Q748" s="1">
        <v>0.22125871485919824</v>
      </c>
      <c r="R748" s="1">
        <v>0.86943207443084247</v>
      </c>
    </row>
    <row r="749" spans="1:18" x14ac:dyDescent="0.35">
      <c r="A749" t="s">
        <v>751</v>
      </c>
      <c r="B749" s="2">
        <f t="shared" si="89"/>
        <v>45397</v>
      </c>
      <c r="C749" s="3">
        <f t="shared" si="95"/>
        <v>-45397</v>
      </c>
      <c r="D749">
        <f t="shared" si="90"/>
        <v>322</v>
      </c>
      <c r="E749">
        <f t="shared" si="91"/>
        <v>10</v>
      </c>
      <c r="F749">
        <f t="shared" si="92"/>
        <v>1</v>
      </c>
      <c r="G749">
        <f t="shared" si="96"/>
        <v>1</v>
      </c>
      <c r="H749">
        <f t="shared" si="93"/>
        <v>1</v>
      </c>
      <c r="I749" s="4" t="str">
        <f t="shared" si="94"/>
        <v>111</v>
      </c>
      <c r="Q749" s="1">
        <v>4.9411171863578462E-2</v>
      </c>
      <c r="R749" s="1">
        <v>0.19316370930400351</v>
      </c>
    </row>
    <row r="750" spans="1:18" x14ac:dyDescent="0.35">
      <c r="A750" t="s">
        <v>752</v>
      </c>
      <c r="B750" s="2">
        <f t="shared" si="89"/>
        <v>45821</v>
      </c>
      <c r="C750" s="3">
        <f t="shared" si="95"/>
        <v>-45821</v>
      </c>
      <c r="D750">
        <f t="shared" si="90"/>
        <v>1456</v>
      </c>
      <c r="E750">
        <f t="shared" si="91"/>
        <v>49</v>
      </c>
      <c r="F750">
        <f t="shared" si="92"/>
        <v>5</v>
      </c>
      <c r="G750">
        <f t="shared" si="96"/>
        <v>5</v>
      </c>
      <c r="H750">
        <f t="shared" si="93"/>
        <v>5</v>
      </c>
      <c r="I750" s="4" t="str">
        <f t="shared" si="94"/>
        <v>555</v>
      </c>
      <c r="Q750" s="1">
        <v>0.95035735125608356</v>
      </c>
      <c r="R750" s="1">
        <v>0.96977339994317679</v>
      </c>
    </row>
    <row r="751" spans="1:18" x14ac:dyDescent="0.35">
      <c r="A751" t="s">
        <v>753</v>
      </c>
      <c r="B751" s="2">
        <f t="shared" si="89"/>
        <v>45804</v>
      </c>
      <c r="C751" s="3">
        <f t="shared" si="95"/>
        <v>-45804</v>
      </c>
      <c r="D751">
        <f t="shared" si="90"/>
        <v>1410</v>
      </c>
      <c r="E751">
        <f t="shared" si="91"/>
        <v>47</v>
      </c>
      <c r="F751">
        <f t="shared" si="92"/>
        <v>5</v>
      </c>
      <c r="G751">
        <f t="shared" si="96"/>
        <v>5</v>
      </c>
      <c r="H751">
        <f t="shared" si="93"/>
        <v>5</v>
      </c>
      <c r="I751" s="4" t="str">
        <f t="shared" si="94"/>
        <v>555</v>
      </c>
      <c r="Q751" s="1">
        <v>0.54399059895398494</v>
      </c>
      <c r="R751" s="1">
        <v>0.93862137986271843</v>
      </c>
    </row>
    <row r="752" spans="1:18" x14ac:dyDescent="0.35">
      <c r="A752" t="s">
        <v>754</v>
      </c>
      <c r="B752" s="2">
        <f t="shared" si="89"/>
        <v>45448</v>
      </c>
      <c r="C752" s="3">
        <f t="shared" si="95"/>
        <v>-45448</v>
      </c>
      <c r="D752">
        <f t="shared" si="90"/>
        <v>456</v>
      </c>
      <c r="E752">
        <f t="shared" si="91"/>
        <v>15</v>
      </c>
      <c r="F752">
        <f t="shared" si="92"/>
        <v>2</v>
      </c>
      <c r="G752">
        <f t="shared" si="96"/>
        <v>2</v>
      </c>
      <c r="H752">
        <f t="shared" si="93"/>
        <v>2</v>
      </c>
      <c r="I752" s="4" t="str">
        <f t="shared" si="94"/>
        <v>222</v>
      </c>
      <c r="Q752" s="1">
        <v>0.93755465891972634</v>
      </c>
      <c r="R752" s="1">
        <v>0.28505505796841679</v>
      </c>
    </row>
    <row r="753" spans="1:18" x14ac:dyDescent="0.35">
      <c r="A753" t="s">
        <v>755</v>
      </c>
      <c r="B753" s="2">
        <f t="shared" si="89"/>
        <v>45403</v>
      </c>
      <c r="C753" s="3">
        <f t="shared" si="95"/>
        <v>-45403</v>
      </c>
      <c r="D753">
        <f t="shared" si="90"/>
        <v>337</v>
      </c>
      <c r="E753">
        <f t="shared" si="91"/>
        <v>11</v>
      </c>
      <c r="F753">
        <f t="shared" si="92"/>
        <v>1</v>
      </c>
      <c r="G753">
        <f t="shared" si="96"/>
        <v>1</v>
      </c>
      <c r="H753">
        <f t="shared" si="93"/>
        <v>1</v>
      </c>
      <c r="I753" s="4" t="str">
        <f t="shared" si="94"/>
        <v>111</v>
      </c>
      <c r="Q753" s="1">
        <v>0.91002430794317291</v>
      </c>
      <c r="R753" s="1">
        <v>0.20371988265861707</v>
      </c>
    </row>
    <row r="754" spans="1:18" x14ac:dyDescent="0.35">
      <c r="A754" t="s">
        <v>756</v>
      </c>
      <c r="B754" s="2">
        <f t="shared" si="89"/>
        <v>45585</v>
      </c>
      <c r="C754" s="3">
        <f t="shared" si="95"/>
        <v>-45585</v>
      </c>
      <c r="D754">
        <f t="shared" si="90"/>
        <v>823</v>
      </c>
      <c r="E754">
        <f t="shared" si="91"/>
        <v>27</v>
      </c>
      <c r="F754">
        <f t="shared" si="92"/>
        <v>4</v>
      </c>
      <c r="G754">
        <f t="shared" si="96"/>
        <v>4</v>
      </c>
      <c r="H754">
        <f t="shared" si="93"/>
        <v>4</v>
      </c>
      <c r="I754" s="4" t="str">
        <f t="shared" si="94"/>
        <v>444</v>
      </c>
      <c r="Q754" s="1">
        <v>0.29195170426927564</v>
      </c>
      <c r="R754" s="1">
        <v>0.53657965476673386</v>
      </c>
    </row>
    <row r="755" spans="1:18" x14ac:dyDescent="0.35">
      <c r="A755" t="s">
        <v>757</v>
      </c>
      <c r="B755" s="2">
        <f t="shared" si="89"/>
        <v>45829</v>
      </c>
      <c r="C755" s="3">
        <f t="shared" si="95"/>
        <v>-45829</v>
      </c>
      <c r="D755">
        <f t="shared" si="90"/>
        <v>1476</v>
      </c>
      <c r="E755">
        <f t="shared" si="91"/>
        <v>49</v>
      </c>
      <c r="F755">
        <f t="shared" si="92"/>
        <v>5</v>
      </c>
      <c r="G755">
        <f t="shared" si="96"/>
        <v>5</v>
      </c>
      <c r="H755">
        <f t="shared" si="93"/>
        <v>5</v>
      </c>
      <c r="I755" s="4" t="str">
        <f t="shared" si="94"/>
        <v>555</v>
      </c>
      <c r="Q755" s="1">
        <v>2.084013492960024E-2</v>
      </c>
      <c r="R755" s="1">
        <v>0.98349481533109995</v>
      </c>
    </row>
    <row r="756" spans="1:18" x14ac:dyDescent="0.35">
      <c r="A756" t="s">
        <v>758</v>
      </c>
      <c r="B756" s="2">
        <f t="shared" si="89"/>
        <v>45370</v>
      </c>
      <c r="C756" s="3">
        <f t="shared" si="95"/>
        <v>-45370</v>
      </c>
      <c r="D756">
        <f t="shared" si="90"/>
        <v>248</v>
      </c>
      <c r="E756">
        <f t="shared" si="91"/>
        <v>8</v>
      </c>
      <c r="F756">
        <f t="shared" si="92"/>
        <v>1</v>
      </c>
      <c r="G756">
        <f t="shared" si="96"/>
        <v>1</v>
      </c>
      <c r="H756">
        <f t="shared" si="93"/>
        <v>1</v>
      </c>
      <c r="I756" s="4" t="str">
        <f t="shared" si="94"/>
        <v>111</v>
      </c>
      <c r="Q756" s="1">
        <v>0.38520640215466029</v>
      </c>
      <c r="R756" s="1">
        <v>0.14229072188909742</v>
      </c>
    </row>
    <row r="757" spans="1:18" x14ac:dyDescent="0.35">
      <c r="A757" t="s">
        <v>759</v>
      </c>
      <c r="B757" s="2">
        <f t="shared" si="89"/>
        <v>45711</v>
      </c>
      <c r="C757" s="3">
        <f t="shared" si="95"/>
        <v>-45711</v>
      </c>
      <c r="D757">
        <f t="shared" si="90"/>
        <v>1160</v>
      </c>
      <c r="E757">
        <f t="shared" si="91"/>
        <v>39</v>
      </c>
      <c r="F757">
        <f t="shared" si="92"/>
        <v>5</v>
      </c>
      <c r="G757">
        <f t="shared" si="96"/>
        <v>4</v>
      </c>
      <c r="H757">
        <f t="shared" si="93"/>
        <v>4</v>
      </c>
      <c r="I757" s="4" t="str">
        <f t="shared" si="94"/>
        <v>544</v>
      </c>
      <c r="Q757" s="1">
        <v>0.87297642366346462</v>
      </c>
      <c r="R757" s="1">
        <v>0.76685770896328231</v>
      </c>
    </row>
    <row r="758" spans="1:18" x14ac:dyDescent="0.35">
      <c r="A758" t="s">
        <v>760</v>
      </c>
      <c r="B758" s="2">
        <f t="shared" si="89"/>
        <v>45823</v>
      </c>
      <c r="C758" s="3">
        <f t="shared" si="95"/>
        <v>-45823</v>
      </c>
      <c r="D758">
        <f t="shared" si="90"/>
        <v>1459</v>
      </c>
      <c r="E758">
        <f t="shared" si="91"/>
        <v>49</v>
      </c>
      <c r="F758">
        <f t="shared" si="92"/>
        <v>5</v>
      </c>
      <c r="G758">
        <f t="shared" si="96"/>
        <v>5</v>
      </c>
      <c r="H758">
        <f t="shared" si="93"/>
        <v>5</v>
      </c>
      <c r="I758" s="4" t="str">
        <f t="shared" si="94"/>
        <v>555</v>
      </c>
      <c r="Q758" s="1">
        <v>0.65197898063628879</v>
      </c>
      <c r="R758" s="1">
        <v>0.97193392387977873</v>
      </c>
    </row>
    <row r="759" spans="1:18" x14ac:dyDescent="0.35">
      <c r="A759" t="s">
        <v>761</v>
      </c>
      <c r="B759" s="2">
        <f t="shared" si="89"/>
        <v>45454</v>
      </c>
      <c r="C759" s="3">
        <f t="shared" si="95"/>
        <v>-45454</v>
      </c>
      <c r="D759">
        <f t="shared" si="90"/>
        <v>473</v>
      </c>
      <c r="E759">
        <f t="shared" si="91"/>
        <v>16</v>
      </c>
      <c r="F759">
        <f t="shared" si="92"/>
        <v>2</v>
      </c>
      <c r="G759">
        <f t="shared" si="96"/>
        <v>2</v>
      </c>
      <c r="H759">
        <f t="shared" si="93"/>
        <v>2</v>
      </c>
      <c r="I759" s="4" t="str">
        <f t="shared" si="94"/>
        <v>222</v>
      </c>
      <c r="Q759" s="1">
        <v>0.76357281869085825</v>
      </c>
      <c r="R759" s="1">
        <v>0.2968762778097106</v>
      </c>
    </row>
    <row r="760" spans="1:18" x14ac:dyDescent="0.35">
      <c r="A760" t="s">
        <v>762</v>
      </c>
      <c r="B760" s="2">
        <f t="shared" si="89"/>
        <v>45386</v>
      </c>
      <c r="C760" s="3">
        <f t="shared" si="95"/>
        <v>-45386</v>
      </c>
      <c r="D760">
        <f t="shared" si="90"/>
        <v>292</v>
      </c>
      <c r="E760">
        <f t="shared" si="91"/>
        <v>9</v>
      </c>
      <c r="F760">
        <f t="shared" si="92"/>
        <v>1</v>
      </c>
      <c r="G760">
        <f t="shared" si="96"/>
        <v>1</v>
      </c>
      <c r="H760">
        <f t="shared" si="93"/>
        <v>1</v>
      </c>
      <c r="I760" s="4" t="str">
        <f t="shared" si="94"/>
        <v>111</v>
      </c>
      <c r="Q760" s="1">
        <v>0.59694305516353219</v>
      </c>
      <c r="R760" s="1">
        <v>0.17249802121228486</v>
      </c>
    </row>
    <row r="761" spans="1:18" x14ac:dyDescent="0.35">
      <c r="A761" t="s">
        <v>763</v>
      </c>
      <c r="B761" s="2">
        <f t="shared" si="89"/>
        <v>45672</v>
      </c>
      <c r="C761" s="3">
        <f t="shared" si="95"/>
        <v>-45672</v>
      </c>
      <c r="D761">
        <f t="shared" si="90"/>
        <v>1056</v>
      </c>
      <c r="E761">
        <f t="shared" si="91"/>
        <v>35</v>
      </c>
      <c r="F761">
        <f t="shared" si="92"/>
        <v>4</v>
      </c>
      <c r="G761">
        <f t="shared" si="96"/>
        <v>4</v>
      </c>
      <c r="H761">
        <f t="shared" si="93"/>
        <v>4</v>
      </c>
      <c r="I761" s="4" t="str">
        <f t="shared" si="94"/>
        <v>444</v>
      </c>
      <c r="Q761" s="1">
        <v>0.61321338726790797</v>
      </c>
      <c r="R761" s="1">
        <v>0.69569908640218603</v>
      </c>
    </row>
    <row r="762" spans="1:18" x14ac:dyDescent="0.35">
      <c r="A762" t="s">
        <v>764</v>
      </c>
      <c r="B762" s="2">
        <f t="shared" si="89"/>
        <v>45507</v>
      </c>
      <c r="C762" s="3">
        <f t="shared" si="95"/>
        <v>-45507</v>
      </c>
      <c r="D762">
        <f t="shared" si="90"/>
        <v>614</v>
      </c>
      <c r="E762">
        <f t="shared" si="91"/>
        <v>20</v>
      </c>
      <c r="F762">
        <f t="shared" si="92"/>
        <v>2</v>
      </c>
      <c r="G762">
        <f t="shared" si="96"/>
        <v>2</v>
      </c>
      <c r="H762">
        <f t="shared" si="93"/>
        <v>2</v>
      </c>
      <c r="I762" s="4" t="str">
        <f t="shared" si="94"/>
        <v>222</v>
      </c>
      <c r="Q762" s="1">
        <v>0.3252116188548434</v>
      </c>
      <c r="R762" s="1">
        <v>0.39291523220395874</v>
      </c>
    </row>
    <row r="763" spans="1:18" x14ac:dyDescent="0.35">
      <c r="A763" t="s">
        <v>765</v>
      </c>
      <c r="B763" s="2">
        <f t="shared" si="89"/>
        <v>45600</v>
      </c>
      <c r="C763" s="3">
        <f t="shared" si="95"/>
        <v>-45600</v>
      </c>
      <c r="D763">
        <f t="shared" si="90"/>
        <v>862</v>
      </c>
      <c r="E763">
        <f t="shared" si="91"/>
        <v>29</v>
      </c>
      <c r="F763">
        <f t="shared" si="92"/>
        <v>4</v>
      </c>
      <c r="G763">
        <f t="shared" si="96"/>
        <v>4</v>
      </c>
      <c r="H763">
        <f t="shared" si="93"/>
        <v>4</v>
      </c>
      <c r="I763" s="4" t="str">
        <f t="shared" si="94"/>
        <v>444</v>
      </c>
      <c r="Q763" s="1">
        <v>0.72820748843665883</v>
      </c>
      <c r="R763" s="1">
        <v>0.56323082040575867</v>
      </c>
    </row>
    <row r="764" spans="1:18" x14ac:dyDescent="0.35">
      <c r="A764" t="s">
        <v>766</v>
      </c>
      <c r="B764" s="2">
        <f t="shared" si="89"/>
        <v>45463</v>
      </c>
      <c r="C764" s="3">
        <f t="shared" si="95"/>
        <v>-45463</v>
      </c>
      <c r="D764">
        <f t="shared" si="90"/>
        <v>497</v>
      </c>
      <c r="E764">
        <f t="shared" si="91"/>
        <v>16</v>
      </c>
      <c r="F764">
        <f t="shared" si="92"/>
        <v>2</v>
      </c>
      <c r="G764">
        <f t="shared" si="96"/>
        <v>2</v>
      </c>
      <c r="H764">
        <f t="shared" si="93"/>
        <v>2</v>
      </c>
      <c r="I764" s="4" t="str">
        <f t="shared" si="94"/>
        <v>222</v>
      </c>
      <c r="Q764" s="1">
        <v>0.17341366228960253</v>
      </c>
      <c r="R764" s="1">
        <v>0.31321599668816358</v>
      </c>
    </row>
    <row r="765" spans="1:18" x14ac:dyDescent="0.35">
      <c r="A765" t="s">
        <v>767</v>
      </c>
      <c r="B765" s="2">
        <f t="shared" si="89"/>
        <v>45834</v>
      </c>
      <c r="C765" s="3">
        <f t="shared" si="95"/>
        <v>-45834</v>
      </c>
      <c r="D765">
        <f t="shared" si="90"/>
        <v>1489</v>
      </c>
      <c r="E765">
        <f t="shared" si="91"/>
        <v>50</v>
      </c>
      <c r="F765">
        <f t="shared" si="92"/>
        <v>5</v>
      </c>
      <c r="G765">
        <f t="shared" si="96"/>
        <v>5</v>
      </c>
      <c r="H765">
        <f t="shared" si="93"/>
        <v>5</v>
      </c>
      <c r="I765" s="4" t="str">
        <f t="shared" si="94"/>
        <v>555</v>
      </c>
      <c r="Q765" s="1">
        <v>0.12126780965965278</v>
      </c>
      <c r="R765" s="1">
        <v>0.99237674144599231</v>
      </c>
    </row>
    <row r="766" spans="1:18" x14ac:dyDescent="0.35">
      <c r="A766" t="s">
        <v>768</v>
      </c>
      <c r="B766" s="2">
        <f t="shared" si="89"/>
        <v>45439</v>
      </c>
      <c r="C766" s="3">
        <f t="shared" si="95"/>
        <v>-45439</v>
      </c>
      <c r="D766">
        <f t="shared" si="90"/>
        <v>433</v>
      </c>
      <c r="E766">
        <f t="shared" si="91"/>
        <v>14</v>
      </c>
      <c r="F766">
        <f t="shared" si="92"/>
        <v>2</v>
      </c>
      <c r="G766">
        <f t="shared" si="96"/>
        <v>2</v>
      </c>
      <c r="H766">
        <f t="shared" si="93"/>
        <v>2</v>
      </c>
      <c r="I766" s="4" t="str">
        <f t="shared" si="94"/>
        <v>222</v>
      </c>
      <c r="Q766" s="1">
        <v>0.58994684718889268</v>
      </c>
      <c r="R766" s="1">
        <v>0.26906221798371399</v>
      </c>
    </row>
    <row r="767" spans="1:18" x14ac:dyDescent="0.35">
      <c r="A767" t="s">
        <v>769</v>
      </c>
      <c r="B767" s="2">
        <f t="shared" si="89"/>
        <v>45360</v>
      </c>
      <c r="C767" s="3">
        <f t="shared" si="95"/>
        <v>-45360</v>
      </c>
      <c r="D767">
        <f t="shared" si="90"/>
        <v>221</v>
      </c>
      <c r="E767">
        <f t="shared" si="91"/>
        <v>7</v>
      </c>
      <c r="F767">
        <f t="shared" si="92"/>
        <v>1</v>
      </c>
      <c r="G767">
        <f t="shared" si="96"/>
        <v>1</v>
      </c>
      <c r="H767">
        <f t="shared" si="93"/>
        <v>1</v>
      </c>
      <c r="I767" s="4" t="str">
        <f t="shared" si="94"/>
        <v>111</v>
      </c>
      <c r="Q767" s="1">
        <v>0.37585231866407942</v>
      </c>
      <c r="R767" s="1">
        <v>0.12392233387963147</v>
      </c>
    </row>
    <row r="768" spans="1:18" x14ac:dyDescent="0.35">
      <c r="A768" t="s">
        <v>770</v>
      </c>
      <c r="B768" s="2">
        <f t="shared" si="89"/>
        <v>45671</v>
      </c>
      <c r="C768" s="3">
        <f t="shared" si="95"/>
        <v>-45671</v>
      </c>
      <c r="D768">
        <f t="shared" si="90"/>
        <v>1055</v>
      </c>
      <c r="E768">
        <f t="shared" si="91"/>
        <v>35</v>
      </c>
      <c r="F768">
        <f t="shared" si="92"/>
        <v>4</v>
      </c>
      <c r="G768">
        <f t="shared" si="96"/>
        <v>4</v>
      </c>
      <c r="H768">
        <f t="shared" si="93"/>
        <v>4</v>
      </c>
      <c r="I768" s="4" t="str">
        <f t="shared" si="94"/>
        <v>444</v>
      </c>
      <c r="Q768" s="1">
        <v>0.40142672143155789</v>
      </c>
      <c r="R768" s="1">
        <v>0.69502771417682552</v>
      </c>
    </row>
    <row r="769" spans="1:18" x14ac:dyDescent="0.35">
      <c r="A769" t="s">
        <v>771</v>
      </c>
      <c r="B769" s="2">
        <f t="shared" si="89"/>
        <v>45687</v>
      </c>
      <c r="C769" s="3">
        <f t="shared" si="95"/>
        <v>-45687</v>
      </c>
      <c r="D769">
        <f t="shared" si="90"/>
        <v>1095</v>
      </c>
      <c r="E769">
        <f t="shared" si="91"/>
        <v>36</v>
      </c>
      <c r="F769">
        <f t="shared" si="92"/>
        <v>4</v>
      </c>
      <c r="G769">
        <f t="shared" si="96"/>
        <v>4</v>
      </c>
      <c r="H769">
        <f t="shared" si="93"/>
        <v>4</v>
      </c>
      <c r="I769" s="4" t="str">
        <f t="shared" si="94"/>
        <v>444</v>
      </c>
      <c r="Q769" s="1">
        <v>0.93374088185519089</v>
      </c>
      <c r="R769" s="1">
        <v>0.72277998914718111</v>
      </c>
    </row>
    <row r="770" spans="1:18" x14ac:dyDescent="0.35">
      <c r="A770" t="s">
        <v>772</v>
      </c>
      <c r="B770" s="2">
        <f t="shared" si="89"/>
        <v>45648</v>
      </c>
      <c r="C770" s="3">
        <f t="shared" si="95"/>
        <v>-45648</v>
      </c>
      <c r="D770">
        <f t="shared" si="90"/>
        <v>992</v>
      </c>
      <c r="E770">
        <f t="shared" si="91"/>
        <v>33</v>
      </c>
      <c r="F770">
        <f t="shared" si="92"/>
        <v>4</v>
      </c>
      <c r="G770">
        <f t="shared" si="96"/>
        <v>4</v>
      </c>
      <c r="H770">
        <f t="shared" si="93"/>
        <v>4</v>
      </c>
      <c r="I770" s="4" t="str">
        <f t="shared" si="94"/>
        <v>444</v>
      </c>
      <c r="Q770" s="1">
        <v>2.1059252164225217E-2</v>
      </c>
      <c r="R770" s="1">
        <v>0.65208929327296739</v>
      </c>
    </row>
    <row r="771" spans="1:18" x14ac:dyDescent="0.35">
      <c r="A771" t="s">
        <v>773</v>
      </c>
      <c r="B771" s="2">
        <f t="shared" ref="B771:B834" si="97">ROUND(R771*(45838-45292)+45292,0)</f>
        <v>45620</v>
      </c>
      <c r="C771" s="3">
        <f t="shared" si="95"/>
        <v>-45620</v>
      </c>
      <c r="D771">
        <f t="shared" ref="D771:D834" si="98">ROUND((R771)*(1500-40)+40,0)</f>
        <v>917</v>
      </c>
      <c r="E771">
        <f t="shared" ref="E771:E834" si="99">ROUND((R771)*(50-1)+1,0)</f>
        <v>30</v>
      </c>
      <c r="F771">
        <f t="shared" ref="F771:F834" si="100">IF(C771&lt;=$M$4,5,IF(C771&lt;=$M$9,4,IF(C771&lt;=$M$5,3,IF(C771&lt;=$M$6,2,1))))</f>
        <v>4</v>
      </c>
      <c r="G771">
        <f t="shared" si="96"/>
        <v>4</v>
      </c>
      <c r="H771">
        <f t="shared" ref="H771:H834" si="101">IF(D771&lt;=$M$24,1,IF(D771&lt;=$M$25,2,IF(D771&lt;=$M$29,3,IF(D771&lt;=$M$26,4,5))))</f>
        <v>4</v>
      </c>
      <c r="I771" s="4" t="str">
        <f t="shared" ref="I771:I834" si="102">CONCATENATE(F771,G771,H771)</f>
        <v>444</v>
      </c>
      <c r="Q771" s="1">
        <v>0.76784520939048972</v>
      </c>
      <c r="R771" s="1">
        <v>0.60041029419661485</v>
      </c>
    </row>
    <row r="772" spans="1:18" x14ac:dyDescent="0.35">
      <c r="A772" t="s">
        <v>774</v>
      </c>
      <c r="B772" s="2">
        <f t="shared" si="97"/>
        <v>45740</v>
      </c>
      <c r="C772" s="3">
        <f t="shared" ref="C772:C835" si="103">$S$4-B772</f>
        <v>-45740</v>
      </c>
      <c r="D772">
        <f t="shared" si="98"/>
        <v>1237</v>
      </c>
      <c r="E772">
        <f t="shared" si="99"/>
        <v>41</v>
      </c>
      <c r="F772">
        <f t="shared" si="100"/>
        <v>5</v>
      </c>
      <c r="G772">
        <f t="shared" ref="G772:G835" si="104">IF(E772&lt;=$M$14,1,IF(E772&lt;=$M$15,2,IF(E772&lt;=$M$19,3,IF(E772&lt;=$M$16,4,5))))</f>
        <v>5</v>
      </c>
      <c r="H772">
        <f t="shared" si="101"/>
        <v>5</v>
      </c>
      <c r="I772" s="4" t="str">
        <f t="shared" si="102"/>
        <v>555</v>
      </c>
      <c r="Q772" s="1">
        <v>0.94243910199331327</v>
      </c>
      <c r="R772" s="1">
        <v>0.819818744645749</v>
      </c>
    </row>
    <row r="773" spans="1:18" x14ac:dyDescent="0.35">
      <c r="A773" t="s">
        <v>775</v>
      </c>
      <c r="B773" s="2">
        <f t="shared" si="97"/>
        <v>45693</v>
      </c>
      <c r="C773" s="3">
        <f t="shared" si="103"/>
        <v>-45693</v>
      </c>
      <c r="D773">
        <f t="shared" si="98"/>
        <v>1112</v>
      </c>
      <c r="E773">
        <f t="shared" si="99"/>
        <v>37</v>
      </c>
      <c r="F773">
        <f t="shared" si="100"/>
        <v>4</v>
      </c>
      <c r="G773">
        <f t="shared" si="104"/>
        <v>4</v>
      </c>
      <c r="H773">
        <f t="shared" si="101"/>
        <v>4</v>
      </c>
      <c r="I773" s="4" t="str">
        <f t="shared" si="102"/>
        <v>444</v>
      </c>
      <c r="Q773" s="1">
        <v>0.59666604134716172</v>
      </c>
      <c r="R773" s="1">
        <v>0.73434158380253378</v>
      </c>
    </row>
    <row r="774" spans="1:18" x14ac:dyDescent="0.35">
      <c r="A774" t="s">
        <v>776</v>
      </c>
      <c r="B774" s="2">
        <f t="shared" si="97"/>
        <v>45455</v>
      </c>
      <c r="C774" s="3">
        <f t="shared" si="103"/>
        <v>-45455</v>
      </c>
      <c r="D774">
        <f t="shared" si="98"/>
        <v>475</v>
      </c>
      <c r="E774">
        <f t="shared" si="99"/>
        <v>16</v>
      </c>
      <c r="F774">
        <f t="shared" si="100"/>
        <v>2</v>
      </c>
      <c r="G774">
        <f t="shared" si="104"/>
        <v>2</v>
      </c>
      <c r="H774">
        <f t="shared" si="101"/>
        <v>2</v>
      </c>
      <c r="I774" s="4" t="str">
        <f t="shared" si="102"/>
        <v>222</v>
      </c>
      <c r="Q774" s="1">
        <v>0.13083034222154177</v>
      </c>
      <c r="R774" s="1">
        <v>0.29779555734214136</v>
      </c>
    </row>
    <row r="775" spans="1:18" x14ac:dyDescent="0.35">
      <c r="A775" t="s">
        <v>777</v>
      </c>
      <c r="B775" s="2">
        <f t="shared" si="97"/>
        <v>45473</v>
      </c>
      <c r="C775" s="3">
        <f t="shared" si="103"/>
        <v>-45473</v>
      </c>
      <c r="D775">
        <f t="shared" si="98"/>
        <v>523</v>
      </c>
      <c r="E775">
        <f t="shared" si="99"/>
        <v>17</v>
      </c>
      <c r="F775">
        <f t="shared" si="100"/>
        <v>2</v>
      </c>
      <c r="G775">
        <f t="shared" si="104"/>
        <v>2</v>
      </c>
      <c r="H775">
        <f t="shared" si="101"/>
        <v>2</v>
      </c>
      <c r="I775" s="4" t="str">
        <f t="shared" si="102"/>
        <v>222</v>
      </c>
      <c r="Q775" s="1">
        <v>0.89116281902028349</v>
      </c>
      <c r="R775" s="1">
        <v>0.33083700779703151</v>
      </c>
    </row>
    <row r="776" spans="1:18" x14ac:dyDescent="0.35">
      <c r="A776" t="s">
        <v>778</v>
      </c>
      <c r="B776" s="2">
        <f t="shared" si="97"/>
        <v>45316</v>
      </c>
      <c r="C776" s="3">
        <f t="shared" si="103"/>
        <v>-45316</v>
      </c>
      <c r="D776">
        <f t="shared" si="98"/>
        <v>105</v>
      </c>
      <c r="E776">
        <f t="shared" si="99"/>
        <v>3</v>
      </c>
      <c r="F776">
        <f t="shared" si="100"/>
        <v>1</v>
      </c>
      <c r="G776">
        <f t="shared" si="104"/>
        <v>1</v>
      </c>
      <c r="H776">
        <f t="shared" si="101"/>
        <v>1</v>
      </c>
      <c r="I776" s="4" t="str">
        <f t="shared" si="102"/>
        <v>111</v>
      </c>
      <c r="Q776" s="1">
        <v>0.35396299282342902</v>
      </c>
      <c r="R776" s="1">
        <v>4.4512493310232548E-2</v>
      </c>
    </row>
    <row r="777" spans="1:18" x14ac:dyDescent="0.35">
      <c r="A777" t="s">
        <v>779</v>
      </c>
      <c r="B777" s="2">
        <f t="shared" si="97"/>
        <v>45536</v>
      </c>
      <c r="C777" s="3">
        <f t="shared" si="103"/>
        <v>-45536</v>
      </c>
      <c r="D777">
        <f t="shared" si="98"/>
        <v>692</v>
      </c>
      <c r="E777">
        <f t="shared" si="99"/>
        <v>23</v>
      </c>
      <c r="F777">
        <f t="shared" si="100"/>
        <v>2</v>
      </c>
      <c r="G777">
        <f t="shared" si="104"/>
        <v>2</v>
      </c>
      <c r="H777">
        <f t="shared" si="101"/>
        <v>2</v>
      </c>
      <c r="I777" s="4" t="str">
        <f t="shared" si="102"/>
        <v>222</v>
      </c>
      <c r="Q777" s="1">
        <v>0.64784187665307169</v>
      </c>
      <c r="R777" s="1">
        <v>0.44669347989938257</v>
      </c>
    </row>
    <row r="778" spans="1:18" x14ac:dyDescent="0.35">
      <c r="A778" t="s">
        <v>780</v>
      </c>
      <c r="B778" s="2">
        <f t="shared" si="97"/>
        <v>45346</v>
      </c>
      <c r="C778" s="3">
        <f t="shared" si="103"/>
        <v>-45346</v>
      </c>
      <c r="D778">
        <f t="shared" si="98"/>
        <v>185</v>
      </c>
      <c r="E778">
        <f t="shared" si="99"/>
        <v>6</v>
      </c>
      <c r="F778">
        <f t="shared" si="100"/>
        <v>1</v>
      </c>
      <c r="G778">
        <f t="shared" si="104"/>
        <v>1</v>
      </c>
      <c r="H778">
        <f t="shared" si="101"/>
        <v>1</v>
      </c>
      <c r="I778" s="4" t="str">
        <f t="shared" si="102"/>
        <v>111</v>
      </c>
      <c r="Q778" s="1">
        <v>0.25688702676486097</v>
      </c>
      <c r="R778" s="1">
        <v>9.9294124057180522E-2</v>
      </c>
    </row>
    <row r="779" spans="1:18" x14ac:dyDescent="0.35">
      <c r="A779" t="s">
        <v>781</v>
      </c>
      <c r="B779" s="2">
        <f t="shared" si="97"/>
        <v>45440</v>
      </c>
      <c r="C779" s="3">
        <f t="shared" si="103"/>
        <v>-45440</v>
      </c>
      <c r="D779">
        <f t="shared" si="98"/>
        <v>437</v>
      </c>
      <c r="E779">
        <f t="shared" si="99"/>
        <v>14</v>
      </c>
      <c r="F779">
        <f t="shared" si="100"/>
        <v>2</v>
      </c>
      <c r="G779">
        <f t="shared" si="104"/>
        <v>2</v>
      </c>
      <c r="H779">
        <f t="shared" si="101"/>
        <v>2</v>
      </c>
      <c r="I779" s="4" t="str">
        <f t="shared" si="102"/>
        <v>222</v>
      </c>
      <c r="Q779" s="1">
        <v>0.55106987621713721</v>
      </c>
      <c r="R779" s="1">
        <v>0.27195185211458417</v>
      </c>
    </row>
    <row r="780" spans="1:18" x14ac:dyDescent="0.35">
      <c r="A780" t="s">
        <v>782</v>
      </c>
      <c r="B780" s="2">
        <f t="shared" si="97"/>
        <v>45790</v>
      </c>
      <c r="C780" s="3">
        <f t="shared" si="103"/>
        <v>-45790</v>
      </c>
      <c r="D780">
        <f t="shared" si="98"/>
        <v>1372</v>
      </c>
      <c r="E780">
        <f t="shared" si="99"/>
        <v>46</v>
      </c>
      <c r="F780">
        <f t="shared" si="100"/>
        <v>5</v>
      </c>
      <c r="G780">
        <f t="shared" si="104"/>
        <v>5</v>
      </c>
      <c r="H780">
        <f t="shared" si="101"/>
        <v>5</v>
      </c>
      <c r="I780" s="4" t="str">
        <f t="shared" si="102"/>
        <v>555</v>
      </c>
      <c r="Q780" s="1">
        <v>0.52431179856239707</v>
      </c>
      <c r="R780" s="1">
        <v>0.91204094832093152</v>
      </c>
    </row>
    <row r="781" spans="1:18" x14ac:dyDescent="0.35">
      <c r="A781" t="s">
        <v>783</v>
      </c>
      <c r="B781" s="2">
        <f t="shared" si="97"/>
        <v>45718</v>
      </c>
      <c r="C781" s="3">
        <f t="shared" si="103"/>
        <v>-45718</v>
      </c>
      <c r="D781">
        <f t="shared" si="98"/>
        <v>1178</v>
      </c>
      <c r="E781">
        <f t="shared" si="99"/>
        <v>39</v>
      </c>
      <c r="F781">
        <f t="shared" si="100"/>
        <v>5</v>
      </c>
      <c r="G781">
        <f t="shared" si="104"/>
        <v>4</v>
      </c>
      <c r="H781">
        <f t="shared" si="101"/>
        <v>5</v>
      </c>
      <c r="I781" s="4" t="str">
        <f t="shared" si="102"/>
        <v>545</v>
      </c>
      <c r="Q781" s="1">
        <v>0.56230741021082709</v>
      </c>
      <c r="R781" s="1">
        <v>0.77966613403488416</v>
      </c>
    </row>
    <row r="782" spans="1:18" x14ac:dyDescent="0.35">
      <c r="A782" t="s">
        <v>784</v>
      </c>
      <c r="B782" s="2">
        <f t="shared" si="97"/>
        <v>45414</v>
      </c>
      <c r="C782" s="3">
        <f t="shared" si="103"/>
        <v>-45414</v>
      </c>
      <c r="D782">
        <f t="shared" si="98"/>
        <v>367</v>
      </c>
      <c r="E782">
        <f t="shared" si="99"/>
        <v>12</v>
      </c>
      <c r="F782">
        <f t="shared" si="100"/>
        <v>1</v>
      </c>
      <c r="G782">
        <f t="shared" si="104"/>
        <v>1</v>
      </c>
      <c r="H782">
        <f t="shared" si="101"/>
        <v>1</v>
      </c>
      <c r="I782" s="4" t="str">
        <f t="shared" si="102"/>
        <v>111</v>
      </c>
      <c r="Q782" s="1">
        <v>0.52350667013229502</v>
      </c>
      <c r="R782" s="1">
        <v>0.22430053651781967</v>
      </c>
    </row>
    <row r="783" spans="1:18" x14ac:dyDescent="0.35">
      <c r="A783" t="s">
        <v>785</v>
      </c>
      <c r="B783" s="2">
        <f t="shared" si="97"/>
        <v>45748</v>
      </c>
      <c r="C783" s="3">
        <f t="shared" si="103"/>
        <v>-45748</v>
      </c>
      <c r="D783">
        <f t="shared" si="98"/>
        <v>1259</v>
      </c>
      <c r="E783">
        <f t="shared" si="99"/>
        <v>42</v>
      </c>
      <c r="F783">
        <f t="shared" si="100"/>
        <v>5</v>
      </c>
      <c r="G783">
        <f t="shared" si="104"/>
        <v>5</v>
      </c>
      <c r="H783">
        <f t="shared" si="101"/>
        <v>5</v>
      </c>
      <c r="I783" s="4" t="str">
        <f t="shared" si="102"/>
        <v>555</v>
      </c>
      <c r="Q783" s="1">
        <v>0.90510135411129189</v>
      </c>
      <c r="R783" s="1">
        <v>0.83503490251682999</v>
      </c>
    </row>
    <row r="784" spans="1:18" x14ac:dyDescent="0.35">
      <c r="A784" t="s">
        <v>786</v>
      </c>
      <c r="B784" s="2">
        <f t="shared" si="97"/>
        <v>45452</v>
      </c>
      <c r="C784" s="3">
        <f t="shared" si="103"/>
        <v>-45452</v>
      </c>
      <c r="D784">
        <f t="shared" si="98"/>
        <v>468</v>
      </c>
      <c r="E784">
        <f t="shared" si="99"/>
        <v>15</v>
      </c>
      <c r="F784">
        <f t="shared" si="100"/>
        <v>2</v>
      </c>
      <c r="G784">
        <f t="shared" si="104"/>
        <v>2</v>
      </c>
      <c r="H784">
        <f t="shared" si="101"/>
        <v>2</v>
      </c>
      <c r="I784" s="4" t="str">
        <f t="shared" si="102"/>
        <v>222</v>
      </c>
      <c r="Q784" s="1">
        <v>0.31173090129114189</v>
      </c>
      <c r="R784" s="1">
        <v>0.29287010332299157</v>
      </c>
    </row>
    <row r="785" spans="1:18" x14ac:dyDescent="0.35">
      <c r="A785" t="s">
        <v>787</v>
      </c>
      <c r="B785" s="2">
        <f t="shared" si="97"/>
        <v>45458</v>
      </c>
      <c r="C785" s="3">
        <f t="shared" si="103"/>
        <v>-45458</v>
      </c>
      <c r="D785">
        <f t="shared" si="98"/>
        <v>483</v>
      </c>
      <c r="E785">
        <f t="shared" si="99"/>
        <v>16</v>
      </c>
      <c r="F785">
        <f t="shared" si="100"/>
        <v>2</v>
      </c>
      <c r="G785">
        <f t="shared" si="104"/>
        <v>2</v>
      </c>
      <c r="H785">
        <f t="shared" si="101"/>
        <v>2</v>
      </c>
      <c r="I785" s="4" t="str">
        <f t="shared" si="102"/>
        <v>222</v>
      </c>
      <c r="Q785" s="1">
        <v>0.99082078319691247</v>
      </c>
      <c r="R785" s="1">
        <v>0.30325450761317319</v>
      </c>
    </row>
    <row r="786" spans="1:18" x14ac:dyDescent="0.35">
      <c r="A786" t="s">
        <v>788</v>
      </c>
      <c r="B786" s="2">
        <f t="shared" si="97"/>
        <v>45713</v>
      </c>
      <c r="C786" s="3">
        <f t="shared" si="103"/>
        <v>-45713</v>
      </c>
      <c r="D786">
        <f t="shared" si="98"/>
        <v>1165</v>
      </c>
      <c r="E786">
        <f t="shared" si="99"/>
        <v>39</v>
      </c>
      <c r="F786">
        <f t="shared" si="100"/>
        <v>5</v>
      </c>
      <c r="G786">
        <f t="shared" si="104"/>
        <v>4</v>
      </c>
      <c r="H786">
        <f t="shared" si="101"/>
        <v>5</v>
      </c>
      <c r="I786" s="4" t="str">
        <f t="shared" si="102"/>
        <v>545</v>
      </c>
      <c r="Q786" s="1">
        <v>0.41315377572565504</v>
      </c>
      <c r="R786" s="1">
        <v>0.77061875735117269</v>
      </c>
    </row>
    <row r="787" spans="1:18" x14ac:dyDescent="0.35">
      <c r="A787" t="s">
        <v>789</v>
      </c>
      <c r="B787" s="2">
        <f t="shared" si="97"/>
        <v>45710</v>
      </c>
      <c r="C787" s="3">
        <f t="shared" si="103"/>
        <v>-45710</v>
      </c>
      <c r="D787">
        <f t="shared" si="98"/>
        <v>1158</v>
      </c>
      <c r="E787">
        <f t="shared" si="99"/>
        <v>39</v>
      </c>
      <c r="F787">
        <f t="shared" si="100"/>
        <v>4</v>
      </c>
      <c r="G787">
        <f t="shared" si="104"/>
        <v>4</v>
      </c>
      <c r="H787">
        <f t="shared" si="101"/>
        <v>4</v>
      </c>
      <c r="I787" s="4" t="str">
        <f t="shared" si="102"/>
        <v>444</v>
      </c>
      <c r="Q787" s="1">
        <v>0.81625003004225394</v>
      </c>
      <c r="R787" s="1">
        <v>0.76542833932404541</v>
      </c>
    </row>
    <row r="788" spans="1:18" x14ac:dyDescent="0.35">
      <c r="A788" t="s">
        <v>790</v>
      </c>
      <c r="B788" s="2">
        <f t="shared" si="97"/>
        <v>45670</v>
      </c>
      <c r="C788" s="3">
        <f t="shared" si="103"/>
        <v>-45670</v>
      </c>
      <c r="D788">
        <f t="shared" si="98"/>
        <v>1052</v>
      </c>
      <c r="E788">
        <f t="shared" si="99"/>
        <v>35</v>
      </c>
      <c r="F788">
        <f t="shared" si="100"/>
        <v>4</v>
      </c>
      <c r="G788">
        <f t="shared" si="104"/>
        <v>4</v>
      </c>
      <c r="H788">
        <f t="shared" si="101"/>
        <v>4</v>
      </c>
      <c r="I788" s="4" t="str">
        <f t="shared" si="102"/>
        <v>444</v>
      </c>
      <c r="Q788" s="1">
        <v>0.212346429876343</v>
      </c>
      <c r="R788" s="1">
        <v>0.69303654593546249</v>
      </c>
    </row>
    <row r="789" spans="1:18" x14ac:dyDescent="0.35">
      <c r="A789" t="s">
        <v>791</v>
      </c>
      <c r="B789" s="2">
        <f t="shared" si="97"/>
        <v>45535</v>
      </c>
      <c r="C789" s="3">
        <f t="shared" si="103"/>
        <v>-45535</v>
      </c>
      <c r="D789">
        <f t="shared" si="98"/>
        <v>689</v>
      </c>
      <c r="E789">
        <f t="shared" si="99"/>
        <v>23</v>
      </c>
      <c r="F789">
        <f t="shared" si="100"/>
        <v>2</v>
      </c>
      <c r="G789">
        <f t="shared" si="104"/>
        <v>2</v>
      </c>
      <c r="H789">
        <f t="shared" si="101"/>
        <v>2</v>
      </c>
      <c r="I789" s="4" t="str">
        <f t="shared" si="102"/>
        <v>222</v>
      </c>
      <c r="Q789" s="1">
        <v>0.21599192796230704</v>
      </c>
      <c r="R789" s="1">
        <v>0.44470587159240216</v>
      </c>
    </row>
    <row r="790" spans="1:18" x14ac:dyDescent="0.35">
      <c r="A790" t="s">
        <v>792</v>
      </c>
      <c r="B790" s="2">
        <f t="shared" si="97"/>
        <v>45573</v>
      </c>
      <c r="C790" s="3">
        <f t="shared" si="103"/>
        <v>-45573</v>
      </c>
      <c r="D790">
        <f t="shared" si="98"/>
        <v>791</v>
      </c>
      <c r="E790">
        <f t="shared" si="99"/>
        <v>26</v>
      </c>
      <c r="F790">
        <f t="shared" si="100"/>
        <v>4</v>
      </c>
      <c r="G790">
        <f t="shared" si="104"/>
        <v>4</v>
      </c>
      <c r="H790">
        <f t="shared" si="101"/>
        <v>4</v>
      </c>
      <c r="I790" s="4" t="str">
        <f t="shared" si="102"/>
        <v>444</v>
      </c>
      <c r="Q790" s="1">
        <v>0.33432320681923455</v>
      </c>
      <c r="R790" s="1">
        <v>0.51417115140134861</v>
      </c>
    </row>
    <row r="791" spans="1:18" x14ac:dyDescent="0.35">
      <c r="A791" t="s">
        <v>793</v>
      </c>
      <c r="B791" s="2">
        <f t="shared" si="97"/>
        <v>45727</v>
      </c>
      <c r="C791" s="3">
        <f t="shared" si="103"/>
        <v>-45727</v>
      </c>
      <c r="D791">
        <f t="shared" si="98"/>
        <v>1202</v>
      </c>
      <c r="E791">
        <f t="shared" si="99"/>
        <v>40</v>
      </c>
      <c r="F791">
        <f t="shared" si="100"/>
        <v>5</v>
      </c>
      <c r="G791">
        <f t="shared" si="104"/>
        <v>5</v>
      </c>
      <c r="H791">
        <f t="shared" si="101"/>
        <v>5</v>
      </c>
      <c r="I791" s="4" t="str">
        <f t="shared" si="102"/>
        <v>555</v>
      </c>
      <c r="Q791" s="1">
        <v>0.81000166827685627</v>
      </c>
      <c r="R791" s="1">
        <v>0.7959593318830035</v>
      </c>
    </row>
    <row r="792" spans="1:18" x14ac:dyDescent="0.35">
      <c r="A792" t="s">
        <v>794</v>
      </c>
      <c r="B792" s="2">
        <f t="shared" si="97"/>
        <v>45787</v>
      </c>
      <c r="C792" s="3">
        <f t="shared" si="103"/>
        <v>-45787</v>
      </c>
      <c r="D792">
        <f t="shared" si="98"/>
        <v>1362</v>
      </c>
      <c r="E792">
        <f t="shared" si="99"/>
        <v>45</v>
      </c>
      <c r="F792">
        <f t="shared" si="100"/>
        <v>5</v>
      </c>
      <c r="G792">
        <f t="shared" si="104"/>
        <v>5</v>
      </c>
      <c r="H792">
        <f t="shared" si="101"/>
        <v>5</v>
      </c>
      <c r="I792" s="4" t="str">
        <f t="shared" si="102"/>
        <v>555</v>
      </c>
      <c r="Q792" s="1">
        <v>0.56352331264625044</v>
      </c>
      <c r="R792" s="1">
        <v>0.90569155558793135</v>
      </c>
    </row>
    <row r="793" spans="1:18" x14ac:dyDescent="0.35">
      <c r="A793" t="s">
        <v>795</v>
      </c>
      <c r="B793" s="2">
        <f t="shared" si="97"/>
        <v>45718</v>
      </c>
      <c r="C793" s="3">
        <f t="shared" si="103"/>
        <v>-45718</v>
      </c>
      <c r="D793">
        <f t="shared" si="98"/>
        <v>1179</v>
      </c>
      <c r="E793">
        <f t="shared" si="99"/>
        <v>39</v>
      </c>
      <c r="F793">
        <f t="shared" si="100"/>
        <v>5</v>
      </c>
      <c r="G793">
        <f t="shared" si="104"/>
        <v>4</v>
      </c>
      <c r="H793">
        <f t="shared" si="101"/>
        <v>5</v>
      </c>
      <c r="I793" s="4" t="str">
        <f t="shared" si="102"/>
        <v>545</v>
      </c>
      <c r="Q793" s="1">
        <v>0.27487098136438026</v>
      </c>
      <c r="R793" s="1">
        <v>0.7803082143967548</v>
      </c>
    </row>
    <row r="794" spans="1:18" x14ac:dyDescent="0.35">
      <c r="A794" t="s">
        <v>796</v>
      </c>
      <c r="B794" s="2">
        <f t="shared" si="97"/>
        <v>45768</v>
      </c>
      <c r="C794" s="3">
        <f t="shared" si="103"/>
        <v>-45768</v>
      </c>
      <c r="D794">
        <f t="shared" si="98"/>
        <v>1313</v>
      </c>
      <c r="E794">
        <f t="shared" si="99"/>
        <v>44</v>
      </c>
      <c r="F794">
        <f t="shared" si="100"/>
        <v>5</v>
      </c>
      <c r="G794">
        <f t="shared" si="104"/>
        <v>5</v>
      </c>
      <c r="H794">
        <f t="shared" si="101"/>
        <v>5</v>
      </c>
      <c r="I794" s="4" t="str">
        <f t="shared" si="102"/>
        <v>555</v>
      </c>
      <c r="Q794" s="1">
        <v>0.99342618407372107</v>
      </c>
      <c r="R794" s="1">
        <v>0.87182314758633361</v>
      </c>
    </row>
    <row r="795" spans="1:18" x14ac:dyDescent="0.35">
      <c r="A795" t="s">
        <v>797</v>
      </c>
      <c r="B795" s="2">
        <f t="shared" si="97"/>
        <v>45356</v>
      </c>
      <c r="C795" s="3">
        <f t="shared" si="103"/>
        <v>-45356</v>
      </c>
      <c r="D795">
        <f t="shared" si="98"/>
        <v>212</v>
      </c>
      <c r="E795">
        <f t="shared" si="99"/>
        <v>7</v>
      </c>
      <c r="F795">
        <f t="shared" si="100"/>
        <v>1</v>
      </c>
      <c r="G795">
        <f t="shared" si="104"/>
        <v>1</v>
      </c>
      <c r="H795">
        <f t="shared" si="101"/>
        <v>1</v>
      </c>
      <c r="I795" s="4" t="str">
        <f t="shared" si="102"/>
        <v>111</v>
      </c>
      <c r="Q795" s="1">
        <v>0.63941542964516718</v>
      </c>
      <c r="R795" s="1">
        <v>0.11800684998624111</v>
      </c>
    </row>
    <row r="796" spans="1:18" x14ac:dyDescent="0.35">
      <c r="A796" t="s">
        <v>798</v>
      </c>
      <c r="B796" s="2">
        <f t="shared" si="97"/>
        <v>45594</v>
      </c>
      <c r="C796" s="3">
        <f t="shared" si="103"/>
        <v>-45594</v>
      </c>
      <c r="D796">
        <f t="shared" si="98"/>
        <v>848</v>
      </c>
      <c r="E796">
        <f t="shared" si="99"/>
        <v>28</v>
      </c>
      <c r="F796">
        <f t="shared" si="100"/>
        <v>4</v>
      </c>
      <c r="G796">
        <f t="shared" si="104"/>
        <v>4</v>
      </c>
      <c r="H796">
        <f t="shared" si="101"/>
        <v>4</v>
      </c>
      <c r="I796" s="4" t="str">
        <f t="shared" si="102"/>
        <v>444</v>
      </c>
      <c r="Q796" s="1">
        <v>0.32451052161533045</v>
      </c>
      <c r="R796" s="1">
        <v>0.5536018223061403</v>
      </c>
    </row>
    <row r="797" spans="1:18" x14ac:dyDescent="0.35">
      <c r="A797" t="s">
        <v>799</v>
      </c>
      <c r="B797" s="2">
        <f t="shared" si="97"/>
        <v>45692</v>
      </c>
      <c r="C797" s="3">
        <f t="shared" si="103"/>
        <v>-45692</v>
      </c>
      <c r="D797">
        <f t="shared" si="98"/>
        <v>1109</v>
      </c>
      <c r="E797">
        <f t="shared" si="99"/>
        <v>37</v>
      </c>
      <c r="F797">
        <f t="shared" si="100"/>
        <v>4</v>
      </c>
      <c r="G797">
        <f t="shared" si="104"/>
        <v>4</v>
      </c>
      <c r="H797">
        <f t="shared" si="101"/>
        <v>4</v>
      </c>
      <c r="I797" s="4" t="str">
        <f t="shared" si="102"/>
        <v>444</v>
      </c>
      <c r="Q797" s="1">
        <v>0.55593725173426101</v>
      </c>
      <c r="R797" s="1">
        <v>0.73235738153419794</v>
      </c>
    </row>
    <row r="798" spans="1:18" x14ac:dyDescent="0.35">
      <c r="A798" t="s">
        <v>800</v>
      </c>
      <c r="B798" s="2">
        <f t="shared" si="97"/>
        <v>45490</v>
      </c>
      <c r="C798" s="3">
        <f t="shared" si="103"/>
        <v>-45490</v>
      </c>
      <c r="D798">
        <f t="shared" si="98"/>
        <v>570</v>
      </c>
      <c r="E798">
        <f t="shared" si="99"/>
        <v>19</v>
      </c>
      <c r="F798">
        <f t="shared" si="100"/>
        <v>2</v>
      </c>
      <c r="G798">
        <f t="shared" si="104"/>
        <v>2</v>
      </c>
      <c r="H798">
        <f t="shared" si="101"/>
        <v>2</v>
      </c>
      <c r="I798" s="4" t="str">
        <f t="shared" si="102"/>
        <v>222</v>
      </c>
      <c r="Q798" s="1">
        <v>0.76758951762233618</v>
      </c>
      <c r="R798" s="1">
        <v>0.36269955593807979</v>
      </c>
    </row>
    <row r="799" spans="1:18" x14ac:dyDescent="0.35">
      <c r="A799" t="s">
        <v>801</v>
      </c>
      <c r="B799" s="2">
        <f t="shared" si="97"/>
        <v>45644</v>
      </c>
      <c r="C799" s="3">
        <f t="shared" si="103"/>
        <v>-45644</v>
      </c>
      <c r="D799">
        <f t="shared" si="98"/>
        <v>982</v>
      </c>
      <c r="E799">
        <f t="shared" si="99"/>
        <v>33</v>
      </c>
      <c r="F799">
        <f t="shared" si="100"/>
        <v>4</v>
      </c>
      <c r="G799">
        <f t="shared" si="104"/>
        <v>4</v>
      </c>
      <c r="H799">
        <f t="shared" si="101"/>
        <v>4</v>
      </c>
      <c r="I799" s="4" t="str">
        <f t="shared" si="102"/>
        <v>444</v>
      </c>
      <c r="Q799" s="1">
        <v>0.99192111984987597</v>
      </c>
      <c r="R799" s="1">
        <v>0.64552991397608883</v>
      </c>
    </row>
    <row r="800" spans="1:18" x14ac:dyDescent="0.35">
      <c r="A800" t="s">
        <v>802</v>
      </c>
      <c r="B800" s="2">
        <f t="shared" si="97"/>
        <v>45643</v>
      </c>
      <c r="C800" s="3">
        <f t="shared" si="103"/>
        <v>-45643</v>
      </c>
      <c r="D800">
        <f t="shared" si="98"/>
        <v>978</v>
      </c>
      <c r="E800">
        <f t="shared" si="99"/>
        <v>32</v>
      </c>
      <c r="F800">
        <f t="shared" si="100"/>
        <v>4</v>
      </c>
      <c r="G800">
        <f t="shared" si="104"/>
        <v>4</v>
      </c>
      <c r="H800">
        <f t="shared" si="101"/>
        <v>4</v>
      </c>
      <c r="I800" s="4" t="str">
        <f t="shared" si="102"/>
        <v>444</v>
      </c>
      <c r="Q800" s="1">
        <v>0.58853334559271298</v>
      </c>
      <c r="R800" s="1">
        <v>0.64249495838700699</v>
      </c>
    </row>
    <row r="801" spans="1:18" x14ac:dyDescent="0.35">
      <c r="A801" t="s">
        <v>803</v>
      </c>
      <c r="B801" s="2">
        <f t="shared" si="97"/>
        <v>45367</v>
      </c>
      <c r="C801" s="3">
        <f t="shared" si="103"/>
        <v>-45367</v>
      </c>
      <c r="D801">
        <f t="shared" si="98"/>
        <v>241</v>
      </c>
      <c r="E801">
        <f t="shared" si="99"/>
        <v>8</v>
      </c>
      <c r="F801">
        <f t="shared" si="100"/>
        <v>1</v>
      </c>
      <c r="G801">
        <f t="shared" si="104"/>
        <v>1</v>
      </c>
      <c r="H801">
        <f t="shared" si="101"/>
        <v>1</v>
      </c>
      <c r="I801" s="4" t="str">
        <f t="shared" si="102"/>
        <v>111</v>
      </c>
      <c r="Q801" s="1">
        <v>0.91934031069364619</v>
      </c>
      <c r="R801" s="1">
        <v>0.13787145589466188</v>
      </c>
    </row>
    <row r="802" spans="1:18" x14ac:dyDescent="0.35">
      <c r="A802" t="s">
        <v>804</v>
      </c>
      <c r="B802" s="2">
        <f t="shared" si="97"/>
        <v>45490</v>
      </c>
      <c r="C802" s="3">
        <f t="shared" si="103"/>
        <v>-45490</v>
      </c>
      <c r="D802">
        <f t="shared" si="98"/>
        <v>569</v>
      </c>
      <c r="E802">
        <f t="shared" si="99"/>
        <v>19</v>
      </c>
      <c r="F802">
        <f t="shared" si="100"/>
        <v>2</v>
      </c>
      <c r="G802">
        <f t="shared" si="104"/>
        <v>2</v>
      </c>
      <c r="H802">
        <f t="shared" si="101"/>
        <v>2</v>
      </c>
      <c r="I802" s="4" t="str">
        <f t="shared" si="102"/>
        <v>222</v>
      </c>
      <c r="Q802" s="1">
        <v>0.17612923320228657</v>
      </c>
      <c r="R802" s="1">
        <v>0.36211410351642637</v>
      </c>
    </row>
    <row r="803" spans="1:18" x14ac:dyDescent="0.35">
      <c r="A803" t="s">
        <v>805</v>
      </c>
      <c r="B803" s="2">
        <f t="shared" si="97"/>
        <v>45770</v>
      </c>
      <c r="C803" s="3">
        <f t="shared" si="103"/>
        <v>-45770</v>
      </c>
      <c r="D803">
        <f t="shared" si="98"/>
        <v>1317</v>
      </c>
      <c r="E803">
        <f t="shared" si="99"/>
        <v>44</v>
      </c>
      <c r="F803">
        <f t="shared" si="100"/>
        <v>5</v>
      </c>
      <c r="G803">
        <f t="shared" si="104"/>
        <v>5</v>
      </c>
      <c r="H803">
        <f t="shared" si="101"/>
        <v>5</v>
      </c>
      <c r="I803" s="4" t="str">
        <f t="shared" si="102"/>
        <v>555</v>
      </c>
      <c r="Q803" s="1">
        <v>0.26658367655160053</v>
      </c>
      <c r="R803" s="1">
        <v>0.874795170246502</v>
      </c>
    </row>
    <row r="804" spans="1:18" x14ac:dyDescent="0.35">
      <c r="A804" t="s">
        <v>806</v>
      </c>
      <c r="B804" s="2">
        <f t="shared" si="97"/>
        <v>45590</v>
      </c>
      <c r="C804" s="3">
        <f t="shared" si="103"/>
        <v>-45590</v>
      </c>
      <c r="D804">
        <f t="shared" si="98"/>
        <v>836</v>
      </c>
      <c r="E804">
        <f t="shared" si="99"/>
        <v>28</v>
      </c>
      <c r="F804">
        <f t="shared" si="100"/>
        <v>4</v>
      </c>
      <c r="G804">
        <f t="shared" si="104"/>
        <v>4</v>
      </c>
      <c r="H804">
        <f t="shared" si="101"/>
        <v>4</v>
      </c>
      <c r="I804" s="4" t="str">
        <f t="shared" si="102"/>
        <v>444</v>
      </c>
      <c r="Q804" s="1">
        <v>0.64066666554834029</v>
      </c>
      <c r="R804" s="1">
        <v>0.54495789990745924</v>
      </c>
    </row>
    <row r="805" spans="1:18" x14ac:dyDescent="0.35">
      <c r="A805" t="s">
        <v>807</v>
      </c>
      <c r="B805" s="2">
        <f t="shared" si="97"/>
        <v>45508</v>
      </c>
      <c r="C805" s="3">
        <f t="shared" si="103"/>
        <v>-45508</v>
      </c>
      <c r="D805">
        <f t="shared" si="98"/>
        <v>618</v>
      </c>
      <c r="E805">
        <f t="shared" si="99"/>
        <v>20</v>
      </c>
      <c r="F805">
        <f t="shared" si="100"/>
        <v>2</v>
      </c>
      <c r="G805">
        <f t="shared" si="104"/>
        <v>2</v>
      </c>
      <c r="H805">
        <f t="shared" si="101"/>
        <v>2</v>
      </c>
      <c r="I805" s="4" t="str">
        <f t="shared" si="102"/>
        <v>222</v>
      </c>
      <c r="Q805" s="1">
        <v>3.5242905679380487E-2</v>
      </c>
      <c r="R805" s="1">
        <v>0.39589726599060082</v>
      </c>
    </row>
    <row r="806" spans="1:18" x14ac:dyDescent="0.35">
      <c r="A806" t="s">
        <v>808</v>
      </c>
      <c r="B806" s="2">
        <f t="shared" si="97"/>
        <v>45715</v>
      </c>
      <c r="C806" s="3">
        <f t="shared" si="103"/>
        <v>-45715</v>
      </c>
      <c r="D806">
        <f t="shared" si="98"/>
        <v>1172</v>
      </c>
      <c r="E806">
        <f t="shared" si="99"/>
        <v>39</v>
      </c>
      <c r="F806">
        <f t="shared" si="100"/>
        <v>5</v>
      </c>
      <c r="G806">
        <f t="shared" si="104"/>
        <v>4</v>
      </c>
      <c r="H806">
        <f t="shared" si="101"/>
        <v>5</v>
      </c>
      <c r="I806" s="4" t="str">
        <f t="shared" si="102"/>
        <v>545</v>
      </c>
      <c r="Q806" s="1">
        <v>0.29029227989200723</v>
      </c>
      <c r="R806" s="1">
        <v>0.77533379600835006</v>
      </c>
    </row>
    <row r="807" spans="1:18" x14ac:dyDescent="0.35">
      <c r="A807" t="s">
        <v>809</v>
      </c>
      <c r="B807" s="2">
        <f t="shared" si="97"/>
        <v>45802</v>
      </c>
      <c r="C807" s="3">
        <f t="shared" si="103"/>
        <v>-45802</v>
      </c>
      <c r="D807">
        <f t="shared" si="98"/>
        <v>1404</v>
      </c>
      <c r="E807">
        <f t="shared" si="99"/>
        <v>47</v>
      </c>
      <c r="F807">
        <f t="shared" si="100"/>
        <v>5</v>
      </c>
      <c r="G807">
        <f t="shared" si="104"/>
        <v>5</v>
      </c>
      <c r="H807">
        <f t="shared" si="101"/>
        <v>5</v>
      </c>
      <c r="I807" s="4" t="str">
        <f t="shared" si="102"/>
        <v>555</v>
      </c>
      <c r="Q807" s="1">
        <v>0.67989821341989731</v>
      </c>
      <c r="R807" s="1">
        <v>0.9344188774986032</v>
      </c>
    </row>
    <row r="808" spans="1:18" x14ac:dyDescent="0.35">
      <c r="A808" t="s">
        <v>810</v>
      </c>
      <c r="B808" s="2">
        <f t="shared" si="97"/>
        <v>45750</v>
      </c>
      <c r="C808" s="3">
        <f t="shared" si="103"/>
        <v>-45750</v>
      </c>
      <c r="D808">
        <f t="shared" si="98"/>
        <v>1265</v>
      </c>
      <c r="E808">
        <f t="shared" si="99"/>
        <v>42</v>
      </c>
      <c r="F808">
        <f t="shared" si="100"/>
        <v>5</v>
      </c>
      <c r="G808">
        <f t="shared" si="104"/>
        <v>5</v>
      </c>
      <c r="H808">
        <f t="shared" si="101"/>
        <v>5</v>
      </c>
      <c r="I808" s="4" t="str">
        <f t="shared" si="102"/>
        <v>555</v>
      </c>
      <c r="Q808" s="1">
        <v>0.29894627365490467</v>
      </c>
      <c r="R808" s="1">
        <v>0.83927811388607376</v>
      </c>
    </row>
    <row r="809" spans="1:18" x14ac:dyDescent="0.35">
      <c r="A809" t="s">
        <v>811</v>
      </c>
      <c r="B809" s="2">
        <f t="shared" si="97"/>
        <v>45360</v>
      </c>
      <c r="C809" s="3">
        <f t="shared" si="103"/>
        <v>-45360</v>
      </c>
      <c r="D809">
        <f t="shared" si="98"/>
        <v>223</v>
      </c>
      <c r="E809">
        <f t="shared" si="99"/>
        <v>7</v>
      </c>
      <c r="F809">
        <f t="shared" si="100"/>
        <v>1</v>
      </c>
      <c r="G809">
        <f t="shared" si="104"/>
        <v>1</v>
      </c>
      <c r="H809">
        <f t="shared" si="101"/>
        <v>1</v>
      </c>
      <c r="I809" s="4" t="str">
        <f t="shared" si="102"/>
        <v>111</v>
      </c>
      <c r="Q809" s="1">
        <v>0.58774717400997201</v>
      </c>
      <c r="R809" s="1">
        <v>0.12501840196084657</v>
      </c>
    </row>
    <row r="810" spans="1:18" x14ac:dyDescent="0.35">
      <c r="A810" t="s">
        <v>812</v>
      </c>
      <c r="B810" s="2">
        <f t="shared" si="97"/>
        <v>45572</v>
      </c>
      <c r="C810" s="3">
        <f t="shared" si="103"/>
        <v>-45572</v>
      </c>
      <c r="D810">
        <f t="shared" si="98"/>
        <v>789</v>
      </c>
      <c r="E810">
        <f t="shared" si="99"/>
        <v>26</v>
      </c>
      <c r="F810">
        <f t="shared" si="100"/>
        <v>4</v>
      </c>
      <c r="G810">
        <f t="shared" si="104"/>
        <v>4</v>
      </c>
      <c r="H810">
        <f t="shared" si="101"/>
        <v>4</v>
      </c>
      <c r="I810" s="4" t="str">
        <f t="shared" si="102"/>
        <v>444</v>
      </c>
      <c r="Q810" s="1">
        <v>0.44105535082422531</v>
      </c>
      <c r="R810" s="1">
        <v>0.51314722588454931</v>
      </c>
    </row>
    <row r="811" spans="1:18" x14ac:dyDescent="0.35">
      <c r="A811" t="s">
        <v>813</v>
      </c>
      <c r="B811" s="2">
        <f t="shared" si="97"/>
        <v>45392</v>
      </c>
      <c r="C811" s="3">
        <f t="shared" si="103"/>
        <v>-45392</v>
      </c>
      <c r="D811">
        <f t="shared" si="98"/>
        <v>308</v>
      </c>
      <c r="E811">
        <f t="shared" si="99"/>
        <v>10</v>
      </c>
      <c r="F811">
        <f t="shared" si="100"/>
        <v>1</v>
      </c>
      <c r="G811">
        <f t="shared" si="104"/>
        <v>1</v>
      </c>
      <c r="H811">
        <f t="shared" si="101"/>
        <v>1</v>
      </c>
      <c r="I811" s="4" t="str">
        <f t="shared" si="102"/>
        <v>111</v>
      </c>
      <c r="Q811" s="1">
        <v>0.39063776305585152</v>
      </c>
      <c r="R811" s="1">
        <v>0.18361211314677861</v>
      </c>
    </row>
    <row r="812" spans="1:18" x14ac:dyDescent="0.35">
      <c r="A812" t="s">
        <v>814</v>
      </c>
      <c r="B812" s="2">
        <f t="shared" si="97"/>
        <v>45781</v>
      </c>
      <c r="C812" s="3">
        <f t="shared" si="103"/>
        <v>-45781</v>
      </c>
      <c r="D812">
        <f t="shared" si="98"/>
        <v>1349</v>
      </c>
      <c r="E812">
        <f t="shared" si="99"/>
        <v>45</v>
      </c>
      <c r="F812">
        <f t="shared" si="100"/>
        <v>5</v>
      </c>
      <c r="G812">
        <f t="shared" si="104"/>
        <v>5</v>
      </c>
      <c r="H812">
        <f t="shared" si="101"/>
        <v>5</v>
      </c>
      <c r="I812" s="4" t="str">
        <f t="shared" si="102"/>
        <v>555</v>
      </c>
      <c r="Q812" s="1">
        <v>0.15223841077417555</v>
      </c>
      <c r="R812" s="1">
        <v>0.89631745699269927</v>
      </c>
    </row>
    <row r="813" spans="1:18" x14ac:dyDescent="0.35">
      <c r="A813" t="s">
        <v>815</v>
      </c>
      <c r="B813" s="2">
        <f t="shared" si="97"/>
        <v>45772</v>
      </c>
      <c r="C813" s="3">
        <f t="shared" si="103"/>
        <v>-45772</v>
      </c>
      <c r="D813">
        <f t="shared" si="98"/>
        <v>1324</v>
      </c>
      <c r="E813">
        <f t="shared" si="99"/>
        <v>44</v>
      </c>
      <c r="F813">
        <f t="shared" si="100"/>
        <v>5</v>
      </c>
      <c r="G813">
        <f t="shared" si="104"/>
        <v>5</v>
      </c>
      <c r="H813">
        <f t="shared" si="101"/>
        <v>5</v>
      </c>
      <c r="I813" s="4" t="str">
        <f t="shared" si="102"/>
        <v>555</v>
      </c>
      <c r="Q813" s="1">
        <v>0.43244633146918388</v>
      </c>
      <c r="R813" s="1">
        <v>0.87912408948570409</v>
      </c>
    </row>
    <row r="814" spans="1:18" x14ac:dyDescent="0.35">
      <c r="A814" t="s">
        <v>816</v>
      </c>
      <c r="B814" s="2">
        <f t="shared" si="97"/>
        <v>45500</v>
      </c>
      <c r="C814" s="3">
        <f t="shared" si="103"/>
        <v>-45500</v>
      </c>
      <c r="D814">
        <f t="shared" si="98"/>
        <v>596</v>
      </c>
      <c r="E814">
        <f t="shared" si="99"/>
        <v>20</v>
      </c>
      <c r="F814">
        <f t="shared" si="100"/>
        <v>2</v>
      </c>
      <c r="G814">
        <f t="shared" si="104"/>
        <v>2</v>
      </c>
      <c r="H814">
        <f t="shared" si="101"/>
        <v>2</v>
      </c>
      <c r="I814" s="4" t="str">
        <f t="shared" si="102"/>
        <v>222</v>
      </c>
      <c r="Q814" s="1">
        <v>0.22080507545706696</v>
      </c>
      <c r="R814" s="1">
        <v>0.38090392228229397</v>
      </c>
    </row>
    <row r="815" spans="1:18" x14ac:dyDescent="0.35">
      <c r="A815" t="s">
        <v>817</v>
      </c>
      <c r="B815" s="2">
        <f t="shared" si="97"/>
        <v>45783</v>
      </c>
      <c r="C815" s="3">
        <f t="shared" si="103"/>
        <v>-45783</v>
      </c>
      <c r="D815">
        <f t="shared" si="98"/>
        <v>1352</v>
      </c>
      <c r="E815">
        <f t="shared" si="99"/>
        <v>45</v>
      </c>
      <c r="F815">
        <f t="shared" si="100"/>
        <v>5</v>
      </c>
      <c r="G815">
        <f t="shared" si="104"/>
        <v>5</v>
      </c>
      <c r="H815">
        <f t="shared" si="101"/>
        <v>5</v>
      </c>
      <c r="I815" s="4" t="str">
        <f t="shared" si="102"/>
        <v>555</v>
      </c>
      <c r="Q815" s="1">
        <v>0.92622457435358541</v>
      </c>
      <c r="R815" s="1">
        <v>0.89885489198932311</v>
      </c>
    </row>
    <row r="816" spans="1:18" x14ac:dyDescent="0.35">
      <c r="A816" t="s">
        <v>818</v>
      </c>
      <c r="B816" s="2">
        <f t="shared" si="97"/>
        <v>45425</v>
      </c>
      <c r="C816" s="3">
        <f t="shared" si="103"/>
        <v>-45425</v>
      </c>
      <c r="D816">
        <f t="shared" si="98"/>
        <v>394</v>
      </c>
      <c r="E816">
        <f t="shared" si="99"/>
        <v>13</v>
      </c>
      <c r="F816">
        <f t="shared" si="100"/>
        <v>2</v>
      </c>
      <c r="G816">
        <f t="shared" si="104"/>
        <v>2</v>
      </c>
      <c r="H816">
        <f t="shared" si="101"/>
        <v>2</v>
      </c>
      <c r="I816" s="4" t="str">
        <f t="shared" si="102"/>
        <v>222</v>
      </c>
      <c r="Q816" s="1">
        <v>8.5375050237516237E-2</v>
      </c>
      <c r="R816" s="1">
        <v>0.24280737534857555</v>
      </c>
    </row>
    <row r="817" spans="1:18" x14ac:dyDescent="0.35">
      <c r="A817" t="s">
        <v>819</v>
      </c>
      <c r="B817" s="2">
        <f t="shared" si="97"/>
        <v>45476</v>
      </c>
      <c r="C817" s="3">
        <f t="shared" si="103"/>
        <v>-45476</v>
      </c>
      <c r="D817">
        <f t="shared" si="98"/>
        <v>531</v>
      </c>
      <c r="E817">
        <f t="shared" si="99"/>
        <v>17</v>
      </c>
      <c r="F817">
        <f t="shared" si="100"/>
        <v>2</v>
      </c>
      <c r="G817">
        <f t="shared" si="104"/>
        <v>2</v>
      </c>
      <c r="H817">
        <f t="shared" si="101"/>
        <v>2</v>
      </c>
      <c r="I817" s="4" t="str">
        <f t="shared" si="102"/>
        <v>222</v>
      </c>
      <c r="Q817" s="1">
        <v>0.42531543106874092</v>
      </c>
      <c r="R817" s="1">
        <v>0.33640385844854592</v>
      </c>
    </row>
    <row r="818" spans="1:18" x14ac:dyDescent="0.35">
      <c r="A818" t="s">
        <v>820</v>
      </c>
      <c r="B818" s="2">
        <f t="shared" si="97"/>
        <v>45648</v>
      </c>
      <c r="C818" s="3">
        <f t="shared" si="103"/>
        <v>-45648</v>
      </c>
      <c r="D818">
        <f t="shared" si="98"/>
        <v>993</v>
      </c>
      <c r="E818">
        <f t="shared" si="99"/>
        <v>33</v>
      </c>
      <c r="F818">
        <f t="shared" si="100"/>
        <v>4</v>
      </c>
      <c r="G818">
        <f t="shared" si="104"/>
        <v>4</v>
      </c>
      <c r="H818">
        <f t="shared" si="101"/>
        <v>4</v>
      </c>
      <c r="I818" s="4" t="str">
        <f t="shared" si="102"/>
        <v>444</v>
      </c>
      <c r="Q818" s="1">
        <v>0.64668735680373501</v>
      </c>
      <c r="R818" s="1">
        <v>0.65246581084573219</v>
      </c>
    </row>
    <row r="819" spans="1:18" x14ac:dyDescent="0.35">
      <c r="A819" t="s">
        <v>821</v>
      </c>
      <c r="B819" s="2">
        <f t="shared" si="97"/>
        <v>45763</v>
      </c>
      <c r="C819" s="3">
        <f t="shared" si="103"/>
        <v>-45763</v>
      </c>
      <c r="D819">
        <f t="shared" si="98"/>
        <v>1301</v>
      </c>
      <c r="E819">
        <f t="shared" si="99"/>
        <v>43</v>
      </c>
      <c r="F819">
        <f t="shared" si="100"/>
        <v>5</v>
      </c>
      <c r="G819">
        <f t="shared" si="104"/>
        <v>5</v>
      </c>
      <c r="H819">
        <f t="shared" si="101"/>
        <v>5</v>
      </c>
      <c r="I819" s="4" t="str">
        <f t="shared" si="102"/>
        <v>555</v>
      </c>
      <c r="Q819" s="1">
        <v>0.66550409041715686</v>
      </c>
      <c r="R819" s="1">
        <v>0.8634270219918434</v>
      </c>
    </row>
    <row r="820" spans="1:18" x14ac:dyDescent="0.35">
      <c r="A820" t="s">
        <v>822</v>
      </c>
      <c r="B820" s="2">
        <f t="shared" si="97"/>
        <v>45815</v>
      </c>
      <c r="C820" s="3">
        <f t="shared" si="103"/>
        <v>-45815</v>
      </c>
      <c r="D820">
        <f t="shared" si="98"/>
        <v>1438</v>
      </c>
      <c r="E820">
        <f t="shared" si="99"/>
        <v>48</v>
      </c>
      <c r="F820">
        <f t="shared" si="100"/>
        <v>5</v>
      </c>
      <c r="G820">
        <f t="shared" si="104"/>
        <v>5</v>
      </c>
      <c r="H820">
        <f t="shared" si="101"/>
        <v>5</v>
      </c>
      <c r="I820" s="4" t="str">
        <f t="shared" si="102"/>
        <v>555</v>
      </c>
      <c r="Q820" s="1">
        <v>0.16148121076527011</v>
      </c>
      <c r="R820" s="1">
        <v>0.95736485572051178</v>
      </c>
    </row>
    <row r="821" spans="1:18" x14ac:dyDescent="0.35">
      <c r="A821" t="s">
        <v>823</v>
      </c>
      <c r="B821" s="2">
        <f t="shared" si="97"/>
        <v>45518</v>
      </c>
      <c r="C821" s="3">
        <f t="shared" si="103"/>
        <v>-45518</v>
      </c>
      <c r="D821">
        <f t="shared" si="98"/>
        <v>645</v>
      </c>
      <c r="E821">
        <f t="shared" si="99"/>
        <v>21</v>
      </c>
      <c r="F821">
        <f t="shared" si="100"/>
        <v>2</v>
      </c>
      <c r="G821">
        <f t="shared" si="104"/>
        <v>2</v>
      </c>
      <c r="H821">
        <f t="shared" si="101"/>
        <v>2</v>
      </c>
      <c r="I821" s="4" t="str">
        <f t="shared" si="102"/>
        <v>222</v>
      </c>
      <c r="Q821" s="1">
        <v>7.740937379035373E-2</v>
      </c>
      <c r="R821" s="1">
        <v>0.41450142497029274</v>
      </c>
    </row>
    <row r="822" spans="1:18" x14ac:dyDescent="0.35">
      <c r="A822" t="s">
        <v>824</v>
      </c>
      <c r="B822" s="2">
        <f t="shared" si="97"/>
        <v>45767</v>
      </c>
      <c r="C822" s="3">
        <f t="shared" si="103"/>
        <v>-45767</v>
      </c>
      <c r="D822">
        <f t="shared" si="98"/>
        <v>1311</v>
      </c>
      <c r="E822">
        <f t="shared" si="99"/>
        <v>44</v>
      </c>
      <c r="F822">
        <f t="shared" si="100"/>
        <v>5</v>
      </c>
      <c r="G822">
        <f t="shared" si="104"/>
        <v>5</v>
      </c>
      <c r="H822">
        <f t="shared" si="101"/>
        <v>5</v>
      </c>
      <c r="I822" s="4" t="str">
        <f t="shared" si="102"/>
        <v>555</v>
      </c>
      <c r="Q822" s="1">
        <v>0.46696906999202004</v>
      </c>
      <c r="R822" s="1">
        <v>0.87060957519339</v>
      </c>
    </row>
    <row r="823" spans="1:18" x14ac:dyDescent="0.35">
      <c r="A823" t="s">
        <v>825</v>
      </c>
      <c r="B823" s="2">
        <f t="shared" si="97"/>
        <v>45496</v>
      </c>
      <c r="C823" s="3">
        <f t="shared" si="103"/>
        <v>-45496</v>
      </c>
      <c r="D823">
        <f t="shared" si="98"/>
        <v>585</v>
      </c>
      <c r="E823">
        <f t="shared" si="99"/>
        <v>19</v>
      </c>
      <c r="F823">
        <f t="shared" si="100"/>
        <v>2</v>
      </c>
      <c r="G823">
        <f t="shared" si="104"/>
        <v>2</v>
      </c>
      <c r="H823">
        <f t="shared" si="101"/>
        <v>2</v>
      </c>
      <c r="I823" s="4" t="str">
        <f t="shared" si="102"/>
        <v>222</v>
      </c>
      <c r="Q823" s="1">
        <v>0.97117967889275081</v>
      </c>
      <c r="R823" s="1">
        <v>0.37325678511554661</v>
      </c>
    </row>
    <row r="824" spans="1:18" x14ac:dyDescent="0.35">
      <c r="A824" t="s">
        <v>826</v>
      </c>
      <c r="B824" s="2">
        <f t="shared" si="97"/>
        <v>45511</v>
      </c>
      <c r="C824" s="3">
        <f t="shared" si="103"/>
        <v>-45511</v>
      </c>
      <c r="D824">
        <f t="shared" si="98"/>
        <v>625</v>
      </c>
      <c r="E824">
        <f t="shared" si="99"/>
        <v>21</v>
      </c>
      <c r="F824">
        <f t="shared" si="100"/>
        <v>2</v>
      </c>
      <c r="G824">
        <f t="shared" si="104"/>
        <v>2</v>
      </c>
      <c r="H824">
        <f t="shared" si="101"/>
        <v>2</v>
      </c>
      <c r="I824" s="4" t="str">
        <f t="shared" si="102"/>
        <v>222</v>
      </c>
      <c r="Q824" s="1">
        <v>0.43973817295351547</v>
      </c>
      <c r="R824" s="1">
        <v>0.40102739299936185</v>
      </c>
    </row>
    <row r="825" spans="1:18" x14ac:dyDescent="0.35">
      <c r="A825" t="s">
        <v>827</v>
      </c>
      <c r="B825" s="2">
        <f t="shared" si="97"/>
        <v>45460</v>
      </c>
      <c r="C825" s="3">
        <f t="shared" si="103"/>
        <v>-45460</v>
      </c>
      <c r="D825">
        <f t="shared" si="98"/>
        <v>488</v>
      </c>
      <c r="E825">
        <f t="shared" si="99"/>
        <v>16</v>
      </c>
      <c r="F825">
        <f t="shared" si="100"/>
        <v>2</v>
      </c>
      <c r="G825">
        <f t="shared" si="104"/>
        <v>2</v>
      </c>
      <c r="H825">
        <f t="shared" si="101"/>
        <v>2</v>
      </c>
      <c r="I825" s="4" t="str">
        <f t="shared" si="102"/>
        <v>222</v>
      </c>
      <c r="Q825" s="1">
        <v>0.33121132227319772</v>
      </c>
      <c r="R825" s="1">
        <v>0.30700655598280957</v>
      </c>
    </row>
    <row r="826" spans="1:18" x14ac:dyDescent="0.35">
      <c r="A826" t="s">
        <v>828</v>
      </c>
      <c r="B826" s="2">
        <f t="shared" si="97"/>
        <v>45332</v>
      </c>
      <c r="C826" s="3">
        <f t="shared" si="103"/>
        <v>-45332</v>
      </c>
      <c r="D826">
        <f t="shared" si="98"/>
        <v>147</v>
      </c>
      <c r="E826">
        <f t="shared" si="99"/>
        <v>5</v>
      </c>
      <c r="F826">
        <f t="shared" si="100"/>
        <v>1</v>
      </c>
      <c r="G826">
        <f t="shared" si="104"/>
        <v>1</v>
      </c>
      <c r="H826">
        <f t="shared" si="101"/>
        <v>1</v>
      </c>
      <c r="I826" s="4" t="str">
        <f t="shared" si="102"/>
        <v>111</v>
      </c>
      <c r="Q826" s="1">
        <v>0.3332485816663</v>
      </c>
      <c r="R826" s="1">
        <v>7.3616234098612954E-2</v>
      </c>
    </row>
    <row r="827" spans="1:18" x14ac:dyDescent="0.35">
      <c r="A827" t="s">
        <v>829</v>
      </c>
      <c r="B827" s="2">
        <f t="shared" si="97"/>
        <v>45739</v>
      </c>
      <c r="C827" s="3">
        <f t="shared" si="103"/>
        <v>-45739</v>
      </c>
      <c r="D827">
        <f t="shared" si="98"/>
        <v>1236</v>
      </c>
      <c r="E827">
        <f t="shared" si="99"/>
        <v>41</v>
      </c>
      <c r="F827">
        <f t="shared" si="100"/>
        <v>5</v>
      </c>
      <c r="G827">
        <f t="shared" si="104"/>
        <v>5</v>
      </c>
      <c r="H827">
        <f t="shared" si="101"/>
        <v>5</v>
      </c>
      <c r="I827" s="4" t="str">
        <f t="shared" si="102"/>
        <v>555</v>
      </c>
      <c r="Q827" s="1">
        <v>0.16816149013085524</v>
      </c>
      <c r="R827" s="1">
        <v>0.81904745024899239</v>
      </c>
    </row>
    <row r="828" spans="1:18" x14ac:dyDescent="0.35">
      <c r="A828" t="s">
        <v>830</v>
      </c>
      <c r="B828" s="2">
        <f t="shared" si="97"/>
        <v>45357</v>
      </c>
      <c r="C828" s="3">
        <f t="shared" si="103"/>
        <v>-45357</v>
      </c>
      <c r="D828">
        <f t="shared" si="98"/>
        <v>215</v>
      </c>
      <c r="E828">
        <f t="shared" si="99"/>
        <v>7</v>
      </c>
      <c r="F828">
        <f t="shared" si="100"/>
        <v>1</v>
      </c>
      <c r="G828">
        <f t="shared" si="104"/>
        <v>1</v>
      </c>
      <c r="H828">
        <f t="shared" si="101"/>
        <v>1</v>
      </c>
      <c r="I828" s="4" t="str">
        <f t="shared" si="102"/>
        <v>111</v>
      </c>
      <c r="Q828" s="1">
        <v>1.2980888184043415E-2</v>
      </c>
      <c r="R828" s="1">
        <v>0.11964492065900878</v>
      </c>
    </row>
    <row r="829" spans="1:18" x14ac:dyDescent="0.35">
      <c r="A829" t="s">
        <v>831</v>
      </c>
      <c r="B829" s="2">
        <f t="shared" si="97"/>
        <v>45315</v>
      </c>
      <c r="C829" s="3">
        <f t="shared" si="103"/>
        <v>-45315</v>
      </c>
      <c r="D829">
        <f t="shared" si="98"/>
        <v>102</v>
      </c>
      <c r="E829">
        <f t="shared" si="99"/>
        <v>3</v>
      </c>
      <c r="F829">
        <f t="shared" si="100"/>
        <v>1</v>
      </c>
      <c r="G829">
        <f t="shared" si="104"/>
        <v>1</v>
      </c>
      <c r="H829">
        <f t="shared" si="101"/>
        <v>1</v>
      </c>
      <c r="I829" s="4" t="str">
        <f t="shared" si="102"/>
        <v>111</v>
      </c>
      <c r="Q829" s="1">
        <v>0.37532949305801222</v>
      </c>
      <c r="R829" s="1">
        <v>4.2538130908472027E-2</v>
      </c>
    </row>
    <row r="830" spans="1:18" x14ac:dyDescent="0.35">
      <c r="A830" t="s">
        <v>832</v>
      </c>
      <c r="B830" s="2">
        <f t="shared" si="97"/>
        <v>45500</v>
      </c>
      <c r="C830" s="3">
        <f t="shared" si="103"/>
        <v>-45500</v>
      </c>
      <c r="D830">
        <f t="shared" si="98"/>
        <v>596</v>
      </c>
      <c r="E830">
        <f t="shared" si="99"/>
        <v>20</v>
      </c>
      <c r="F830">
        <f t="shared" si="100"/>
        <v>2</v>
      </c>
      <c r="G830">
        <f t="shared" si="104"/>
        <v>2</v>
      </c>
      <c r="H830">
        <f t="shared" si="101"/>
        <v>2</v>
      </c>
      <c r="I830" s="4" t="str">
        <f t="shared" si="102"/>
        <v>222</v>
      </c>
      <c r="Q830" s="1">
        <v>0.22687260945792165</v>
      </c>
      <c r="R830" s="1">
        <v>0.3809063155684822</v>
      </c>
    </row>
    <row r="831" spans="1:18" x14ac:dyDescent="0.35">
      <c r="A831" t="s">
        <v>833</v>
      </c>
      <c r="B831" s="2">
        <f t="shared" si="97"/>
        <v>45472</v>
      </c>
      <c r="C831" s="3">
        <f t="shared" si="103"/>
        <v>-45472</v>
      </c>
      <c r="D831">
        <f t="shared" si="98"/>
        <v>521</v>
      </c>
      <c r="E831">
        <f t="shared" si="99"/>
        <v>17</v>
      </c>
      <c r="F831">
        <f t="shared" si="100"/>
        <v>2</v>
      </c>
      <c r="G831">
        <f t="shared" si="104"/>
        <v>2</v>
      </c>
      <c r="H831">
        <f t="shared" si="101"/>
        <v>2</v>
      </c>
      <c r="I831" s="4" t="str">
        <f t="shared" si="102"/>
        <v>222</v>
      </c>
      <c r="Q831" s="1">
        <v>0.49014483862673475</v>
      </c>
      <c r="R831" s="1">
        <v>0.32951500478586393</v>
      </c>
    </row>
    <row r="832" spans="1:18" x14ac:dyDescent="0.35">
      <c r="A832" t="s">
        <v>834</v>
      </c>
      <c r="B832" s="2">
        <f t="shared" si="97"/>
        <v>45354</v>
      </c>
      <c r="C832" s="3">
        <f t="shared" si="103"/>
        <v>-45354</v>
      </c>
      <c r="D832">
        <f t="shared" si="98"/>
        <v>207</v>
      </c>
      <c r="E832">
        <f t="shared" si="99"/>
        <v>7</v>
      </c>
      <c r="F832">
        <f t="shared" si="100"/>
        <v>1</v>
      </c>
      <c r="G832">
        <f t="shared" si="104"/>
        <v>1</v>
      </c>
      <c r="H832">
        <f t="shared" si="101"/>
        <v>1</v>
      </c>
      <c r="I832" s="4" t="str">
        <f t="shared" si="102"/>
        <v>111</v>
      </c>
      <c r="Q832" s="1">
        <v>0.52903868343597349</v>
      </c>
      <c r="R832" s="1">
        <v>0.11420222610590369</v>
      </c>
    </row>
    <row r="833" spans="1:18" x14ac:dyDescent="0.35">
      <c r="A833" t="s">
        <v>835</v>
      </c>
      <c r="B833" s="2">
        <f t="shared" si="97"/>
        <v>45535</v>
      </c>
      <c r="C833" s="3">
        <f t="shared" si="103"/>
        <v>-45535</v>
      </c>
      <c r="D833">
        <f t="shared" si="98"/>
        <v>690</v>
      </c>
      <c r="E833">
        <f t="shared" si="99"/>
        <v>23</v>
      </c>
      <c r="F833">
        <f t="shared" si="100"/>
        <v>2</v>
      </c>
      <c r="G833">
        <f t="shared" si="104"/>
        <v>2</v>
      </c>
      <c r="H833">
        <f t="shared" si="101"/>
        <v>2</v>
      </c>
      <c r="I833" s="4" t="str">
        <f t="shared" si="102"/>
        <v>222</v>
      </c>
      <c r="Q833" s="1">
        <v>0.43193861977348025</v>
      </c>
      <c r="R833" s="1">
        <v>0.44528569454670119</v>
      </c>
    </row>
    <row r="834" spans="1:18" x14ac:dyDescent="0.35">
      <c r="A834" t="s">
        <v>836</v>
      </c>
      <c r="B834" s="2">
        <f t="shared" si="97"/>
        <v>45403</v>
      </c>
      <c r="C834" s="3">
        <f t="shared" si="103"/>
        <v>-45403</v>
      </c>
      <c r="D834">
        <f t="shared" si="98"/>
        <v>336</v>
      </c>
      <c r="E834">
        <f t="shared" si="99"/>
        <v>11</v>
      </c>
      <c r="F834">
        <f t="shared" si="100"/>
        <v>1</v>
      </c>
      <c r="G834">
        <f t="shared" si="104"/>
        <v>1</v>
      </c>
      <c r="H834">
        <f t="shared" si="101"/>
        <v>1</v>
      </c>
      <c r="I834" s="4" t="str">
        <f t="shared" si="102"/>
        <v>111</v>
      </c>
      <c r="Q834" s="1">
        <v>0.32548056446664386</v>
      </c>
      <c r="R834" s="1">
        <v>0.20281441786191357</v>
      </c>
    </row>
    <row r="835" spans="1:18" x14ac:dyDescent="0.35">
      <c r="A835" t="s">
        <v>837</v>
      </c>
      <c r="B835" s="2">
        <f t="shared" ref="B835:B898" si="105">ROUND(R835*(45838-45292)+45292,0)</f>
        <v>45759</v>
      </c>
      <c r="C835" s="3">
        <f t="shared" si="103"/>
        <v>-45759</v>
      </c>
      <c r="D835">
        <f t="shared" ref="D835:D898" si="106">ROUND((R835)*(1500-40)+40,0)</f>
        <v>1289</v>
      </c>
      <c r="E835">
        <f t="shared" ref="E835:E898" si="107">ROUND((R835)*(50-1)+1,0)</f>
        <v>43</v>
      </c>
      <c r="F835">
        <f t="shared" ref="F835:F898" si="108">IF(C835&lt;=$M$4,5,IF(C835&lt;=$M$9,4,IF(C835&lt;=$M$5,3,IF(C835&lt;=$M$6,2,1))))</f>
        <v>5</v>
      </c>
      <c r="G835">
        <f t="shared" si="104"/>
        <v>5</v>
      </c>
      <c r="H835">
        <f t="shared" ref="H835:H898" si="109">IF(D835&lt;=$M$24,1,IF(D835&lt;=$M$25,2,IF(D835&lt;=$M$29,3,IF(D835&lt;=$M$26,4,5))))</f>
        <v>5</v>
      </c>
      <c r="I835" s="4" t="str">
        <f t="shared" ref="I835:I898" si="110">CONCATENATE(F835,G835,H835)</f>
        <v>555</v>
      </c>
      <c r="Q835" s="1">
        <v>0.2951936024846098</v>
      </c>
      <c r="R835" s="1">
        <v>0.85572034181479817</v>
      </c>
    </row>
    <row r="836" spans="1:18" x14ac:dyDescent="0.35">
      <c r="A836" t="s">
        <v>838</v>
      </c>
      <c r="B836" s="2">
        <f t="shared" si="105"/>
        <v>45314</v>
      </c>
      <c r="C836" s="3">
        <f t="shared" ref="C836:C899" si="111">$S$4-B836</f>
        <v>-45314</v>
      </c>
      <c r="D836">
        <f t="shared" si="106"/>
        <v>99</v>
      </c>
      <c r="E836">
        <f t="shared" si="107"/>
        <v>3</v>
      </c>
      <c r="F836">
        <f t="shared" si="108"/>
        <v>1</v>
      </c>
      <c r="G836">
        <f t="shared" ref="G836:G899" si="112">IF(E836&lt;=$M$14,1,IF(E836&lt;=$M$15,2,IF(E836&lt;=$M$19,3,IF(E836&lt;=$M$16,4,5))))</f>
        <v>1</v>
      </c>
      <c r="H836">
        <f t="shared" si="109"/>
        <v>1</v>
      </c>
      <c r="I836" s="4" t="str">
        <f t="shared" si="110"/>
        <v>111</v>
      </c>
      <c r="Q836" s="1">
        <v>0.16260605147227725</v>
      </c>
      <c r="R836" s="1">
        <v>4.042484983425787E-2</v>
      </c>
    </row>
    <row r="837" spans="1:18" x14ac:dyDescent="0.35">
      <c r="A837" t="s">
        <v>839</v>
      </c>
      <c r="B837" s="2">
        <f t="shared" si="105"/>
        <v>45496</v>
      </c>
      <c r="C837" s="3">
        <f t="shared" si="111"/>
        <v>-45496</v>
      </c>
      <c r="D837">
        <f t="shared" si="106"/>
        <v>586</v>
      </c>
      <c r="E837">
        <f t="shared" si="107"/>
        <v>19</v>
      </c>
      <c r="F837">
        <f t="shared" si="108"/>
        <v>2</v>
      </c>
      <c r="G837">
        <f t="shared" si="112"/>
        <v>2</v>
      </c>
      <c r="H837">
        <f t="shared" si="109"/>
        <v>2</v>
      </c>
      <c r="I837" s="4" t="str">
        <f t="shared" si="110"/>
        <v>222</v>
      </c>
      <c r="Q837" s="1">
        <v>0.13619789614794919</v>
      </c>
      <c r="R837" s="1">
        <v>0.37373581751737783</v>
      </c>
    </row>
    <row r="838" spans="1:18" x14ac:dyDescent="0.35">
      <c r="A838" t="s">
        <v>840</v>
      </c>
      <c r="B838" s="2">
        <f t="shared" si="105"/>
        <v>45354</v>
      </c>
      <c r="C838" s="3">
        <f t="shared" si="111"/>
        <v>-45354</v>
      </c>
      <c r="D838">
        <f t="shared" si="106"/>
        <v>207</v>
      </c>
      <c r="E838">
        <f t="shared" si="107"/>
        <v>7</v>
      </c>
      <c r="F838">
        <f t="shared" si="108"/>
        <v>1</v>
      </c>
      <c r="G838">
        <f t="shared" si="112"/>
        <v>1</v>
      </c>
      <c r="H838">
        <f t="shared" si="109"/>
        <v>1</v>
      </c>
      <c r="I838" s="4" t="str">
        <f t="shared" si="110"/>
        <v>111</v>
      </c>
      <c r="Q838" s="1">
        <v>0.91316367179191171</v>
      </c>
      <c r="R838" s="1">
        <v>0.11446280333274816</v>
      </c>
    </row>
    <row r="839" spans="1:18" x14ac:dyDescent="0.35">
      <c r="A839" t="s">
        <v>841</v>
      </c>
      <c r="B839" s="2">
        <f t="shared" si="105"/>
        <v>45524</v>
      </c>
      <c r="C839" s="3">
        <f t="shared" si="111"/>
        <v>-45524</v>
      </c>
      <c r="D839">
        <f t="shared" si="106"/>
        <v>660</v>
      </c>
      <c r="E839">
        <f t="shared" si="107"/>
        <v>22</v>
      </c>
      <c r="F839">
        <f t="shared" si="108"/>
        <v>2</v>
      </c>
      <c r="G839">
        <f t="shared" si="112"/>
        <v>2</v>
      </c>
      <c r="H839">
        <f t="shared" si="109"/>
        <v>2</v>
      </c>
      <c r="I839" s="4" t="str">
        <f t="shared" si="110"/>
        <v>222</v>
      </c>
      <c r="Q839" s="1">
        <v>0.41248347601903834</v>
      </c>
      <c r="R839" s="1">
        <v>0.42475092297107497</v>
      </c>
    </row>
    <row r="840" spans="1:18" x14ac:dyDescent="0.35">
      <c r="A840" t="s">
        <v>842</v>
      </c>
      <c r="B840" s="2">
        <f t="shared" si="105"/>
        <v>45664</v>
      </c>
      <c r="C840" s="3">
        <f t="shared" si="111"/>
        <v>-45664</v>
      </c>
      <c r="D840">
        <f t="shared" si="106"/>
        <v>1035</v>
      </c>
      <c r="E840">
        <f t="shared" si="107"/>
        <v>34</v>
      </c>
      <c r="F840">
        <f t="shared" si="108"/>
        <v>4</v>
      </c>
      <c r="G840">
        <f t="shared" si="112"/>
        <v>4</v>
      </c>
      <c r="H840">
        <f t="shared" si="109"/>
        <v>4</v>
      </c>
      <c r="I840" s="4" t="str">
        <f t="shared" si="110"/>
        <v>444</v>
      </c>
      <c r="Q840" s="1">
        <v>0.81060904967923586</v>
      </c>
      <c r="R840" s="1">
        <v>0.68165662134408156</v>
      </c>
    </row>
    <row r="841" spans="1:18" x14ac:dyDescent="0.35">
      <c r="A841" t="s">
        <v>843</v>
      </c>
      <c r="B841" s="2">
        <f t="shared" si="105"/>
        <v>45549</v>
      </c>
      <c r="C841" s="3">
        <f t="shared" si="111"/>
        <v>-45549</v>
      </c>
      <c r="D841">
        <f t="shared" si="106"/>
        <v>726</v>
      </c>
      <c r="E841">
        <f t="shared" si="107"/>
        <v>24</v>
      </c>
      <c r="F841">
        <f t="shared" si="108"/>
        <v>2</v>
      </c>
      <c r="G841">
        <f t="shared" si="112"/>
        <v>2</v>
      </c>
      <c r="H841">
        <f t="shared" si="109"/>
        <v>2</v>
      </c>
      <c r="I841" s="4" t="str">
        <f t="shared" si="110"/>
        <v>222</v>
      </c>
      <c r="Q841" s="1">
        <v>0.49695478194231335</v>
      </c>
      <c r="R841" s="1">
        <v>0.47018231679910838</v>
      </c>
    </row>
    <row r="842" spans="1:18" x14ac:dyDescent="0.35">
      <c r="A842" t="s">
        <v>844</v>
      </c>
      <c r="B842" s="2">
        <f t="shared" si="105"/>
        <v>45406</v>
      </c>
      <c r="C842" s="3">
        <f t="shared" si="111"/>
        <v>-45406</v>
      </c>
      <c r="D842">
        <f t="shared" si="106"/>
        <v>344</v>
      </c>
      <c r="E842">
        <f t="shared" si="107"/>
        <v>11</v>
      </c>
      <c r="F842">
        <f t="shared" si="108"/>
        <v>1</v>
      </c>
      <c r="G842">
        <f t="shared" si="112"/>
        <v>1</v>
      </c>
      <c r="H842">
        <f t="shared" si="109"/>
        <v>1</v>
      </c>
      <c r="I842" s="4" t="str">
        <f t="shared" si="110"/>
        <v>111</v>
      </c>
      <c r="Q842" s="1">
        <v>0.32716099958173483</v>
      </c>
      <c r="R842" s="1">
        <v>0.20796754510334114</v>
      </c>
    </row>
    <row r="843" spans="1:18" x14ac:dyDescent="0.35">
      <c r="A843" t="s">
        <v>845</v>
      </c>
      <c r="B843" s="2">
        <f t="shared" si="105"/>
        <v>45818</v>
      </c>
      <c r="C843" s="3">
        <f t="shared" si="111"/>
        <v>-45818</v>
      </c>
      <c r="D843">
        <f t="shared" si="106"/>
        <v>1445</v>
      </c>
      <c r="E843">
        <f t="shared" si="107"/>
        <v>48</v>
      </c>
      <c r="F843">
        <f t="shared" si="108"/>
        <v>5</v>
      </c>
      <c r="G843">
        <f t="shared" si="112"/>
        <v>5</v>
      </c>
      <c r="H843">
        <f t="shared" si="109"/>
        <v>5</v>
      </c>
      <c r="I843" s="4" t="str">
        <f t="shared" si="110"/>
        <v>555</v>
      </c>
      <c r="Q843" s="1">
        <v>0.70802113076639894</v>
      </c>
      <c r="R843" s="1">
        <v>0.96251680760726099</v>
      </c>
    </row>
    <row r="844" spans="1:18" x14ac:dyDescent="0.35">
      <c r="A844" t="s">
        <v>846</v>
      </c>
      <c r="B844" s="2">
        <f t="shared" si="105"/>
        <v>45728</v>
      </c>
      <c r="C844" s="3">
        <f t="shared" si="111"/>
        <v>-45728</v>
      </c>
      <c r="D844">
        <f t="shared" si="106"/>
        <v>1206</v>
      </c>
      <c r="E844">
        <f t="shared" si="107"/>
        <v>40</v>
      </c>
      <c r="F844">
        <f t="shared" si="108"/>
        <v>5</v>
      </c>
      <c r="G844">
        <f t="shared" si="112"/>
        <v>5</v>
      </c>
      <c r="H844">
        <f t="shared" si="109"/>
        <v>5</v>
      </c>
      <c r="I844" s="4" t="str">
        <f t="shared" si="110"/>
        <v>555</v>
      </c>
      <c r="Q844" s="1">
        <v>0.1611704152439053</v>
      </c>
      <c r="R844" s="1">
        <v>0.79842185491445272</v>
      </c>
    </row>
    <row r="845" spans="1:18" x14ac:dyDescent="0.35">
      <c r="A845" t="s">
        <v>847</v>
      </c>
      <c r="B845" s="2">
        <f t="shared" si="105"/>
        <v>45824</v>
      </c>
      <c r="C845" s="3">
        <f t="shared" si="111"/>
        <v>-45824</v>
      </c>
      <c r="D845">
        <f t="shared" si="106"/>
        <v>1462</v>
      </c>
      <c r="E845">
        <f t="shared" si="107"/>
        <v>49</v>
      </c>
      <c r="F845">
        <f t="shared" si="108"/>
        <v>5</v>
      </c>
      <c r="G845">
        <f t="shared" si="112"/>
        <v>5</v>
      </c>
      <c r="H845">
        <f t="shared" si="109"/>
        <v>5</v>
      </c>
      <c r="I845" s="4" t="str">
        <f t="shared" si="110"/>
        <v>555</v>
      </c>
      <c r="Q845" s="1">
        <v>0.92714652191341385</v>
      </c>
      <c r="R845" s="1">
        <v>0.97390337606237321</v>
      </c>
    </row>
    <row r="846" spans="1:18" x14ac:dyDescent="0.35">
      <c r="A846" t="s">
        <v>848</v>
      </c>
      <c r="B846" s="2">
        <f t="shared" si="105"/>
        <v>45803</v>
      </c>
      <c r="C846" s="3">
        <f t="shared" si="111"/>
        <v>-45803</v>
      </c>
      <c r="D846">
        <f t="shared" si="106"/>
        <v>1406</v>
      </c>
      <c r="E846">
        <f t="shared" si="107"/>
        <v>47</v>
      </c>
      <c r="F846">
        <f t="shared" si="108"/>
        <v>5</v>
      </c>
      <c r="G846">
        <f t="shared" si="112"/>
        <v>5</v>
      </c>
      <c r="H846">
        <f t="shared" si="109"/>
        <v>5</v>
      </c>
      <c r="I846" s="4" t="str">
        <f t="shared" si="110"/>
        <v>555</v>
      </c>
      <c r="Q846" s="1">
        <v>0.74850113651674099</v>
      </c>
      <c r="R846" s="1">
        <v>0.93573066504719893</v>
      </c>
    </row>
    <row r="847" spans="1:18" x14ac:dyDescent="0.35">
      <c r="A847" t="s">
        <v>849</v>
      </c>
      <c r="B847" s="2">
        <f t="shared" si="105"/>
        <v>45824</v>
      </c>
      <c r="C847" s="3">
        <f t="shared" si="111"/>
        <v>-45824</v>
      </c>
      <c r="D847">
        <f t="shared" si="106"/>
        <v>1462</v>
      </c>
      <c r="E847">
        <f t="shared" si="107"/>
        <v>49</v>
      </c>
      <c r="F847">
        <f t="shared" si="108"/>
        <v>5</v>
      </c>
      <c r="G847">
        <f t="shared" si="112"/>
        <v>5</v>
      </c>
      <c r="H847">
        <f t="shared" si="109"/>
        <v>5</v>
      </c>
      <c r="I847" s="4" t="str">
        <f t="shared" si="110"/>
        <v>555</v>
      </c>
      <c r="Q847" s="1">
        <v>0.71340744910090548</v>
      </c>
      <c r="R847" s="1">
        <v>0.97425210807208462</v>
      </c>
    </row>
    <row r="848" spans="1:18" x14ac:dyDescent="0.35">
      <c r="A848" t="s">
        <v>850</v>
      </c>
      <c r="B848" s="2">
        <f t="shared" si="105"/>
        <v>45808</v>
      </c>
      <c r="C848" s="3">
        <f t="shared" si="111"/>
        <v>-45808</v>
      </c>
      <c r="D848">
        <f t="shared" si="106"/>
        <v>1421</v>
      </c>
      <c r="E848">
        <f t="shared" si="107"/>
        <v>47</v>
      </c>
      <c r="F848">
        <f t="shared" si="108"/>
        <v>5</v>
      </c>
      <c r="G848">
        <f t="shared" si="112"/>
        <v>5</v>
      </c>
      <c r="H848">
        <f t="shared" si="109"/>
        <v>5</v>
      </c>
      <c r="I848" s="4" t="str">
        <f t="shared" si="110"/>
        <v>555</v>
      </c>
      <c r="Q848" s="1">
        <v>0.36023127378352238</v>
      </c>
      <c r="R848" s="1">
        <v>0.94579739332297263</v>
      </c>
    </row>
    <row r="849" spans="1:18" x14ac:dyDescent="0.35">
      <c r="A849" t="s">
        <v>851</v>
      </c>
      <c r="B849" s="2">
        <f t="shared" si="105"/>
        <v>45381</v>
      </c>
      <c r="C849" s="3">
        <f t="shared" si="111"/>
        <v>-45381</v>
      </c>
      <c r="D849">
        <f t="shared" si="106"/>
        <v>279</v>
      </c>
      <c r="E849">
        <f t="shared" si="107"/>
        <v>9</v>
      </c>
      <c r="F849">
        <f t="shared" si="108"/>
        <v>1</v>
      </c>
      <c r="G849">
        <f t="shared" si="112"/>
        <v>1</v>
      </c>
      <c r="H849">
        <f t="shared" si="109"/>
        <v>1</v>
      </c>
      <c r="I849" s="4" t="str">
        <f t="shared" si="110"/>
        <v>111</v>
      </c>
      <c r="Q849" s="1">
        <v>0.13738601343946677</v>
      </c>
      <c r="R849" s="1">
        <v>0.16336674383659355</v>
      </c>
    </row>
    <row r="850" spans="1:18" x14ac:dyDescent="0.35">
      <c r="A850" t="s">
        <v>852</v>
      </c>
      <c r="B850" s="2">
        <f t="shared" si="105"/>
        <v>45594</v>
      </c>
      <c r="C850" s="3">
        <f t="shared" si="111"/>
        <v>-45594</v>
      </c>
      <c r="D850">
        <f t="shared" si="106"/>
        <v>846</v>
      </c>
      <c r="E850">
        <f t="shared" si="107"/>
        <v>28</v>
      </c>
      <c r="F850">
        <f t="shared" si="108"/>
        <v>4</v>
      </c>
      <c r="G850">
        <f t="shared" si="112"/>
        <v>4</v>
      </c>
      <c r="H850">
        <f t="shared" si="109"/>
        <v>4</v>
      </c>
      <c r="I850" s="4" t="str">
        <f t="shared" si="110"/>
        <v>444</v>
      </c>
      <c r="Q850" s="1">
        <v>0.91256416783041605</v>
      </c>
      <c r="R850" s="1">
        <v>0.55239210887602974</v>
      </c>
    </row>
    <row r="851" spans="1:18" x14ac:dyDescent="0.35">
      <c r="A851" t="s">
        <v>853</v>
      </c>
      <c r="B851" s="2">
        <f t="shared" si="105"/>
        <v>45536</v>
      </c>
      <c r="C851" s="3">
        <f t="shared" si="111"/>
        <v>-45536</v>
      </c>
      <c r="D851">
        <f t="shared" si="106"/>
        <v>692</v>
      </c>
      <c r="E851">
        <f t="shared" si="107"/>
        <v>23</v>
      </c>
      <c r="F851">
        <f t="shared" si="108"/>
        <v>2</v>
      </c>
      <c r="G851">
        <f t="shared" si="112"/>
        <v>2</v>
      </c>
      <c r="H851">
        <f t="shared" si="109"/>
        <v>2</v>
      </c>
      <c r="I851" s="4" t="str">
        <f t="shared" si="110"/>
        <v>222</v>
      </c>
      <c r="Q851" s="1">
        <v>0.8812090077747039</v>
      </c>
      <c r="R851" s="1">
        <v>0.44674022426620374</v>
      </c>
    </row>
    <row r="852" spans="1:18" x14ac:dyDescent="0.35">
      <c r="A852" t="s">
        <v>854</v>
      </c>
      <c r="B852" s="2">
        <f t="shared" si="105"/>
        <v>45737</v>
      </c>
      <c r="C852" s="3">
        <f t="shared" si="111"/>
        <v>-45737</v>
      </c>
      <c r="D852">
        <f t="shared" si="106"/>
        <v>1231</v>
      </c>
      <c r="E852">
        <f t="shared" si="107"/>
        <v>41</v>
      </c>
      <c r="F852">
        <f t="shared" si="108"/>
        <v>5</v>
      </c>
      <c r="G852">
        <f t="shared" si="112"/>
        <v>5</v>
      </c>
      <c r="H852">
        <f t="shared" si="109"/>
        <v>5</v>
      </c>
      <c r="I852" s="4" t="str">
        <f t="shared" si="110"/>
        <v>555</v>
      </c>
      <c r="Q852" s="1">
        <v>0.20576152189130137</v>
      </c>
      <c r="R852" s="1">
        <v>0.81567821683097774</v>
      </c>
    </row>
    <row r="853" spans="1:18" x14ac:dyDescent="0.35">
      <c r="A853" t="s">
        <v>855</v>
      </c>
      <c r="B853" s="2">
        <f t="shared" si="105"/>
        <v>45798</v>
      </c>
      <c r="C853" s="3">
        <f t="shared" si="111"/>
        <v>-45798</v>
      </c>
      <c r="D853">
        <f t="shared" si="106"/>
        <v>1392</v>
      </c>
      <c r="E853">
        <f t="shared" si="107"/>
        <v>46</v>
      </c>
      <c r="F853">
        <f t="shared" si="108"/>
        <v>5</v>
      </c>
      <c r="G853">
        <f t="shared" si="112"/>
        <v>5</v>
      </c>
      <c r="H853">
        <f t="shared" si="109"/>
        <v>5</v>
      </c>
      <c r="I853" s="4" t="str">
        <f t="shared" si="110"/>
        <v>555</v>
      </c>
      <c r="Q853" s="1">
        <v>0.525394577997079</v>
      </c>
      <c r="R853" s="1">
        <v>0.92625132815758204</v>
      </c>
    </row>
    <row r="854" spans="1:18" x14ac:dyDescent="0.35">
      <c r="A854" t="s">
        <v>856</v>
      </c>
      <c r="B854" s="2">
        <f t="shared" si="105"/>
        <v>45550</v>
      </c>
      <c r="C854" s="3">
        <f t="shared" si="111"/>
        <v>-45550</v>
      </c>
      <c r="D854">
        <f t="shared" si="106"/>
        <v>730</v>
      </c>
      <c r="E854">
        <f t="shared" si="107"/>
        <v>24</v>
      </c>
      <c r="F854">
        <f t="shared" si="108"/>
        <v>2</v>
      </c>
      <c r="G854">
        <f t="shared" si="112"/>
        <v>2</v>
      </c>
      <c r="H854">
        <f t="shared" si="109"/>
        <v>2</v>
      </c>
      <c r="I854" s="4" t="str">
        <f t="shared" si="110"/>
        <v>222</v>
      </c>
      <c r="Q854" s="1">
        <v>0.64930202358117395</v>
      </c>
      <c r="R854" s="1">
        <v>0.47234800088005513</v>
      </c>
    </row>
    <row r="855" spans="1:18" x14ac:dyDescent="0.35">
      <c r="A855" t="s">
        <v>857</v>
      </c>
      <c r="B855" s="2">
        <f t="shared" si="105"/>
        <v>45591</v>
      </c>
      <c r="C855" s="3">
        <f t="shared" si="111"/>
        <v>-45591</v>
      </c>
      <c r="D855">
        <f t="shared" si="106"/>
        <v>840</v>
      </c>
      <c r="E855">
        <f t="shared" si="107"/>
        <v>28</v>
      </c>
      <c r="F855">
        <f t="shared" si="108"/>
        <v>4</v>
      </c>
      <c r="G855">
        <f t="shared" si="112"/>
        <v>4</v>
      </c>
      <c r="H855">
        <f t="shared" si="109"/>
        <v>4</v>
      </c>
      <c r="I855" s="4" t="str">
        <f t="shared" si="110"/>
        <v>444</v>
      </c>
      <c r="Q855" s="1">
        <v>0.74875261367827917</v>
      </c>
      <c r="R855" s="1">
        <v>0.54792562845050685</v>
      </c>
    </row>
    <row r="856" spans="1:18" x14ac:dyDescent="0.35">
      <c r="A856" t="s">
        <v>858</v>
      </c>
      <c r="B856" s="2">
        <f t="shared" si="105"/>
        <v>45565</v>
      </c>
      <c r="C856" s="3">
        <f t="shared" si="111"/>
        <v>-45565</v>
      </c>
      <c r="D856">
        <f t="shared" si="106"/>
        <v>770</v>
      </c>
      <c r="E856">
        <f t="shared" si="107"/>
        <v>26</v>
      </c>
      <c r="F856">
        <f t="shared" si="108"/>
        <v>3</v>
      </c>
      <c r="G856">
        <f t="shared" si="112"/>
        <v>4</v>
      </c>
      <c r="H856">
        <f t="shared" si="109"/>
        <v>3</v>
      </c>
      <c r="I856" s="4" t="str">
        <f t="shared" si="110"/>
        <v>343</v>
      </c>
      <c r="Q856" s="1">
        <v>0.55380135170081235</v>
      </c>
      <c r="R856" s="1">
        <v>0.50017166255447487</v>
      </c>
    </row>
    <row r="857" spans="1:18" x14ac:dyDescent="0.35">
      <c r="A857" t="s">
        <v>859</v>
      </c>
      <c r="B857" s="2">
        <f t="shared" si="105"/>
        <v>45807</v>
      </c>
      <c r="C857" s="3">
        <f t="shared" si="111"/>
        <v>-45807</v>
      </c>
      <c r="D857">
        <f t="shared" si="106"/>
        <v>1418</v>
      </c>
      <c r="E857">
        <f t="shared" si="107"/>
        <v>47</v>
      </c>
      <c r="F857">
        <f t="shared" si="108"/>
        <v>5</v>
      </c>
      <c r="G857">
        <f t="shared" si="112"/>
        <v>5</v>
      </c>
      <c r="H857">
        <f t="shared" si="109"/>
        <v>5</v>
      </c>
      <c r="I857" s="4" t="str">
        <f t="shared" si="110"/>
        <v>555</v>
      </c>
      <c r="Q857" s="1">
        <v>0.8286487787139929</v>
      </c>
      <c r="R857" s="1">
        <v>0.94388063595222127</v>
      </c>
    </row>
    <row r="858" spans="1:18" x14ac:dyDescent="0.35">
      <c r="A858" t="s">
        <v>860</v>
      </c>
      <c r="B858" s="2">
        <f t="shared" si="105"/>
        <v>45803</v>
      </c>
      <c r="C858" s="3">
        <f t="shared" si="111"/>
        <v>-45803</v>
      </c>
      <c r="D858">
        <f t="shared" si="106"/>
        <v>1408</v>
      </c>
      <c r="E858">
        <f t="shared" si="107"/>
        <v>47</v>
      </c>
      <c r="F858">
        <f t="shared" si="108"/>
        <v>5</v>
      </c>
      <c r="G858">
        <f t="shared" si="112"/>
        <v>5</v>
      </c>
      <c r="H858">
        <f t="shared" si="109"/>
        <v>5</v>
      </c>
      <c r="I858" s="4" t="str">
        <f t="shared" si="110"/>
        <v>555</v>
      </c>
      <c r="Q858" s="1">
        <v>0.58644921507328585</v>
      </c>
      <c r="R858" s="1">
        <v>0.93668110961955753</v>
      </c>
    </row>
    <row r="859" spans="1:18" x14ac:dyDescent="0.35">
      <c r="A859" t="s">
        <v>861</v>
      </c>
      <c r="B859" s="2">
        <f t="shared" si="105"/>
        <v>45672</v>
      </c>
      <c r="C859" s="3">
        <f t="shared" si="111"/>
        <v>-45672</v>
      </c>
      <c r="D859">
        <f t="shared" si="106"/>
        <v>1057</v>
      </c>
      <c r="E859">
        <f t="shared" si="107"/>
        <v>35</v>
      </c>
      <c r="F859">
        <f t="shared" si="108"/>
        <v>4</v>
      </c>
      <c r="G859">
        <f t="shared" si="112"/>
        <v>4</v>
      </c>
      <c r="H859">
        <f t="shared" si="109"/>
        <v>4</v>
      </c>
      <c r="I859" s="4" t="str">
        <f t="shared" si="110"/>
        <v>444</v>
      </c>
      <c r="Q859" s="1">
        <v>0.77786466261621334</v>
      </c>
      <c r="R859" s="1">
        <v>0.69661182310209246</v>
      </c>
    </row>
    <row r="860" spans="1:18" x14ac:dyDescent="0.35">
      <c r="A860" t="s">
        <v>862</v>
      </c>
      <c r="B860" s="2">
        <f t="shared" si="105"/>
        <v>45476</v>
      </c>
      <c r="C860" s="3">
        <f t="shared" si="111"/>
        <v>-45476</v>
      </c>
      <c r="D860">
        <f t="shared" si="106"/>
        <v>533</v>
      </c>
      <c r="E860">
        <f t="shared" si="107"/>
        <v>18</v>
      </c>
      <c r="F860">
        <f t="shared" si="108"/>
        <v>2</v>
      </c>
      <c r="G860">
        <f t="shared" si="112"/>
        <v>2</v>
      </c>
      <c r="H860">
        <f t="shared" si="109"/>
        <v>2</v>
      </c>
      <c r="I860" s="4" t="str">
        <f t="shared" si="110"/>
        <v>222</v>
      </c>
      <c r="Q860" s="1">
        <v>0.22736966203660802</v>
      </c>
      <c r="R860" s="1">
        <v>0.33778873339201609</v>
      </c>
    </row>
    <row r="861" spans="1:18" x14ac:dyDescent="0.35">
      <c r="A861" t="s">
        <v>863</v>
      </c>
      <c r="B861" s="2">
        <f t="shared" si="105"/>
        <v>45367</v>
      </c>
      <c r="C861" s="3">
        <f t="shared" si="111"/>
        <v>-45367</v>
      </c>
      <c r="D861">
        <f t="shared" si="106"/>
        <v>240</v>
      </c>
      <c r="E861">
        <f t="shared" si="107"/>
        <v>8</v>
      </c>
      <c r="F861">
        <f t="shared" si="108"/>
        <v>1</v>
      </c>
      <c r="G861">
        <f t="shared" si="112"/>
        <v>1</v>
      </c>
      <c r="H861">
        <f t="shared" si="109"/>
        <v>1</v>
      </c>
      <c r="I861" s="4" t="str">
        <f t="shared" si="110"/>
        <v>111</v>
      </c>
      <c r="Q861" s="1">
        <v>0.89516082420536058</v>
      </c>
      <c r="R861" s="1">
        <v>0.13709535355734981</v>
      </c>
    </row>
    <row r="862" spans="1:18" x14ac:dyDescent="0.35">
      <c r="A862" t="s">
        <v>864</v>
      </c>
      <c r="B862" s="2">
        <f t="shared" si="105"/>
        <v>45530</v>
      </c>
      <c r="C862" s="3">
        <f t="shared" si="111"/>
        <v>-45530</v>
      </c>
      <c r="D862">
        <f t="shared" si="106"/>
        <v>675</v>
      </c>
      <c r="E862">
        <f t="shared" si="107"/>
        <v>22</v>
      </c>
      <c r="F862">
        <f t="shared" si="108"/>
        <v>2</v>
      </c>
      <c r="G862">
        <f t="shared" si="112"/>
        <v>2</v>
      </c>
      <c r="H862">
        <f t="shared" si="109"/>
        <v>2</v>
      </c>
      <c r="I862" s="4" t="str">
        <f t="shared" si="110"/>
        <v>222</v>
      </c>
      <c r="Q862" s="1">
        <v>0.27180571010797949</v>
      </c>
      <c r="R862" s="1">
        <v>0.43526788352158885</v>
      </c>
    </row>
    <row r="863" spans="1:18" x14ac:dyDescent="0.35">
      <c r="A863" t="s">
        <v>865</v>
      </c>
      <c r="B863" s="2">
        <f t="shared" si="105"/>
        <v>45731</v>
      </c>
      <c r="C863" s="3">
        <f t="shared" si="111"/>
        <v>-45731</v>
      </c>
      <c r="D863">
        <f t="shared" si="106"/>
        <v>1214</v>
      </c>
      <c r="E863">
        <f t="shared" si="107"/>
        <v>40</v>
      </c>
      <c r="F863">
        <f t="shared" si="108"/>
        <v>5</v>
      </c>
      <c r="G863">
        <f t="shared" si="112"/>
        <v>5</v>
      </c>
      <c r="H863">
        <f t="shared" si="109"/>
        <v>5</v>
      </c>
      <c r="I863" s="4" t="str">
        <f t="shared" si="110"/>
        <v>555</v>
      </c>
      <c r="Q863" s="1">
        <v>0.30361325750206403</v>
      </c>
      <c r="R863" s="1">
        <v>0.8043082985441401</v>
      </c>
    </row>
    <row r="864" spans="1:18" x14ac:dyDescent="0.35">
      <c r="A864" t="s">
        <v>866</v>
      </c>
      <c r="B864" s="2">
        <f t="shared" si="105"/>
        <v>45536</v>
      </c>
      <c r="C864" s="3">
        <f t="shared" si="111"/>
        <v>-45536</v>
      </c>
      <c r="D864">
        <f t="shared" si="106"/>
        <v>692</v>
      </c>
      <c r="E864">
        <f t="shared" si="107"/>
        <v>23</v>
      </c>
      <c r="F864">
        <f t="shared" si="108"/>
        <v>2</v>
      </c>
      <c r="G864">
        <f t="shared" si="112"/>
        <v>2</v>
      </c>
      <c r="H864">
        <f t="shared" si="109"/>
        <v>2</v>
      </c>
      <c r="I864" s="4" t="str">
        <f t="shared" si="110"/>
        <v>222</v>
      </c>
      <c r="Q864" s="1">
        <v>0.56432073276395134</v>
      </c>
      <c r="R864" s="1">
        <v>0.44680790998100905</v>
      </c>
    </row>
    <row r="865" spans="1:18" x14ac:dyDescent="0.35">
      <c r="A865" t="s">
        <v>867</v>
      </c>
      <c r="B865" s="2">
        <f t="shared" si="105"/>
        <v>45761</v>
      </c>
      <c r="C865" s="3">
        <f t="shared" si="111"/>
        <v>-45761</v>
      </c>
      <c r="D865">
        <f t="shared" si="106"/>
        <v>1295</v>
      </c>
      <c r="E865">
        <f t="shared" si="107"/>
        <v>43</v>
      </c>
      <c r="F865">
        <f t="shared" si="108"/>
        <v>5</v>
      </c>
      <c r="G865">
        <f t="shared" si="112"/>
        <v>5</v>
      </c>
      <c r="H865">
        <f t="shared" si="109"/>
        <v>5</v>
      </c>
      <c r="I865" s="4" t="str">
        <f t="shared" si="110"/>
        <v>555</v>
      </c>
      <c r="Q865" s="1">
        <v>0.46413813445862462</v>
      </c>
      <c r="R865" s="1">
        <v>0.85951874010197349</v>
      </c>
    </row>
    <row r="866" spans="1:18" x14ac:dyDescent="0.35">
      <c r="A866" t="s">
        <v>868</v>
      </c>
      <c r="B866" s="2">
        <f t="shared" si="105"/>
        <v>45398</v>
      </c>
      <c r="C866" s="3">
        <f t="shared" si="111"/>
        <v>-45398</v>
      </c>
      <c r="D866">
        <f t="shared" si="106"/>
        <v>323</v>
      </c>
      <c r="E866">
        <f t="shared" si="107"/>
        <v>10</v>
      </c>
      <c r="F866">
        <f t="shared" si="108"/>
        <v>1</v>
      </c>
      <c r="G866">
        <f t="shared" si="112"/>
        <v>1</v>
      </c>
      <c r="H866">
        <f t="shared" si="109"/>
        <v>1</v>
      </c>
      <c r="I866" s="4" t="str">
        <f t="shared" si="110"/>
        <v>111</v>
      </c>
      <c r="Q866" s="1">
        <v>1.8023245100691754E-2</v>
      </c>
      <c r="R866" s="1">
        <v>0.1938294899716192</v>
      </c>
    </row>
    <row r="867" spans="1:18" x14ac:dyDescent="0.35">
      <c r="A867" t="s">
        <v>869</v>
      </c>
      <c r="B867" s="2">
        <f t="shared" si="105"/>
        <v>45826</v>
      </c>
      <c r="C867" s="3">
        <f t="shared" si="111"/>
        <v>-45826</v>
      </c>
      <c r="D867">
        <f t="shared" si="106"/>
        <v>1469</v>
      </c>
      <c r="E867">
        <f t="shared" si="107"/>
        <v>49</v>
      </c>
      <c r="F867">
        <f t="shared" si="108"/>
        <v>5</v>
      </c>
      <c r="G867">
        <f t="shared" si="112"/>
        <v>5</v>
      </c>
      <c r="H867">
        <f t="shared" si="109"/>
        <v>5</v>
      </c>
      <c r="I867" s="4" t="str">
        <f t="shared" si="110"/>
        <v>555</v>
      </c>
      <c r="Q867" s="1">
        <v>0.54277521233569648</v>
      </c>
      <c r="R867" s="1">
        <v>0.97858166241149924</v>
      </c>
    </row>
    <row r="868" spans="1:18" x14ac:dyDescent="0.35">
      <c r="A868" t="s">
        <v>870</v>
      </c>
      <c r="B868" s="2">
        <f t="shared" si="105"/>
        <v>45325</v>
      </c>
      <c r="C868" s="3">
        <f t="shared" si="111"/>
        <v>-45325</v>
      </c>
      <c r="D868">
        <f t="shared" si="106"/>
        <v>128</v>
      </c>
      <c r="E868">
        <f t="shared" si="107"/>
        <v>4</v>
      </c>
      <c r="F868">
        <f t="shared" si="108"/>
        <v>1</v>
      </c>
      <c r="G868">
        <f t="shared" si="112"/>
        <v>1</v>
      </c>
      <c r="H868">
        <f t="shared" si="109"/>
        <v>1</v>
      </c>
      <c r="I868" s="4" t="str">
        <f t="shared" si="110"/>
        <v>111</v>
      </c>
      <c r="Q868" s="1">
        <v>0.42329513963291931</v>
      </c>
      <c r="R868" s="1">
        <v>6.0111910990635287E-2</v>
      </c>
    </row>
    <row r="869" spans="1:18" x14ac:dyDescent="0.35">
      <c r="A869" t="s">
        <v>871</v>
      </c>
      <c r="B869" s="2">
        <f t="shared" si="105"/>
        <v>45451</v>
      </c>
      <c r="C869" s="3">
        <f t="shared" si="111"/>
        <v>-45451</v>
      </c>
      <c r="D869">
        <f t="shared" si="106"/>
        <v>465</v>
      </c>
      <c r="E869">
        <f t="shared" si="107"/>
        <v>15</v>
      </c>
      <c r="F869">
        <f t="shared" si="108"/>
        <v>2</v>
      </c>
      <c r="G869">
        <f t="shared" si="112"/>
        <v>2</v>
      </c>
      <c r="H869">
        <f t="shared" si="109"/>
        <v>2</v>
      </c>
      <c r="I869" s="4" t="str">
        <f t="shared" si="110"/>
        <v>222</v>
      </c>
      <c r="Q869" s="1">
        <v>4.993850243945952E-2</v>
      </c>
      <c r="R869" s="1">
        <v>0.29094170125701979</v>
      </c>
    </row>
    <row r="870" spans="1:18" x14ac:dyDescent="0.35">
      <c r="A870" t="s">
        <v>872</v>
      </c>
      <c r="B870" s="2">
        <f t="shared" si="105"/>
        <v>45431</v>
      </c>
      <c r="C870" s="3">
        <f t="shared" si="111"/>
        <v>-45431</v>
      </c>
      <c r="D870">
        <f t="shared" si="106"/>
        <v>412</v>
      </c>
      <c r="E870">
        <f t="shared" si="107"/>
        <v>13</v>
      </c>
      <c r="F870">
        <f t="shared" si="108"/>
        <v>2</v>
      </c>
      <c r="G870">
        <f t="shared" si="112"/>
        <v>2</v>
      </c>
      <c r="H870">
        <f t="shared" si="109"/>
        <v>2</v>
      </c>
      <c r="I870" s="4" t="str">
        <f t="shared" si="110"/>
        <v>222</v>
      </c>
      <c r="Q870" s="1">
        <v>0.81873209451315898</v>
      </c>
      <c r="R870" s="1">
        <v>0.2546065864069762</v>
      </c>
    </row>
    <row r="871" spans="1:18" x14ac:dyDescent="0.35">
      <c r="A871" t="s">
        <v>873</v>
      </c>
      <c r="B871" s="2">
        <f t="shared" si="105"/>
        <v>45432</v>
      </c>
      <c r="C871" s="3">
        <f t="shared" si="111"/>
        <v>-45432</v>
      </c>
      <c r="D871">
        <f t="shared" si="106"/>
        <v>416</v>
      </c>
      <c r="E871">
        <f t="shared" si="107"/>
        <v>14</v>
      </c>
      <c r="F871">
        <f t="shared" si="108"/>
        <v>2</v>
      </c>
      <c r="G871">
        <f t="shared" si="112"/>
        <v>2</v>
      </c>
      <c r="H871">
        <f t="shared" si="109"/>
        <v>2</v>
      </c>
      <c r="I871" s="4" t="str">
        <f t="shared" si="110"/>
        <v>222</v>
      </c>
      <c r="Q871" s="1">
        <v>0.19842698537887171</v>
      </c>
      <c r="R871" s="1">
        <v>0.25726363076551217</v>
      </c>
    </row>
    <row r="872" spans="1:18" x14ac:dyDescent="0.35">
      <c r="A872" t="s">
        <v>874</v>
      </c>
      <c r="B872" s="2">
        <f t="shared" si="105"/>
        <v>45391</v>
      </c>
      <c r="C872" s="3">
        <f t="shared" si="111"/>
        <v>-45391</v>
      </c>
      <c r="D872">
        <f t="shared" si="106"/>
        <v>305</v>
      </c>
      <c r="E872">
        <f t="shared" si="107"/>
        <v>10</v>
      </c>
      <c r="F872">
        <f t="shared" si="108"/>
        <v>1</v>
      </c>
      <c r="G872">
        <f t="shared" si="112"/>
        <v>1</v>
      </c>
      <c r="H872">
        <f t="shared" si="109"/>
        <v>1</v>
      </c>
      <c r="I872" s="4" t="str">
        <f t="shared" si="110"/>
        <v>111</v>
      </c>
      <c r="Q872" s="1">
        <v>0.25884657531133271</v>
      </c>
      <c r="R872" s="1">
        <v>0.1816064903365805</v>
      </c>
    </row>
    <row r="873" spans="1:18" x14ac:dyDescent="0.35">
      <c r="A873" t="s">
        <v>875</v>
      </c>
      <c r="B873" s="2">
        <f t="shared" si="105"/>
        <v>45515</v>
      </c>
      <c r="C873" s="3">
        <f t="shared" si="111"/>
        <v>-45515</v>
      </c>
      <c r="D873">
        <f t="shared" si="106"/>
        <v>636</v>
      </c>
      <c r="E873">
        <f t="shared" si="107"/>
        <v>21</v>
      </c>
      <c r="F873">
        <f t="shared" si="108"/>
        <v>2</v>
      </c>
      <c r="G873">
        <f t="shared" si="112"/>
        <v>2</v>
      </c>
      <c r="H873">
        <f t="shared" si="109"/>
        <v>2</v>
      </c>
      <c r="I873" s="4" t="str">
        <f t="shared" si="110"/>
        <v>222</v>
      </c>
      <c r="Q873" s="1">
        <v>0.67699043964401684</v>
      </c>
      <c r="R873" s="1">
        <v>0.40820006577801449</v>
      </c>
    </row>
    <row r="874" spans="1:18" x14ac:dyDescent="0.35">
      <c r="A874" t="s">
        <v>876</v>
      </c>
      <c r="B874" s="2">
        <f t="shared" si="105"/>
        <v>45828</v>
      </c>
      <c r="C874" s="3">
        <f t="shared" si="111"/>
        <v>-45828</v>
      </c>
      <c r="D874">
        <f t="shared" si="106"/>
        <v>1473</v>
      </c>
      <c r="E874">
        <f t="shared" si="107"/>
        <v>49</v>
      </c>
      <c r="F874">
        <f t="shared" si="108"/>
        <v>5</v>
      </c>
      <c r="G874">
        <f t="shared" si="112"/>
        <v>5</v>
      </c>
      <c r="H874">
        <f t="shared" si="109"/>
        <v>5</v>
      </c>
      <c r="I874" s="4" t="str">
        <f t="shared" si="110"/>
        <v>555</v>
      </c>
      <c r="Q874" s="1">
        <v>8.3502063872835652E-2</v>
      </c>
      <c r="R874" s="1">
        <v>0.98183418292314262</v>
      </c>
    </row>
    <row r="875" spans="1:18" x14ac:dyDescent="0.35">
      <c r="A875" t="s">
        <v>877</v>
      </c>
      <c r="B875" s="2">
        <f t="shared" si="105"/>
        <v>45475</v>
      </c>
      <c r="C875" s="3">
        <f t="shared" si="111"/>
        <v>-45475</v>
      </c>
      <c r="D875">
        <f t="shared" si="106"/>
        <v>528</v>
      </c>
      <c r="E875">
        <f t="shared" si="107"/>
        <v>17</v>
      </c>
      <c r="F875">
        <f t="shared" si="108"/>
        <v>2</v>
      </c>
      <c r="G875">
        <f t="shared" si="112"/>
        <v>2</v>
      </c>
      <c r="H875">
        <f t="shared" si="109"/>
        <v>2</v>
      </c>
      <c r="I875" s="4" t="str">
        <f t="shared" si="110"/>
        <v>222</v>
      </c>
      <c r="Q875" s="1">
        <v>0.73316777557876034</v>
      </c>
      <c r="R875" s="1">
        <v>0.33439297777415777</v>
      </c>
    </row>
    <row r="876" spans="1:18" x14ac:dyDescent="0.35">
      <c r="A876" t="s">
        <v>878</v>
      </c>
      <c r="B876" s="2">
        <f t="shared" si="105"/>
        <v>45737</v>
      </c>
      <c r="C876" s="3">
        <f t="shared" si="111"/>
        <v>-45737</v>
      </c>
      <c r="D876">
        <f t="shared" si="106"/>
        <v>1231</v>
      </c>
      <c r="E876">
        <f t="shared" si="107"/>
        <v>41</v>
      </c>
      <c r="F876">
        <f t="shared" si="108"/>
        <v>5</v>
      </c>
      <c r="G876">
        <f t="shared" si="112"/>
        <v>5</v>
      </c>
      <c r="H876">
        <f t="shared" si="109"/>
        <v>5</v>
      </c>
      <c r="I876" s="4" t="str">
        <f t="shared" si="110"/>
        <v>555</v>
      </c>
      <c r="Q876" s="1">
        <v>0.36161034592695329</v>
      </c>
      <c r="R876" s="1">
        <v>0.81557083426067734</v>
      </c>
    </row>
    <row r="877" spans="1:18" x14ac:dyDescent="0.35">
      <c r="A877" t="s">
        <v>879</v>
      </c>
      <c r="B877" s="2">
        <f t="shared" si="105"/>
        <v>45327</v>
      </c>
      <c r="C877" s="3">
        <f t="shared" si="111"/>
        <v>-45327</v>
      </c>
      <c r="D877">
        <f t="shared" si="106"/>
        <v>134</v>
      </c>
      <c r="E877">
        <f t="shared" si="107"/>
        <v>4</v>
      </c>
      <c r="F877">
        <f t="shared" si="108"/>
        <v>1</v>
      </c>
      <c r="G877">
        <f t="shared" si="112"/>
        <v>1</v>
      </c>
      <c r="H877">
        <f t="shared" si="109"/>
        <v>1</v>
      </c>
      <c r="I877" s="4" t="str">
        <f t="shared" si="110"/>
        <v>111</v>
      </c>
      <c r="Q877" s="1">
        <v>0.8021262652776725</v>
      </c>
      <c r="R877" s="1">
        <v>6.4626580110444865E-2</v>
      </c>
    </row>
    <row r="878" spans="1:18" x14ac:dyDescent="0.35">
      <c r="A878" t="s">
        <v>880</v>
      </c>
      <c r="B878" s="2">
        <f t="shared" si="105"/>
        <v>45442</v>
      </c>
      <c r="C878" s="3">
        <f t="shared" si="111"/>
        <v>-45442</v>
      </c>
      <c r="D878">
        <f t="shared" si="106"/>
        <v>442</v>
      </c>
      <c r="E878">
        <f t="shared" si="107"/>
        <v>14</v>
      </c>
      <c r="F878">
        <f t="shared" si="108"/>
        <v>2</v>
      </c>
      <c r="G878">
        <f t="shared" si="112"/>
        <v>2</v>
      </c>
      <c r="H878">
        <f t="shared" si="109"/>
        <v>2</v>
      </c>
      <c r="I878" s="4" t="str">
        <f t="shared" si="110"/>
        <v>222</v>
      </c>
      <c r="Q878" s="1">
        <v>0.12963692913365343</v>
      </c>
      <c r="R878" s="1">
        <v>0.27540375633192959</v>
      </c>
    </row>
    <row r="879" spans="1:18" x14ac:dyDescent="0.35">
      <c r="A879" t="s">
        <v>881</v>
      </c>
      <c r="B879" s="2">
        <f t="shared" si="105"/>
        <v>45298</v>
      </c>
      <c r="C879" s="3">
        <f t="shared" si="111"/>
        <v>-45298</v>
      </c>
      <c r="D879">
        <f t="shared" si="106"/>
        <v>57</v>
      </c>
      <c r="E879">
        <f t="shared" si="107"/>
        <v>2</v>
      </c>
      <c r="F879">
        <f t="shared" si="108"/>
        <v>1</v>
      </c>
      <c r="G879">
        <f t="shared" si="112"/>
        <v>1</v>
      </c>
      <c r="H879">
        <f t="shared" si="109"/>
        <v>1</v>
      </c>
      <c r="I879" s="4" t="str">
        <f t="shared" si="110"/>
        <v>111</v>
      </c>
      <c r="Q879" s="1">
        <v>0.45471654669937933</v>
      </c>
      <c r="R879" s="1">
        <v>1.1439993989948438E-2</v>
      </c>
    </row>
    <row r="880" spans="1:18" x14ac:dyDescent="0.35">
      <c r="A880" t="s">
        <v>882</v>
      </c>
      <c r="B880" s="2">
        <f t="shared" si="105"/>
        <v>45521</v>
      </c>
      <c r="C880" s="3">
        <f t="shared" si="111"/>
        <v>-45521</v>
      </c>
      <c r="D880">
        <f t="shared" si="106"/>
        <v>653</v>
      </c>
      <c r="E880">
        <f t="shared" si="107"/>
        <v>22</v>
      </c>
      <c r="F880">
        <f t="shared" si="108"/>
        <v>2</v>
      </c>
      <c r="G880">
        <f t="shared" si="112"/>
        <v>2</v>
      </c>
      <c r="H880">
        <f t="shared" si="109"/>
        <v>2</v>
      </c>
      <c r="I880" s="4" t="str">
        <f t="shared" si="110"/>
        <v>222</v>
      </c>
      <c r="Q880" s="1">
        <v>0.34378808764742885</v>
      </c>
      <c r="R880" s="1">
        <v>0.41985474154614777</v>
      </c>
    </row>
    <row r="881" spans="1:18" x14ac:dyDescent="0.35">
      <c r="A881" t="s">
        <v>883</v>
      </c>
      <c r="B881" s="2">
        <f t="shared" si="105"/>
        <v>45406</v>
      </c>
      <c r="C881" s="3">
        <f t="shared" si="111"/>
        <v>-45406</v>
      </c>
      <c r="D881">
        <f t="shared" si="106"/>
        <v>344</v>
      </c>
      <c r="E881">
        <f t="shared" si="107"/>
        <v>11</v>
      </c>
      <c r="F881">
        <f t="shared" si="108"/>
        <v>1</v>
      </c>
      <c r="G881">
        <f t="shared" si="112"/>
        <v>1</v>
      </c>
      <c r="H881">
        <f t="shared" si="109"/>
        <v>1</v>
      </c>
      <c r="I881" s="4" t="str">
        <f t="shared" si="110"/>
        <v>111</v>
      </c>
      <c r="Q881" s="1">
        <v>0.49400041390036042</v>
      </c>
      <c r="R881" s="1">
        <v>0.20805872739600628</v>
      </c>
    </row>
    <row r="882" spans="1:18" x14ac:dyDescent="0.35">
      <c r="A882" t="s">
        <v>884</v>
      </c>
      <c r="B882" s="2">
        <f t="shared" si="105"/>
        <v>45392</v>
      </c>
      <c r="C882" s="3">
        <f t="shared" si="111"/>
        <v>-45392</v>
      </c>
      <c r="D882">
        <f t="shared" si="106"/>
        <v>307</v>
      </c>
      <c r="E882">
        <f t="shared" si="107"/>
        <v>10</v>
      </c>
      <c r="F882">
        <f t="shared" si="108"/>
        <v>1</v>
      </c>
      <c r="G882">
        <f t="shared" si="112"/>
        <v>1</v>
      </c>
      <c r="H882">
        <f t="shared" si="109"/>
        <v>1</v>
      </c>
      <c r="I882" s="4" t="str">
        <f t="shared" si="110"/>
        <v>111</v>
      </c>
      <c r="Q882" s="1">
        <v>2.8691491942999248E-2</v>
      </c>
      <c r="R882" s="1">
        <v>0.18294683437356241</v>
      </c>
    </row>
    <row r="883" spans="1:18" x14ac:dyDescent="0.35">
      <c r="A883" t="s">
        <v>885</v>
      </c>
      <c r="B883" s="2">
        <f t="shared" si="105"/>
        <v>45837</v>
      </c>
      <c r="C883" s="3">
        <f t="shared" si="111"/>
        <v>-45837</v>
      </c>
      <c r="D883">
        <f t="shared" si="106"/>
        <v>1496</v>
      </c>
      <c r="E883">
        <f t="shared" si="107"/>
        <v>50</v>
      </c>
      <c r="F883">
        <f t="shared" si="108"/>
        <v>5</v>
      </c>
      <c r="G883">
        <f t="shared" si="112"/>
        <v>5</v>
      </c>
      <c r="H883">
        <f t="shared" si="109"/>
        <v>5</v>
      </c>
      <c r="I883" s="4" t="str">
        <f t="shared" si="110"/>
        <v>555</v>
      </c>
      <c r="Q883" s="1">
        <v>8.5298720394618388E-2</v>
      </c>
      <c r="R883" s="1">
        <v>0.9973879329929316</v>
      </c>
    </row>
    <row r="884" spans="1:18" x14ac:dyDescent="0.35">
      <c r="A884" t="s">
        <v>886</v>
      </c>
      <c r="B884" s="2">
        <f t="shared" si="105"/>
        <v>45373</v>
      </c>
      <c r="C884" s="3">
        <f t="shared" si="111"/>
        <v>-45373</v>
      </c>
      <c r="D884">
        <f t="shared" si="106"/>
        <v>257</v>
      </c>
      <c r="E884">
        <f t="shared" si="107"/>
        <v>8</v>
      </c>
      <c r="F884">
        <f t="shared" si="108"/>
        <v>1</v>
      </c>
      <c r="G884">
        <f t="shared" si="112"/>
        <v>1</v>
      </c>
      <c r="H884">
        <f t="shared" si="109"/>
        <v>1</v>
      </c>
      <c r="I884" s="4" t="str">
        <f t="shared" si="110"/>
        <v>111</v>
      </c>
      <c r="Q884" s="1">
        <v>0.84556957682957801</v>
      </c>
      <c r="R884" s="1">
        <v>0.14868088915068434</v>
      </c>
    </row>
    <row r="885" spans="1:18" x14ac:dyDescent="0.35">
      <c r="A885" t="s">
        <v>887</v>
      </c>
      <c r="B885" s="2">
        <f t="shared" si="105"/>
        <v>45830</v>
      </c>
      <c r="C885" s="3">
        <f t="shared" si="111"/>
        <v>-45830</v>
      </c>
      <c r="D885">
        <f t="shared" si="106"/>
        <v>1479</v>
      </c>
      <c r="E885">
        <f t="shared" si="107"/>
        <v>49</v>
      </c>
      <c r="F885">
        <f t="shared" si="108"/>
        <v>5</v>
      </c>
      <c r="G885">
        <f t="shared" si="112"/>
        <v>5</v>
      </c>
      <c r="H885">
        <f t="shared" si="109"/>
        <v>5</v>
      </c>
      <c r="I885" s="4" t="str">
        <f t="shared" si="110"/>
        <v>555</v>
      </c>
      <c r="Q885" s="1">
        <v>0.68465405522239609</v>
      </c>
      <c r="R885" s="1">
        <v>0.98585643688042379</v>
      </c>
    </row>
    <row r="886" spans="1:18" x14ac:dyDescent="0.35">
      <c r="A886" t="s">
        <v>888</v>
      </c>
      <c r="B886" s="2">
        <f t="shared" si="105"/>
        <v>45614</v>
      </c>
      <c r="C886" s="3">
        <f t="shared" si="111"/>
        <v>-45614</v>
      </c>
      <c r="D886">
        <f t="shared" si="106"/>
        <v>901</v>
      </c>
      <c r="E886">
        <f t="shared" si="107"/>
        <v>30</v>
      </c>
      <c r="F886">
        <f t="shared" si="108"/>
        <v>4</v>
      </c>
      <c r="G886">
        <f t="shared" si="112"/>
        <v>4</v>
      </c>
      <c r="H886">
        <f t="shared" si="109"/>
        <v>4</v>
      </c>
      <c r="I886" s="4" t="str">
        <f t="shared" si="110"/>
        <v>444</v>
      </c>
      <c r="Q886" s="1">
        <v>0.65645382462628521</v>
      </c>
      <c r="R886" s="1">
        <v>0.59001993576953493</v>
      </c>
    </row>
    <row r="887" spans="1:18" x14ac:dyDescent="0.35">
      <c r="A887" t="s">
        <v>889</v>
      </c>
      <c r="B887" s="2">
        <f t="shared" si="105"/>
        <v>45732</v>
      </c>
      <c r="C887" s="3">
        <f t="shared" si="111"/>
        <v>-45732</v>
      </c>
      <c r="D887">
        <f t="shared" si="106"/>
        <v>1217</v>
      </c>
      <c r="E887">
        <f t="shared" si="107"/>
        <v>41</v>
      </c>
      <c r="F887">
        <f t="shared" si="108"/>
        <v>5</v>
      </c>
      <c r="G887">
        <f t="shared" si="112"/>
        <v>5</v>
      </c>
      <c r="H887">
        <f t="shared" si="109"/>
        <v>5</v>
      </c>
      <c r="I887" s="4" t="str">
        <f t="shared" si="110"/>
        <v>555</v>
      </c>
      <c r="Q887" s="1">
        <v>0.52019157001341654</v>
      </c>
      <c r="R887" s="1">
        <v>0.80648711940120876</v>
      </c>
    </row>
    <row r="888" spans="1:18" x14ac:dyDescent="0.35">
      <c r="A888" t="s">
        <v>890</v>
      </c>
      <c r="B888" s="2">
        <f t="shared" si="105"/>
        <v>45703</v>
      </c>
      <c r="C888" s="3">
        <f t="shared" si="111"/>
        <v>-45703</v>
      </c>
      <c r="D888">
        <f t="shared" si="106"/>
        <v>1138</v>
      </c>
      <c r="E888">
        <f t="shared" si="107"/>
        <v>38</v>
      </c>
      <c r="F888">
        <f t="shared" si="108"/>
        <v>4</v>
      </c>
      <c r="G888">
        <f t="shared" si="112"/>
        <v>4</v>
      </c>
      <c r="H888">
        <f t="shared" si="109"/>
        <v>4</v>
      </c>
      <c r="I888" s="4" t="str">
        <f t="shared" si="110"/>
        <v>444</v>
      </c>
      <c r="Q888" s="1">
        <v>0.63650215037345659</v>
      </c>
      <c r="R888" s="1">
        <v>0.75238454180038261</v>
      </c>
    </row>
    <row r="889" spans="1:18" x14ac:dyDescent="0.35">
      <c r="A889" t="s">
        <v>891</v>
      </c>
      <c r="B889" s="2">
        <f t="shared" si="105"/>
        <v>45706</v>
      </c>
      <c r="C889" s="3">
        <f t="shared" si="111"/>
        <v>-45706</v>
      </c>
      <c r="D889">
        <f t="shared" si="106"/>
        <v>1146</v>
      </c>
      <c r="E889">
        <f t="shared" si="107"/>
        <v>38</v>
      </c>
      <c r="F889">
        <f t="shared" si="108"/>
        <v>4</v>
      </c>
      <c r="G889">
        <f t="shared" si="112"/>
        <v>4</v>
      </c>
      <c r="H889">
        <f t="shared" si="109"/>
        <v>4</v>
      </c>
      <c r="I889" s="4" t="str">
        <f t="shared" si="110"/>
        <v>444</v>
      </c>
      <c r="Q889" s="1">
        <v>0.35325421440681548</v>
      </c>
      <c r="R889" s="1">
        <v>0.75734075356707087</v>
      </c>
    </row>
    <row r="890" spans="1:18" x14ac:dyDescent="0.35">
      <c r="A890" t="s">
        <v>892</v>
      </c>
      <c r="B890" s="2">
        <f t="shared" si="105"/>
        <v>45574</v>
      </c>
      <c r="C890" s="3">
        <f t="shared" si="111"/>
        <v>-45574</v>
      </c>
      <c r="D890">
        <f t="shared" si="106"/>
        <v>794</v>
      </c>
      <c r="E890">
        <f t="shared" si="107"/>
        <v>26</v>
      </c>
      <c r="F890">
        <f t="shared" si="108"/>
        <v>4</v>
      </c>
      <c r="G890">
        <f t="shared" si="112"/>
        <v>4</v>
      </c>
      <c r="H890">
        <f t="shared" si="109"/>
        <v>4</v>
      </c>
      <c r="I890" s="4" t="str">
        <f t="shared" si="110"/>
        <v>444</v>
      </c>
      <c r="Q890" s="1">
        <v>0.11584314464041401</v>
      </c>
      <c r="R890" s="1">
        <v>0.51670019697682334</v>
      </c>
    </row>
    <row r="891" spans="1:18" x14ac:dyDescent="0.35">
      <c r="A891" t="s">
        <v>893</v>
      </c>
      <c r="B891" s="2">
        <f t="shared" si="105"/>
        <v>45666</v>
      </c>
      <c r="C891" s="3">
        <f t="shared" si="111"/>
        <v>-45666</v>
      </c>
      <c r="D891">
        <f t="shared" si="106"/>
        <v>1040</v>
      </c>
      <c r="E891">
        <f t="shared" si="107"/>
        <v>35</v>
      </c>
      <c r="F891">
        <f t="shared" si="108"/>
        <v>4</v>
      </c>
      <c r="G891">
        <f t="shared" si="112"/>
        <v>4</v>
      </c>
      <c r="H891">
        <f t="shared" si="109"/>
        <v>4</v>
      </c>
      <c r="I891" s="4" t="str">
        <f t="shared" si="110"/>
        <v>444</v>
      </c>
      <c r="Q891" s="1">
        <v>0.44887281379758848</v>
      </c>
      <c r="R891" s="1">
        <v>0.68477945946740537</v>
      </c>
    </row>
    <row r="892" spans="1:18" x14ac:dyDescent="0.35">
      <c r="A892" t="s">
        <v>894</v>
      </c>
      <c r="B892" s="2">
        <f t="shared" si="105"/>
        <v>45340</v>
      </c>
      <c r="C892" s="3">
        <f t="shared" si="111"/>
        <v>-45340</v>
      </c>
      <c r="D892">
        <f t="shared" si="106"/>
        <v>169</v>
      </c>
      <c r="E892">
        <f t="shared" si="107"/>
        <v>5</v>
      </c>
      <c r="F892">
        <f t="shared" si="108"/>
        <v>1</v>
      </c>
      <c r="G892">
        <f t="shared" si="112"/>
        <v>1</v>
      </c>
      <c r="H892">
        <f t="shared" si="109"/>
        <v>1</v>
      </c>
      <c r="I892" s="4" t="str">
        <f t="shared" si="110"/>
        <v>111</v>
      </c>
      <c r="Q892" s="1">
        <v>0.31125603476849706</v>
      </c>
      <c r="R892" s="1">
        <v>8.8164742142300634E-2</v>
      </c>
    </row>
    <row r="893" spans="1:18" x14ac:dyDescent="0.35">
      <c r="A893" t="s">
        <v>895</v>
      </c>
      <c r="B893" s="2">
        <f t="shared" si="105"/>
        <v>45421</v>
      </c>
      <c r="C893" s="3">
        <f t="shared" si="111"/>
        <v>-45421</v>
      </c>
      <c r="D893">
        <f t="shared" si="106"/>
        <v>385</v>
      </c>
      <c r="E893">
        <f t="shared" si="107"/>
        <v>13</v>
      </c>
      <c r="F893">
        <f t="shared" si="108"/>
        <v>2</v>
      </c>
      <c r="G893">
        <f t="shared" si="112"/>
        <v>2</v>
      </c>
      <c r="H893">
        <f t="shared" si="109"/>
        <v>2</v>
      </c>
      <c r="I893" s="4" t="str">
        <f t="shared" si="110"/>
        <v>222</v>
      </c>
      <c r="Q893" s="1">
        <v>0.57895316580741785</v>
      </c>
      <c r="R893" s="1">
        <v>0.23601237684460263</v>
      </c>
    </row>
    <row r="894" spans="1:18" x14ac:dyDescent="0.35">
      <c r="A894" t="s">
        <v>896</v>
      </c>
      <c r="B894" s="2">
        <f t="shared" si="105"/>
        <v>45604</v>
      </c>
      <c r="C894" s="3">
        <f t="shared" si="111"/>
        <v>-45604</v>
      </c>
      <c r="D894">
        <f t="shared" si="106"/>
        <v>874</v>
      </c>
      <c r="E894">
        <f t="shared" si="107"/>
        <v>29</v>
      </c>
      <c r="F894">
        <f t="shared" si="108"/>
        <v>4</v>
      </c>
      <c r="G894">
        <f t="shared" si="112"/>
        <v>4</v>
      </c>
      <c r="H894">
        <f t="shared" si="109"/>
        <v>4</v>
      </c>
      <c r="I894" s="4" t="str">
        <f t="shared" si="110"/>
        <v>444</v>
      </c>
      <c r="Q894" s="1">
        <v>0.5827245856953811</v>
      </c>
      <c r="R894" s="1">
        <v>0.57111128607508799</v>
      </c>
    </row>
    <row r="895" spans="1:18" x14ac:dyDescent="0.35">
      <c r="A895" t="s">
        <v>897</v>
      </c>
      <c r="B895" s="2">
        <f t="shared" si="105"/>
        <v>45406</v>
      </c>
      <c r="C895" s="3">
        <f t="shared" si="111"/>
        <v>-45406</v>
      </c>
      <c r="D895">
        <f t="shared" si="106"/>
        <v>345</v>
      </c>
      <c r="E895">
        <f t="shared" si="107"/>
        <v>11</v>
      </c>
      <c r="F895">
        <f t="shared" si="108"/>
        <v>1</v>
      </c>
      <c r="G895">
        <f t="shared" si="112"/>
        <v>1</v>
      </c>
      <c r="H895">
        <f t="shared" si="109"/>
        <v>1</v>
      </c>
      <c r="I895" s="4" t="str">
        <f t="shared" si="110"/>
        <v>111</v>
      </c>
      <c r="Q895" s="1">
        <v>3.4611502922625936E-2</v>
      </c>
      <c r="R895" s="1">
        <v>0.20874312546410745</v>
      </c>
    </row>
    <row r="896" spans="1:18" x14ac:dyDescent="0.35">
      <c r="A896" t="s">
        <v>898</v>
      </c>
      <c r="B896" s="2">
        <f t="shared" si="105"/>
        <v>45833</v>
      </c>
      <c r="C896" s="3">
        <f t="shared" si="111"/>
        <v>-45833</v>
      </c>
      <c r="D896">
        <f t="shared" si="106"/>
        <v>1485</v>
      </c>
      <c r="E896">
        <f t="shared" si="107"/>
        <v>50</v>
      </c>
      <c r="F896">
        <f t="shared" si="108"/>
        <v>5</v>
      </c>
      <c r="G896">
        <f t="shared" si="112"/>
        <v>5</v>
      </c>
      <c r="H896">
        <f t="shared" si="109"/>
        <v>5</v>
      </c>
      <c r="I896" s="4" t="str">
        <f t="shared" si="110"/>
        <v>555</v>
      </c>
      <c r="Q896" s="1">
        <v>0.11379831255994033</v>
      </c>
      <c r="R896" s="1">
        <v>0.98994893458223887</v>
      </c>
    </row>
    <row r="897" spans="1:18" x14ac:dyDescent="0.35">
      <c r="A897" t="s">
        <v>899</v>
      </c>
      <c r="B897" s="2">
        <f t="shared" si="105"/>
        <v>45406</v>
      </c>
      <c r="C897" s="3">
        <f t="shared" si="111"/>
        <v>-45406</v>
      </c>
      <c r="D897">
        <f t="shared" si="106"/>
        <v>344</v>
      </c>
      <c r="E897">
        <f t="shared" si="107"/>
        <v>11</v>
      </c>
      <c r="F897">
        <f t="shared" si="108"/>
        <v>1</v>
      </c>
      <c r="G897">
        <f t="shared" si="112"/>
        <v>1</v>
      </c>
      <c r="H897">
        <f t="shared" si="109"/>
        <v>1</v>
      </c>
      <c r="I897" s="4" t="str">
        <f t="shared" si="110"/>
        <v>111</v>
      </c>
      <c r="Q897" s="1">
        <v>0.68907327349900682</v>
      </c>
      <c r="R897" s="1">
        <v>0.2079263839090939</v>
      </c>
    </row>
    <row r="898" spans="1:18" x14ac:dyDescent="0.35">
      <c r="A898" t="s">
        <v>900</v>
      </c>
      <c r="B898" s="2">
        <f t="shared" si="105"/>
        <v>45660</v>
      </c>
      <c r="C898" s="3">
        <f t="shared" si="111"/>
        <v>-45660</v>
      </c>
      <c r="D898">
        <f t="shared" si="106"/>
        <v>1023</v>
      </c>
      <c r="E898">
        <f t="shared" si="107"/>
        <v>34</v>
      </c>
      <c r="F898">
        <f t="shared" si="108"/>
        <v>4</v>
      </c>
      <c r="G898">
        <f t="shared" si="112"/>
        <v>4</v>
      </c>
      <c r="H898">
        <f t="shared" si="109"/>
        <v>4</v>
      </c>
      <c r="I898" s="4" t="str">
        <f t="shared" si="110"/>
        <v>444</v>
      </c>
      <c r="Q898" s="1">
        <v>0.29380211450468863</v>
      </c>
      <c r="R898" s="1">
        <v>0.67325240481568316</v>
      </c>
    </row>
    <row r="899" spans="1:18" x14ac:dyDescent="0.35">
      <c r="A899" t="s">
        <v>901</v>
      </c>
      <c r="B899" s="2">
        <f t="shared" ref="B899:B962" si="113">ROUND(R899*(45838-45292)+45292,0)</f>
        <v>45393</v>
      </c>
      <c r="C899" s="3">
        <f t="shared" si="111"/>
        <v>-45393</v>
      </c>
      <c r="D899">
        <f t="shared" ref="D899:D962" si="114">ROUND((R899)*(1500-40)+40,0)</f>
        <v>311</v>
      </c>
      <c r="E899">
        <f t="shared" ref="E899:E962" si="115">ROUND((R899)*(50-1)+1,0)</f>
        <v>10</v>
      </c>
      <c r="F899">
        <f t="shared" ref="F899:F962" si="116">IF(C899&lt;=$M$4,5,IF(C899&lt;=$M$9,4,IF(C899&lt;=$M$5,3,IF(C899&lt;=$M$6,2,1))))</f>
        <v>1</v>
      </c>
      <c r="G899">
        <f t="shared" si="112"/>
        <v>1</v>
      </c>
      <c r="H899">
        <f t="shared" ref="H899:H962" si="117">IF(D899&lt;=$M$24,1,IF(D899&lt;=$M$25,2,IF(D899&lt;=$M$29,3,IF(D899&lt;=$M$26,4,5))))</f>
        <v>1</v>
      </c>
      <c r="I899" s="4" t="str">
        <f t="shared" ref="I899:I962" si="118">CONCATENATE(F899,G899,H899)</f>
        <v>111</v>
      </c>
      <c r="Q899" s="1">
        <v>0.30143528590600444</v>
      </c>
      <c r="R899" s="1">
        <v>0.18535413266683864</v>
      </c>
    </row>
    <row r="900" spans="1:18" x14ac:dyDescent="0.35">
      <c r="A900" t="s">
        <v>902</v>
      </c>
      <c r="B900" s="2">
        <f t="shared" si="113"/>
        <v>45464</v>
      </c>
      <c r="C900" s="3">
        <f t="shared" ref="C900:C963" si="119">$S$4-B900</f>
        <v>-45464</v>
      </c>
      <c r="D900">
        <f t="shared" si="114"/>
        <v>499</v>
      </c>
      <c r="E900">
        <f t="shared" si="115"/>
        <v>16</v>
      </c>
      <c r="F900">
        <f t="shared" si="116"/>
        <v>2</v>
      </c>
      <c r="G900">
        <f t="shared" ref="G900:G963" si="120">IF(E900&lt;=$M$14,1,IF(E900&lt;=$M$15,2,IF(E900&lt;=$M$19,3,IF(E900&lt;=$M$16,4,5))))</f>
        <v>2</v>
      </c>
      <c r="H900">
        <f t="shared" si="117"/>
        <v>2</v>
      </c>
      <c r="I900" s="4" t="str">
        <f t="shared" si="118"/>
        <v>222</v>
      </c>
      <c r="Q900" s="1">
        <v>2.118001438667938E-2</v>
      </c>
      <c r="R900" s="1">
        <v>0.31427145898033437</v>
      </c>
    </row>
    <row r="901" spans="1:18" x14ac:dyDescent="0.35">
      <c r="A901" t="s">
        <v>903</v>
      </c>
      <c r="B901" s="2">
        <f t="shared" si="113"/>
        <v>45604</v>
      </c>
      <c r="C901" s="3">
        <f t="shared" si="119"/>
        <v>-45604</v>
      </c>
      <c r="D901">
        <f t="shared" si="114"/>
        <v>874</v>
      </c>
      <c r="E901">
        <f t="shared" si="115"/>
        <v>29</v>
      </c>
      <c r="F901">
        <f t="shared" si="116"/>
        <v>4</v>
      </c>
      <c r="G901">
        <f t="shared" si="120"/>
        <v>4</v>
      </c>
      <c r="H901">
        <f t="shared" si="117"/>
        <v>4</v>
      </c>
      <c r="I901" s="4" t="str">
        <f t="shared" si="118"/>
        <v>444</v>
      </c>
      <c r="Q901" s="1">
        <v>0.13857541080296498</v>
      </c>
      <c r="R901" s="1">
        <v>0.57136001384644153</v>
      </c>
    </row>
    <row r="902" spans="1:18" x14ac:dyDescent="0.35">
      <c r="A902" t="s">
        <v>904</v>
      </c>
      <c r="B902" s="2">
        <f t="shared" si="113"/>
        <v>45471</v>
      </c>
      <c r="C902" s="3">
        <f t="shared" si="119"/>
        <v>-45471</v>
      </c>
      <c r="D902">
        <f t="shared" si="114"/>
        <v>520</v>
      </c>
      <c r="E902">
        <f t="shared" si="115"/>
        <v>17</v>
      </c>
      <c r="F902">
        <f t="shared" si="116"/>
        <v>2</v>
      </c>
      <c r="G902">
        <f t="shared" si="120"/>
        <v>2</v>
      </c>
      <c r="H902">
        <f t="shared" si="117"/>
        <v>2</v>
      </c>
      <c r="I902" s="4" t="str">
        <f t="shared" si="118"/>
        <v>222</v>
      </c>
      <c r="Q902" s="1">
        <v>0.90355330598846806</v>
      </c>
      <c r="R902" s="1">
        <v>0.3287539190234573</v>
      </c>
    </row>
    <row r="903" spans="1:18" x14ac:dyDescent="0.35">
      <c r="A903" t="s">
        <v>905</v>
      </c>
      <c r="B903" s="2">
        <f t="shared" si="113"/>
        <v>45772</v>
      </c>
      <c r="C903" s="3">
        <f t="shared" si="119"/>
        <v>-45772</v>
      </c>
      <c r="D903">
        <f t="shared" si="114"/>
        <v>1324</v>
      </c>
      <c r="E903">
        <f t="shared" si="115"/>
        <v>44</v>
      </c>
      <c r="F903">
        <f t="shared" si="116"/>
        <v>5</v>
      </c>
      <c r="G903">
        <f t="shared" si="120"/>
        <v>5</v>
      </c>
      <c r="H903">
        <f t="shared" si="117"/>
        <v>5</v>
      </c>
      <c r="I903" s="4" t="str">
        <f t="shared" si="118"/>
        <v>555</v>
      </c>
      <c r="Q903" s="1">
        <v>0.57633903818801557</v>
      </c>
      <c r="R903" s="1">
        <v>0.87973129162327723</v>
      </c>
    </row>
    <row r="904" spans="1:18" x14ac:dyDescent="0.35">
      <c r="A904" t="s">
        <v>906</v>
      </c>
      <c r="B904" s="2">
        <f t="shared" si="113"/>
        <v>45473</v>
      </c>
      <c r="C904" s="3">
        <f t="shared" si="119"/>
        <v>-45473</v>
      </c>
      <c r="D904">
        <f t="shared" si="114"/>
        <v>523</v>
      </c>
      <c r="E904">
        <f t="shared" si="115"/>
        <v>17</v>
      </c>
      <c r="F904">
        <f t="shared" si="116"/>
        <v>2</v>
      </c>
      <c r="G904">
        <f t="shared" si="120"/>
        <v>2</v>
      </c>
      <c r="H904">
        <f t="shared" si="117"/>
        <v>2</v>
      </c>
      <c r="I904" s="4" t="str">
        <f t="shared" si="118"/>
        <v>222</v>
      </c>
      <c r="Q904" s="1">
        <v>0.57538107355718004</v>
      </c>
      <c r="R904" s="1">
        <v>0.33080180608326104</v>
      </c>
    </row>
    <row r="905" spans="1:18" x14ac:dyDescent="0.35">
      <c r="A905" t="s">
        <v>907</v>
      </c>
      <c r="B905" s="2">
        <f t="shared" si="113"/>
        <v>45606</v>
      </c>
      <c r="C905" s="3">
        <f t="shared" si="119"/>
        <v>-45606</v>
      </c>
      <c r="D905">
        <f t="shared" si="114"/>
        <v>880</v>
      </c>
      <c r="E905">
        <f t="shared" si="115"/>
        <v>29</v>
      </c>
      <c r="F905">
        <f t="shared" si="116"/>
        <v>4</v>
      </c>
      <c r="G905">
        <f t="shared" si="120"/>
        <v>4</v>
      </c>
      <c r="H905">
        <f t="shared" si="117"/>
        <v>4</v>
      </c>
      <c r="I905" s="4" t="str">
        <f t="shared" si="118"/>
        <v>444</v>
      </c>
      <c r="Q905" s="1">
        <v>0.56407590944329811</v>
      </c>
      <c r="R905" s="1">
        <v>0.57510299232792861</v>
      </c>
    </row>
    <row r="906" spans="1:18" x14ac:dyDescent="0.35">
      <c r="A906" t="s">
        <v>908</v>
      </c>
      <c r="B906" s="2">
        <f t="shared" si="113"/>
        <v>45391</v>
      </c>
      <c r="C906" s="3">
        <f t="shared" si="119"/>
        <v>-45391</v>
      </c>
      <c r="D906">
        <f t="shared" si="114"/>
        <v>306</v>
      </c>
      <c r="E906">
        <f t="shared" si="115"/>
        <v>10</v>
      </c>
      <c r="F906">
        <f t="shared" si="116"/>
        <v>1</v>
      </c>
      <c r="G906">
        <f t="shared" si="120"/>
        <v>1</v>
      </c>
      <c r="H906">
        <f t="shared" si="117"/>
        <v>1</v>
      </c>
      <c r="I906" s="4" t="str">
        <f t="shared" si="118"/>
        <v>111</v>
      </c>
      <c r="Q906" s="1">
        <v>0.40686695318479571</v>
      </c>
      <c r="R906" s="1">
        <v>0.18213800171555394</v>
      </c>
    </row>
    <row r="907" spans="1:18" x14ac:dyDescent="0.35">
      <c r="A907" t="s">
        <v>909</v>
      </c>
      <c r="B907" s="2">
        <f t="shared" si="113"/>
        <v>45728</v>
      </c>
      <c r="C907" s="3">
        <f t="shared" si="119"/>
        <v>-45728</v>
      </c>
      <c r="D907">
        <f t="shared" si="114"/>
        <v>1207</v>
      </c>
      <c r="E907">
        <f t="shared" si="115"/>
        <v>40</v>
      </c>
      <c r="F907">
        <f t="shared" si="116"/>
        <v>5</v>
      </c>
      <c r="G907">
        <f t="shared" si="120"/>
        <v>5</v>
      </c>
      <c r="H907">
        <f t="shared" si="117"/>
        <v>5</v>
      </c>
      <c r="I907" s="4" t="str">
        <f t="shared" si="118"/>
        <v>555</v>
      </c>
      <c r="Q907" s="1">
        <v>0.81648078318808315</v>
      </c>
      <c r="R907" s="1">
        <v>0.79925679825601559</v>
      </c>
    </row>
    <row r="908" spans="1:18" x14ac:dyDescent="0.35">
      <c r="A908" t="s">
        <v>910</v>
      </c>
      <c r="B908" s="2">
        <f t="shared" si="113"/>
        <v>45454</v>
      </c>
      <c r="C908" s="3">
        <f t="shared" si="119"/>
        <v>-45454</v>
      </c>
      <c r="D908">
        <f t="shared" si="114"/>
        <v>473</v>
      </c>
      <c r="E908">
        <f t="shared" si="115"/>
        <v>16</v>
      </c>
      <c r="F908">
        <f t="shared" si="116"/>
        <v>2</v>
      </c>
      <c r="G908">
        <f t="shared" si="120"/>
        <v>2</v>
      </c>
      <c r="H908">
        <f t="shared" si="117"/>
        <v>2</v>
      </c>
      <c r="I908" s="4" t="str">
        <f t="shared" si="118"/>
        <v>222</v>
      </c>
      <c r="Q908" s="1">
        <v>6.3003356859510529E-2</v>
      </c>
      <c r="R908" s="1">
        <v>0.29671280238233955</v>
      </c>
    </row>
    <row r="909" spans="1:18" x14ac:dyDescent="0.35">
      <c r="A909" t="s">
        <v>911</v>
      </c>
      <c r="B909" s="2">
        <f t="shared" si="113"/>
        <v>45734</v>
      </c>
      <c r="C909" s="3">
        <f t="shared" si="119"/>
        <v>-45734</v>
      </c>
      <c r="D909">
        <f t="shared" si="114"/>
        <v>1223</v>
      </c>
      <c r="E909">
        <f t="shared" si="115"/>
        <v>41</v>
      </c>
      <c r="F909">
        <f t="shared" si="116"/>
        <v>5</v>
      </c>
      <c r="G909">
        <f t="shared" si="120"/>
        <v>5</v>
      </c>
      <c r="H909">
        <f t="shared" si="117"/>
        <v>5</v>
      </c>
      <c r="I909" s="4" t="str">
        <f t="shared" si="118"/>
        <v>555</v>
      </c>
      <c r="Q909" s="1">
        <v>0.9072013639522043</v>
      </c>
      <c r="R909" s="1">
        <v>0.81005197883967039</v>
      </c>
    </row>
    <row r="910" spans="1:18" x14ac:dyDescent="0.35">
      <c r="A910" t="s">
        <v>912</v>
      </c>
      <c r="B910" s="2">
        <f t="shared" si="113"/>
        <v>45643</v>
      </c>
      <c r="C910" s="3">
        <f t="shared" si="119"/>
        <v>-45643</v>
      </c>
      <c r="D910">
        <f t="shared" si="114"/>
        <v>979</v>
      </c>
      <c r="E910">
        <f t="shared" si="115"/>
        <v>32</v>
      </c>
      <c r="F910">
        <f t="shared" si="116"/>
        <v>4</v>
      </c>
      <c r="G910">
        <f t="shared" si="120"/>
        <v>4</v>
      </c>
      <c r="H910">
        <f t="shared" si="117"/>
        <v>4</v>
      </c>
      <c r="I910" s="4" t="str">
        <f t="shared" si="118"/>
        <v>444</v>
      </c>
      <c r="Q910" s="1">
        <v>0.75654787988702521</v>
      </c>
      <c r="R910" s="1">
        <v>0.6428443292549163</v>
      </c>
    </row>
    <row r="911" spans="1:18" x14ac:dyDescent="0.35">
      <c r="A911" t="s">
        <v>913</v>
      </c>
      <c r="B911" s="2">
        <f t="shared" si="113"/>
        <v>45730</v>
      </c>
      <c r="C911" s="3">
        <f t="shared" si="119"/>
        <v>-45730</v>
      </c>
      <c r="D911">
        <f t="shared" si="114"/>
        <v>1211</v>
      </c>
      <c r="E911">
        <f t="shared" si="115"/>
        <v>40</v>
      </c>
      <c r="F911">
        <f t="shared" si="116"/>
        <v>5</v>
      </c>
      <c r="G911">
        <f t="shared" si="120"/>
        <v>5</v>
      </c>
      <c r="H911">
        <f t="shared" si="117"/>
        <v>5</v>
      </c>
      <c r="I911" s="4" t="str">
        <f t="shared" si="118"/>
        <v>555</v>
      </c>
      <c r="Q911" s="1">
        <v>0.20099624347468437</v>
      </c>
      <c r="R911" s="1">
        <v>0.8022040618477837</v>
      </c>
    </row>
    <row r="912" spans="1:18" x14ac:dyDescent="0.35">
      <c r="A912" t="s">
        <v>914</v>
      </c>
      <c r="B912" s="2">
        <f t="shared" si="113"/>
        <v>45795</v>
      </c>
      <c r="C912" s="3">
        <f t="shared" si="119"/>
        <v>-45795</v>
      </c>
      <c r="D912">
        <f t="shared" si="114"/>
        <v>1386</v>
      </c>
      <c r="E912">
        <f t="shared" si="115"/>
        <v>46</v>
      </c>
      <c r="F912">
        <f t="shared" si="116"/>
        <v>5</v>
      </c>
      <c r="G912">
        <f t="shared" si="120"/>
        <v>5</v>
      </c>
      <c r="H912">
        <f t="shared" si="117"/>
        <v>5</v>
      </c>
      <c r="I912" s="4" t="str">
        <f t="shared" si="118"/>
        <v>555</v>
      </c>
      <c r="Q912" s="1">
        <v>0.96718789145983397</v>
      </c>
      <c r="R912" s="1">
        <v>0.92179835217258088</v>
      </c>
    </row>
    <row r="913" spans="1:18" x14ac:dyDescent="0.35">
      <c r="A913" t="s">
        <v>915</v>
      </c>
      <c r="B913" s="2">
        <f t="shared" si="113"/>
        <v>45645</v>
      </c>
      <c r="C913" s="3">
        <f t="shared" si="119"/>
        <v>-45645</v>
      </c>
      <c r="D913">
        <f t="shared" si="114"/>
        <v>984</v>
      </c>
      <c r="E913">
        <f t="shared" si="115"/>
        <v>33</v>
      </c>
      <c r="F913">
        <f t="shared" si="116"/>
        <v>4</v>
      </c>
      <c r="G913">
        <f t="shared" si="120"/>
        <v>4</v>
      </c>
      <c r="H913">
        <f t="shared" si="117"/>
        <v>4</v>
      </c>
      <c r="I913" s="4" t="str">
        <f t="shared" si="118"/>
        <v>444</v>
      </c>
      <c r="Q913" s="1">
        <v>0.39061320009728007</v>
      </c>
      <c r="R913" s="1">
        <v>0.64645286118621803</v>
      </c>
    </row>
    <row r="914" spans="1:18" x14ac:dyDescent="0.35">
      <c r="A914" t="s">
        <v>916</v>
      </c>
      <c r="B914" s="2">
        <f t="shared" si="113"/>
        <v>45302</v>
      </c>
      <c r="C914" s="3">
        <f t="shared" si="119"/>
        <v>-45302</v>
      </c>
      <c r="D914">
        <f t="shared" si="114"/>
        <v>68</v>
      </c>
      <c r="E914">
        <f t="shared" si="115"/>
        <v>2</v>
      </c>
      <c r="F914">
        <f t="shared" si="116"/>
        <v>1</v>
      </c>
      <c r="G914">
        <f t="shared" si="120"/>
        <v>1</v>
      </c>
      <c r="H914">
        <f t="shared" si="117"/>
        <v>1</v>
      </c>
      <c r="I914" s="4" t="str">
        <f t="shared" si="118"/>
        <v>111</v>
      </c>
      <c r="Q914" s="1">
        <v>0.12763995868778022</v>
      </c>
      <c r="R914" s="1">
        <v>1.918792214080256E-2</v>
      </c>
    </row>
    <row r="915" spans="1:18" x14ac:dyDescent="0.35">
      <c r="A915" t="s">
        <v>917</v>
      </c>
      <c r="B915" s="2">
        <f t="shared" si="113"/>
        <v>45658</v>
      </c>
      <c r="C915" s="3">
        <f t="shared" si="119"/>
        <v>-45658</v>
      </c>
      <c r="D915">
        <f t="shared" si="114"/>
        <v>1017</v>
      </c>
      <c r="E915">
        <f t="shared" si="115"/>
        <v>34</v>
      </c>
      <c r="F915">
        <f t="shared" si="116"/>
        <v>4</v>
      </c>
      <c r="G915">
        <f t="shared" si="120"/>
        <v>4</v>
      </c>
      <c r="H915">
        <f t="shared" si="117"/>
        <v>4</v>
      </c>
      <c r="I915" s="4" t="str">
        <f t="shared" si="118"/>
        <v>444</v>
      </c>
      <c r="Q915" s="1">
        <v>0.12256856281865669</v>
      </c>
      <c r="R915" s="1">
        <v>0.66951883053681938</v>
      </c>
    </row>
    <row r="916" spans="1:18" x14ac:dyDescent="0.35">
      <c r="A916" t="s">
        <v>918</v>
      </c>
      <c r="B916" s="2">
        <f t="shared" si="113"/>
        <v>45828</v>
      </c>
      <c r="C916" s="3">
        <f t="shared" si="119"/>
        <v>-45828</v>
      </c>
      <c r="D916">
        <f t="shared" si="114"/>
        <v>1474</v>
      </c>
      <c r="E916">
        <f t="shared" si="115"/>
        <v>49</v>
      </c>
      <c r="F916">
        <f t="shared" si="116"/>
        <v>5</v>
      </c>
      <c r="G916">
        <f t="shared" si="120"/>
        <v>5</v>
      </c>
      <c r="H916">
        <f t="shared" si="117"/>
        <v>5</v>
      </c>
      <c r="I916" s="4" t="str">
        <f t="shared" si="118"/>
        <v>555</v>
      </c>
      <c r="Q916" s="1">
        <v>0.43109985744753709</v>
      </c>
      <c r="R916" s="1">
        <v>0.98238558062457526</v>
      </c>
    </row>
    <row r="917" spans="1:18" x14ac:dyDescent="0.35">
      <c r="A917" t="s">
        <v>919</v>
      </c>
      <c r="B917" s="2">
        <f t="shared" si="113"/>
        <v>45738</v>
      </c>
      <c r="C917" s="3">
        <f t="shared" si="119"/>
        <v>-45738</v>
      </c>
      <c r="D917">
        <f t="shared" si="114"/>
        <v>1232</v>
      </c>
      <c r="E917">
        <f t="shared" si="115"/>
        <v>41</v>
      </c>
      <c r="F917">
        <f t="shared" si="116"/>
        <v>5</v>
      </c>
      <c r="G917">
        <f t="shared" si="120"/>
        <v>5</v>
      </c>
      <c r="H917">
        <f t="shared" si="117"/>
        <v>5</v>
      </c>
      <c r="I917" s="4" t="str">
        <f t="shared" si="118"/>
        <v>555</v>
      </c>
      <c r="Q917" s="1">
        <v>0.9296590551740378</v>
      </c>
      <c r="R917" s="1">
        <v>0.81634192891019408</v>
      </c>
    </row>
    <row r="918" spans="1:18" x14ac:dyDescent="0.35">
      <c r="A918" t="s">
        <v>920</v>
      </c>
      <c r="B918" s="2">
        <f t="shared" si="113"/>
        <v>45693</v>
      </c>
      <c r="C918" s="3">
        <f t="shared" si="119"/>
        <v>-45693</v>
      </c>
      <c r="D918">
        <f t="shared" si="114"/>
        <v>1113</v>
      </c>
      <c r="E918">
        <f t="shared" si="115"/>
        <v>37</v>
      </c>
      <c r="F918">
        <f t="shared" si="116"/>
        <v>4</v>
      </c>
      <c r="G918">
        <f t="shared" si="120"/>
        <v>4</v>
      </c>
      <c r="H918">
        <f t="shared" si="117"/>
        <v>4</v>
      </c>
      <c r="I918" s="4" t="str">
        <f t="shared" si="118"/>
        <v>444</v>
      </c>
      <c r="Q918" s="1">
        <v>0.46347985139871806</v>
      </c>
      <c r="R918" s="1">
        <v>0.73493447337096973</v>
      </c>
    </row>
    <row r="919" spans="1:18" x14ac:dyDescent="0.35">
      <c r="A919" t="s">
        <v>921</v>
      </c>
      <c r="B919" s="2">
        <f t="shared" si="113"/>
        <v>45526</v>
      </c>
      <c r="C919" s="3">
        <f t="shared" si="119"/>
        <v>-45526</v>
      </c>
      <c r="D919">
        <f t="shared" si="114"/>
        <v>666</v>
      </c>
      <c r="E919">
        <f t="shared" si="115"/>
        <v>22</v>
      </c>
      <c r="F919">
        <f t="shared" si="116"/>
        <v>2</v>
      </c>
      <c r="G919">
        <f t="shared" si="120"/>
        <v>2</v>
      </c>
      <c r="H919">
        <f t="shared" si="117"/>
        <v>2</v>
      </c>
      <c r="I919" s="4" t="str">
        <f t="shared" si="118"/>
        <v>222</v>
      </c>
      <c r="Q919" s="1">
        <v>0.87726847928767848</v>
      </c>
      <c r="R919" s="1">
        <v>0.42846613800991096</v>
      </c>
    </row>
    <row r="920" spans="1:18" x14ac:dyDescent="0.35">
      <c r="A920" t="s">
        <v>922</v>
      </c>
      <c r="B920" s="2">
        <f t="shared" si="113"/>
        <v>45636</v>
      </c>
      <c r="C920" s="3">
        <f t="shared" si="119"/>
        <v>-45636</v>
      </c>
      <c r="D920">
        <f t="shared" si="114"/>
        <v>959</v>
      </c>
      <c r="E920">
        <f t="shared" si="115"/>
        <v>32</v>
      </c>
      <c r="F920">
        <f t="shared" si="116"/>
        <v>4</v>
      </c>
      <c r="G920">
        <f t="shared" si="120"/>
        <v>4</v>
      </c>
      <c r="H920">
        <f t="shared" si="117"/>
        <v>4</v>
      </c>
      <c r="I920" s="4" t="str">
        <f t="shared" si="118"/>
        <v>444</v>
      </c>
      <c r="Q920" s="1">
        <v>0.9545282195967778</v>
      </c>
      <c r="R920" s="1">
        <v>0.62975459137558376</v>
      </c>
    </row>
    <row r="921" spans="1:18" x14ac:dyDescent="0.35">
      <c r="A921" t="s">
        <v>923</v>
      </c>
      <c r="B921" s="2">
        <f t="shared" si="113"/>
        <v>45721</v>
      </c>
      <c r="C921" s="3">
        <f t="shared" si="119"/>
        <v>-45721</v>
      </c>
      <c r="D921">
        <f t="shared" si="114"/>
        <v>1186</v>
      </c>
      <c r="E921">
        <f t="shared" si="115"/>
        <v>39</v>
      </c>
      <c r="F921">
        <f t="shared" si="116"/>
        <v>5</v>
      </c>
      <c r="G921">
        <f t="shared" si="120"/>
        <v>4</v>
      </c>
      <c r="H921">
        <f t="shared" si="117"/>
        <v>5</v>
      </c>
      <c r="I921" s="4" t="str">
        <f t="shared" si="118"/>
        <v>545</v>
      </c>
      <c r="Q921" s="1">
        <v>0.29959454934398266</v>
      </c>
      <c r="R921" s="1">
        <v>0.78483585771674735</v>
      </c>
    </row>
    <row r="922" spans="1:18" x14ac:dyDescent="0.35">
      <c r="A922" t="s">
        <v>924</v>
      </c>
      <c r="B922" s="2">
        <f t="shared" si="113"/>
        <v>45329</v>
      </c>
      <c r="C922" s="3">
        <f t="shared" si="119"/>
        <v>-45329</v>
      </c>
      <c r="D922">
        <f t="shared" si="114"/>
        <v>140</v>
      </c>
      <c r="E922">
        <f t="shared" si="115"/>
        <v>4</v>
      </c>
      <c r="F922">
        <f t="shared" si="116"/>
        <v>1</v>
      </c>
      <c r="G922">
        <f t="shared" si="120"/>
        <v>1</v>
      </c>
      <c r="H922">
        <f t="shared" si="117"/>
        <v>1</v>
      </c>
      <c r="I922" s="4" t="str">
        <f t="shared" si="118"/>
        <v>111</v>
      </c>
      <c r="Q922" s="1">
        <v>0.73910465357790212</v>
      </c>
      <c r="R922" s="1">
        <v>6.833171389496151E-2</v>
      </c>
    </row>
    <row r="923" spans="1:18" x14ac:dyDescent="0.35">
      <c r="A923" t="s">
        <v>925</v>
      </c>
      <c r="B923" s="2">
        <f t="shared" si="113"/>
        <v>45749</v>
      </c>
      <c r="C923" s="3">
        <f t="shared" si="119"/>
        <v>-45749</v>
      </c>
      <c r="D923">
        <f t="shared" si="114"/>
        <v>1263</v>
      </c>
      <c r="E923">
        <f t="shared" si="115"/>
        <v>42</v>
      </c>
      <c r="F923">
        <f t="shared" si="116"/>
        <v>5</v>
      </c>
      <c r="G923">
        <f t="shared" si="120"/>
        <v>5</v>
      </c>
      <c r="H923">
        <f t="shared" si="117"/>
        <v>5</v>
      </c>
      <c r="I923" s="4" t="str">
        <f t="shared" si="118"/>
        <v>555</v>
      </c>
      <c r="Q923" s="1">
        <v>0.13498975483822284</v>
      </c>
      <c r="R923" s="1">
        <v>0.83787755343246184</v>
      </c>
    </row>
    <row r="924" spans="1:18" x14ac:dyDescent="0.35">
      <c r="A924" t="s">
        <v>926</v>
      </c>
      <c r="B924" s="2">
        <f t="shared" si="113"/>
        <v>45809</v>
      </c>
      <c r="C924" s="3">
        <f t="shared" si="119"/>
        <v>-45809</v>
      </c>
      <c r="D924">
        <f t="shared" si="114"/>
        <v>1423</v>
      </c>
      <c r="E924">
        <f t="shared" si="115"/>
        <v>47</v>
      </c>
      <c r="F924">
        <f t="shared" si="116"/>
        <v>5</v>
      </c>
      <c r="G924">
        <f t="shared" si="120"/>
        <v>5</v>
      </c>
      <c r="H924">
        <f t="shared" si="117"/>
        <v>5</v>
      </c>
      <c r="I924" s="4" t="str">
        <f t="shared" si="118"/>
        <v>555</v>
      </c>
      <c r="Q924" s="1">
        <v>0.23435027587362867</v>
      </c>
      <c r="R924" s="1">
        <v>0.94735474269339937</v>
      </c>
    </row>
    <row r="925" spans="1:18" x14ac:dyDescent="0.35">
      <c r="A925" t="s">
        <v>927</v>
      </c>
      <c r="B925" s="2">
        <f t="shared" si="113"/>
        <v>45812</v>
      </c>
      <c r="C925" s="3">
        <f t="shared" si="119"/>
        <v>-45812</v>
      </c>
      <c r="D925">
        <f t="shared" si="114"/>
        <v>1430</v>
      </c>
      <c r="E925">
        <f t="shared" si="115"/>
        <v>48</v>
      </c>
      <c r="F925">
        <f t="shared" si="116"/>
        <v>5</v>
      </c>
      <c r="G925">
        <f t="shared" si="120"/>
        <v>5</v>
      </c>
      <c r="H925">
        <f t="shared" si="117"/>
        <v>5</v>
      </c>
      <c r="I925" s="4" t="str">
        <f t="shared" si="118"/>
        <v>555</v>
      </c>
      <c r="Q925" s="1">
        <v>0.99900490147330656</v>
      </c>
      <c r="R925" s="1">
        <v>0.95195281232934925</v>
      </c>
    </row>
    <row r="926" spans="1:18" x14ac:dyDescent="0.35">
      <c r="A926" t="s">
        <v>928</v>
      </c>
      <c r="B926" s="2">
        <f t="shared" si="113"/>
        <v>45599</v>
      </c>
      <c r="C926" s="3">
        <f t="shared" si="119"/>
        <v>-45599</v>
      </c>
      <c r="D926">
        <f t="shared" si="114"/>
        <v>860</v>
      </c>
      <c r="E926">
        <f t="shared" si="115"/>
        <v>29</v>
      </c>
      <c r="F926">
        <f t="shared" si="116"/>
        <v>4</v>
      </c>
      <c r="G926">
        <f t="shared" si="120"/>
        <v>4</v>
      </c>
      <c r="H926">
        <f t="shared" si="117"/>
        <v>4</v>
      </c>
      <c r="I926" s="4" t="str">
        <f t="shared" si="118"/>
        <v>444</v>
      </c>
      <c r="Q926" s="1">
        <v>0.36635747279143072</v>
      </c>
      <c r="R926" s="1">
        <v>0.56143967695752994</v>
      </c>
    </row>
    <row r="927" spans="1:18" x14ac:dyDescent="0.35">
      <c r="A927" t="s">
        <v>929</v>
      </c>
      <c r="B927" s="2">
        <f t="shared" si="113"/>
        <v>45296</v>
      </c>
      <c r="C927" s="3">
        <f t="shared" si="119"/>
        <v>-45296</v>
      </c>
      <c r="D927">
        <f t="shared" si="114"/>
        <v>51</v>
      </c>
      <c r="E927">
        <f t="shared" si="115"/>
        <v>1</v>
      </c>
      <c r="F927">
        <f t="shared" si="116"/>
        <v>1</v>
      </c>
      <c r="G927">
        <f t="shared" si="120"/>
        <v>1</v>
      </c>
      <c r="H927">
        <f t="shared" si="117"/>
        <v>1</v>
      </c>
      <c r="I927" s="4" t="str">
        <f t="shared" si="118"/>
        <v>111</v>
      </c>
      <c r="Q927" s="1">
        <v>0.26445309981755827</v>
      </c>
      <c r="R927" s="1">
        <v>7.3684500567160471E-3</v>
      </c>
    </row>
    <row r="928" spans="1:18" x14ac:dyDescent="0.35">
      <c r="A928" t="s">
        <v>930</v>
      </c>
      <c r="B928" s="2">
        <f t="shared" si="113"/>
        <v>45604</v>
      </c>
      <c r="C928" s="3">
        <f t="shared" si="119"/>
        <v>-45604</v>
      </c>
      <c r="D928">
        <f t="shared" si="114"/>
        <v>875</v>
      </c>
      <c r="E928">
        <f t="shared" si="115"/>
        <v>29</v>
      </c>
      <c r="F928">
        <f t="shared" si="116"/>
        <v>4</v>
      </c>
      <c r="G928">
        <f t="shared" si="120"/>
        <v>4</v>
      </c>
      <c r="H928">
        <f t="shared" si="117"/>
        <v>4</v>
      </c>
      <c r="I928" s="4" t="str">
        <f t="shared" si="118"/>
        <v>444</v>
      </c>
      <c r="Q928" s="1">
        <v>0.87988804210414351</v>
      </c>
      <c r="R928" s="1">
        <v>0.57203186930945615</v>
      </c>
    </row>
    <row r="929" spans="1:18" x14ac:dyDescent="0.35">
      <c r="A929" t="s">
        <v>931</v>
      </c>
      <c r="B929" s="2">
        <f t="shared" si="113"/>
        <v>45297</v>
      </c>
      <c r="C929" s="3">
        <f t="shared" si="119"/>
        <v>-45297</v>
      </c>
      <c r="D929">
        <f t="shared" si="114"/>
        <v>53</v>
      </c>
      <c r="E929">
        <f t="shared" si="115"/>
        <v>1</v>
      </c>
      <c r="F929">
        <f t="shared" si="116"/>
        <v>1</v>
      </c>
      <c r="G929">
        <f t="shared" si="120"/>
        <v>1</v>
      </c>
      <c r="H929">
        <f t="shared" si="117"/>
        <v>1</v>
      </c>
      <c r="I929" s="4" t="str">
        <f t="shared" si="118"/>
        <v>111</v>
      </c>
      <c r="Q929" s="1">
        <v>0.31343493633661512</v>
      </c>
      <c r="R929" s="1">
        <v>8.681347781117954E-3</v>
      </c>
    </row>
    <row r="930" spans="1:18" x14ac:dyDescent="0.35">
      <c r="A930" t="s">
        <v>932</v>
      </c>
      <c r="B930" s="2">
        <f t="shared" si="113"/>
        <v>45735</v>
      </c>
      <c r="C930" s="3">
        <f t="shared" si="119"/>
        <v>-45735</v>
      </c>
      <c r="D930">
        <f t="shared" si="114"/>
        <v>1224</v>
      </c>
      <c r="E930">
        <f t="shared" si="115"/>
        <v>41</v>
      </c>
      <c r="F930">
        <f t="shared" si="116"/>
        <v>5</v>
      </c>
      <c r="G930">
        <f t="shared" si="120"/>
        <v>5</v>
      </c>
      <c r="H930">
        <f t="shared" si="117"/>
        <v>5</v>
      </c>
      <c r="I930" s="4" t="str">
        <f t="shared" si="118"/>
        <v>555</v>
      </c>
      <c r="Q930" s="1">
        <v>0.38802291486933282</v>
      </c>
      <c r="R930" s="1">
        <v>0.8109968205220186</v>
      </c>
    </row>
    <row r="931" spans="1:18" x14ac:dyDescent="0.35">
      <c r="A931" t="s">
        <v>933</v>
      </c>
      <c r="B931" s="2">
        <f t="shared" si="113"/>
        <v>45522</v>
      </c>
      <c r="C931" s="3">
        <f t="shared" si="119"/>
        <v>-45522</v>
      </c>
      <c r="D931">
        <f t="shared" si="114"/>
        <v>654</v>
      </c>
      <c r="E931">
        <f t="shared" si="115"/>
        <v>22</v>
      </c>
      <c r="F931">
        <f t="shared" si="116"/>
        <v>2</v>
      </c>
      <c r="G931">
        <f t="shared" si="120"/>
        <v>2</v>
      </c>
      <c r="H931">
        <f t="shared" si="117"/>
        <v>2</v>
      </c>
      <c r="I931" s="4" t="str">
        <f t="shared" si="118"/>
        <v>222</v>
      </c>
      <c r="Q931" s="1">
        <v>0.68394855424373857</v>
      </c>
      <c r="R931" s="1">
        <v>0.42059745427339124</v>
      </c>
    </row>
    <row r="932" spans="1:18" x14ac:dyDescent="0.35">
      <c r="A932" t="s">
        <v>934</v>
      </c>
      <c r="B932" s="2">
        <f t="shared" si="113"/>
        <v>45498</v>
      </c>
      <c r="C932" s="3">
        <f t="shared" si="119"/>
        <v>-45498</v>
      </c>
      <c r="D932">
        <f t="shared" si="114"/>
        <v>590</v>
      </c>
      <c r="E932">
        <f t="shared" si="115"/>
        <v>19</v>
      </c>
      <c r="F932">
        <f t="shared" si="116"/>
        <v>2</v>
      </c>
      <c r="G932">
        <f t="shared" si="120"/>
        <v>2</v>
      </c>
      <c r="H932">
        <f t="shared" si="117"/>
        <v>2</v>
      </c>
      <c r="I932" s="4" t="str">
        <f t="shared" si="118"/>
        <v>222</v>
      </c>
      <c r="Q932" s="1">
        <v>0.75185463645817197</v>
      </c>
      <c r="R932" s="1">
        <v>0.37642197245192344</v>
      </c>
    </row>
    <row r="933" spans="1:18" x14ac:dyDescent="0.35">
      <c r="A933" t="s">
        <v>935</v>
      </c>
      <c r="B933" s="2">
        <f t="shared" si="113"/>
        <v>45784</v>
      </c>
      <c r="C933" s="3">
        <f t="shared" si="119"/>
        <v>-45784</v>
      </c>
      <c r="D933">
        <f t="shared" si="114"/>
        <v>1356</v>
      </c>
      <c r="E933">
        <f t="shared" si="115"/>
        <v>45</v>
      </c>
      <c r="F933">
        <f t="shared" si="116"/>
        <v>5</v>
      </c>
      <c r="G933">
        <f t="shared" si="120"/>
        <v>5</v>
      </c>
      <c r="H933">
        <f t="shared" si="117"/>
        <v>5</v>
      </c>
      <c r="I933" s="4" t="str">
        <f t="shared" si="118"/>
        <v>555</v>
      </c>
      <c r="Q933" s="1">
        <v>0.56385933236505825</v>
      </c>
      <c r="R933" s="1">
        <v>0.90121424930042049</v>
      </c>
    </row>
    <row r="934" spans="1:18" x14ac:dyDescent="0.35">
      <c r="A934" t="s">
        <v>936</v>
      </c>
      <c r="B934" s="2">
        <f t="shared" si="113"/>
        <v>45694</v>
      </c>
      <c r="C934" s="3">
        <f t="shared" si="119"/>
        <v>-45694</v>
      </c>
      <c r="D934">
        <f t="shared" si="114"/>
        <v>1114</v>
      </c>
      <c r="E934">
        <f t="shared" si="115"/>
        <v>37</v>
      </c>
      <c r="F934">
        <f t="shared" si="116"/>
        <v>4</v>
      </c>
      <c r="G934">
        <f t="shared" si="120"/>
        <v>4</v>
      </c>
      <c r="H934">
        <f t="shared" si="117"/>
        <v>4</v>
      </c>
      <c r="I934" s="4" t="str">
        <f t="shared" si="118"/>
        <v>444</v>
      </c>
      <c r="Q934" s="1">
        <v>0.76498096607336175</v>
      </c>
      <c r="R934" s="1">
        <v>0.73583426234372018</v>
      </c>
    </row>
    <row r="935" spans="1:18" x14ac:dyDescent="0.35">
      <c r="A935" t="s">
        <v>937</v>
      </c>
      <c r="B935" s="2">
        <f t="shared" si="113"/>
        <v>45523</v>
      </c>
      <c r="C935" s="3">
        <f t="shared" si="119"/>
        <v>-45523</v>
      </c>
      <c r="D935">
        <f t="shared" si="114"/>
        <v>659</v>
      </c>
      <c r="E935">
        <f t="shared" si="115"/>
        <v>22</v>
      </c>
      <c r="F935">
        <f t="shared" si="116"/>
        <v>2</v>
      </c>
      <c r="G935">
        <f t="shared" si="120"/>
        <v>2</v>
      </c>
      <c r="H935">
        <f t="shared" si="117"/>
        <v>2</v>
      </c>
      <c r="I935" s="4" t="str">
        <f t="shared" si="118"/>
        <v>222</v>
      </c>
      <c r="Q935" s="1">
        <v>0.88812795281302903</v>
      </c>
      <c r="R935" s="1">
        <v>0.42365362505501192</v>
      </c>
    </row>
    <row r="936" spans="1:18" x14ac:dyDescent="0.35">
      <c r="A936" t="s">
        <v>938</v>
      </c>
      <c r="B936" s="2">
        <f t="shared" si="113"/>
        <v>45508</v>
      </c>
      <c r="C936" s="3">
        <f t="shared" si="119"/>
        <v>-45508</v>
      </c>
      <c r="D936">
        <f t="shared" si="114"/>
        <v>616</v>
      </c>
      <c r="E936">
        <f t="shared" si="115"/>
        <v>20</v>
      </c>
      <c r="F936">
        <f t="shared" si="116"/>
        <v>2</v>
      </c>
      <c r="G936">
        <f t="shared" si="120"/>
        <v>2</v>
      </c>
      <c r="H936">
        <f t="shared" si="117"/>
        <v>2</v>
      </c>
      <c r="I936" s="4" t="str">
        <f t="shared" si="118"/>
        <v>222</v>
      </c>
      <c r="Q936" s="1">
        <v>0.65117522357063151</v>
      </c>
      <c r="R936" s="1">
        <v>0.394827464534241</v>
      </c>
    </row>
    <row r="937" spans="1:18" x14ac:dyDescent="0.35">
      <c r="A937" t="s">
        <v>939</v>
      </c>
      <c r="B937" s="2">
        <f t="shared" si="113"/>
        <v>45408</v>
      </c>
      <c r="C937" s="3">
        <f t="shared" si="119"/>
        <v>-45408</v>
      </c>
      <c r="D937">
        <f t="shared" si="114"/>
        <v>350</v>
      </c>
      <c r="E937">
        <f t="shared" si="115"/>
        <v>11</v>
      </c>
      <c r="F937">
        <f t="shared" si="116"/>
        <v>1</v>
      </c>
      <c r="G937">
        <f t="shared" si="120"/>
        <v>1</v>
      </c>
      <c r="H937">
        <f t="shared" si="117"/>
        <v>1</v>
      </c>
      <c r="I937" s="4" t="str">
        <f t="shared" si="118"/>
        <v>111</v>
      </c>
      <c r="Q937" s="1">
        <v>0.5558152257492025</v>
      </c>
      <c r="R937" s="1">
        <v>0.21220369561161856</v>
      </c>
    </row>
    <row r="938" spans="1:18" x14ac:dyDescent="0.35">
      <c r="A938" t="s">
        <v>940</v>
      </c>
      <c r="B938" s="2">
        <f t="shared" si="113"/>
        <v>45834</v>
      </c>
      <c r="C938" s="3">
        <f t="shared" si="119"/>
        <v>-45834</v>
      </c>
      <c r="D938">
        <f t="shared" si="114"/>
        <v>1489</v>
      </c>
      <c r="E938">
        <f t="shared" si="115"/>
        <v>50</v>
      </c>
      <c r="F938">
        <f t="shared" si="116"/>
        <v>5</v>
      </c>
      <c r="G938">
        <f t="shared" si="120"/>
        <v>5</v>
      </c>
      <c r="H938">
        <f t="shared" si="117"/>
        <v>5</v>
      </c>
      <c r="I938" s="4" t="str">
        <f t="shared" si="118"/>
        <v>555</v>
      </c>
      <c r="Q938" s="1">
        <v>0.11065044272508473</v>
      </c>
      <c r="R938" s="1">
        <v>0.99255171385442043</v>
      </c>
    </row>
    <row r="939" spans="1:18" x14ac:dyDescent="0.35">
      <c r="A939" t="s">
        <v>941</v>
      </c>
      <c r="B939" s="2">
        <f t="shared" si="113"/>
        <v>45467</v>
      </c>
      <c r="C939" s="3">
        <f t="shared" si="119"/>
        <v>-45467</v>
      </c>
      <c r="D939">
        <f t="shared" si="114"/>
        <v>507</v>
      </c>
      <c r="E939">
        <f t="shared" si="115"/>
        <v>17</v>
      </c>
      <c r="F939">
        <f t="shared" si="116"/>
        <v>2</v>
      </c>
      <c r="G939">
        <f t="shared" si="120"/>
        <v>2</v>
      </c>
      <c r="H939">
        <f t="shared" si="117"/>
        <v>2</v>
      </c>
      <c r="I939" s="4" t="str">
        <f t="shared" si="118"/>
        <v>222</v>
      </c>
      <c r="Q939" s="1">
        <v>0.4009520238939438</v>
      </c>
      <c r="R939" s="1">
        <v>0.31997757451241904</v>
      </c>
    </row>
    <row r="940" spans="1:18" x14ac:dyDescent="0.35">
      <c r="A940" t="s">
        <v>942</v>
      </c>
      <c r="B940" s="2">
        <f t="shared" si="113"/>
        <v>45304</v>
      </c>
      <c r="C940" s="3">
        <f t="shared" si="119"/>
        <v>-45304</v>
      </c>
      <c r="D940">
        <f t="shared" si="114"/>
        <v>73</v>
      </c>
      <c r="E940">
        <f t="shared" si="115"/>
        <v>2</v>
      </c>
      <c r="F940">
        <f t="shared" si="116"/>
        <v>1</v>
      </c>
      <c r="G940">
        <f t="shared" si="120"/>
        <v>1</v>
      </c>
      <c r="H940">
        <f t="shared" si="117"/>
        <v>1</v>
      </c>
      <c r="I940" s="4" t="str">
        <f t="shared" si="118"/>
        <v>111</v>
      </c>
      <c r="Q940" s="1">
        <v>8.3775225951063681E-2</v>
      </c>
      <c r="R940" s="1">
        <v>2.2477135880536681E-2</v>
      </c>
    </row>
    <row r="941" spans="1:18" x14ac:dyDescent="0.35">
      <c r="A941" t="s">
        <v>943</v>
      </c>
      <c r="B941" s="2">
        <f t="shared" si="113"/>
        <v>45603</v>
      </c>
      <c r="C941" s="3">
        <f t="shared" si="119"/>
        <v>-45603</v>
      </c>
      <c r="D941">
        <f t="shared" si="114"/>
        <v>871</v>
      </c>
      <c r="E941">
        <f t="shared" si="115"/>
        <v>29</v>
      </c>
      <c r="F941">
        <f t="shared" si="116"/>
        <v>4</v>
      </c>
      <c r="G941">
        <f t="shared" si="120"/>
        <v>4</v>
      </c>
      <c r="H941">
        <f t="shared" si="117"/>
        <v>4</v>
      </c>
      <c r="I941" s="4" t="str">
        <f t="shared" si="118"/>
        <v>444</v>
      </c>
      <c r="Q941" s="1">
        <v>0.54671503940571797</v>
      </c>
      <c r="R941" s="1">
        <v>0.56930737764529971</v>
      </c>
    </row>
    <row r="942" spans="1:18" x14ac:dyDescent="0.35">
      <c r="A942" t="s">
        <v>944</v>
      </c>
      <c r="B942" s="2">
        <f t="shared" si="113"/>
        <v>45383</v>
      </c>
      <c r="C942" s="3">
        <f t="shared" si="119"/>
        <v>-45383</v>
      </c>
      <c r="D942">
        <f t="shared" si="114"/>
        <v>282</v>
      </c>
      <c r="E942">
        <f t="shared" si="115"/>
        <v>9</v>
      </c>
      <c r="F942">
        <f t="shared" si="116"/>
        <v>1</v>
      </c>
      <c r="G942">
        <f t="shared" si="120"/>
        <v>1</v>
      </c>
      <c r="H942">
        <f t="shared" si="117"/>
        <v>1</v>
      </c>
      <c r="I942" s="4" t="str">
        <f t="shared" si="118"/>
        <v>111</v>
      </c>
      <c r="Q942" s="1">
        <v>0.93192320846637888</v>
      </c>
      <c r="R942" s="1">
        <v>0.16602781638248199</v>
      </c>
    </row>
    <row r="943" spans="1:18" x14ac:dyDescent="0.35">
      <c r="A943" t="s">
        <v>945</v>
      </c>
      <c r="B943" s="2">
        <f t="shared" si="113"/>
        <v>45711</v>
      </c>
      <c r="C943" s="3">
        <f t="shared" si="119"/>
        <v>-45711</v>
      </c>
      <c r="D943">
        <f t="shared" si="114"/>
        <v>1160</v>
      </c>
      <c r="E943">
        <f t="shared" si="115"/>
        <v>39</v>
      </c>
      <c r="F943">
        <f t="shared" si="116"/>
        <v>5</v>
      </c>
      <c r="G943">
        <f t="shared" si="120"/>
        <v>4</v>
      </c>
      <c r="H943">
        <f t="shared" si="117"/>
        <v>4</v>
      </c>
      <c r="I943" s="4" t="str">
        <f t="shared" si="118"/>
        <v>544</v>
      </c>
      <c r="Q943" s="1">
        <v>0.42954817302036186</v>
      </c>
      <c r="R943" s="1">
        <v>0.7674623046316309</v>
      </c>
    </row>
    <row r="944" spans="1:18" x14ac:dyDescent="0.35">
      <c r="A944" t="s">
        <v>946</v>
      </c>
      <c r="B944" s="2">
        <f t="shared" si="113"/>
        <v>45675</v>
      </c>
      <c r="C944" s="3">
        <f t="shared" si="119"/>
        <v>-45675</v>
      </c>
      <c r="D944">
        <f t="shared" si="114"/>
        <v>1063</v>
      </c>
      <c r="E944">
        <f t="shared" si="115"/>
        <v>35</v>
      </c>
      <c r="F944">
        <f t="shared" si="116"/>
        <v>4</v>
      </c>
      <c r="G944">
        <f t="shared" si="120"/>
        <v>4</v>
      </c>
      <c r="H944">
        <f t="shared" si="117"/>
        <v>4</v>
      </c>
      <c r="I944" s="4" t="str">
        <f t="shared" si="118"/>
        <v>444</v>
      </c>
      <c r="Q944" s="1">
        <v>0.61531321364312508</v>
      </c>
      <c r="R944" s="1">
        <v>0.70089720493094154</v>
      </c>
    </row>
    <row r="945" spans="1:18" x14ac:dyDescent="0.35">
      <c r="A945" t="s">
        <v>947</v>
      </c>
      <c r="B945" s="2">
        <f t="shared" si="113"/>
        <v>45822</v>
      </c>
      <c r="C945" s="3">
        <f t="shared" si="119"/>
        <v>-45822</v>
      </c>
      <c r="D945">
        <f t="shared" si="114"/>
        <v>1457</v>
      </c>
      <c r="E945">
        <f t="shared" si="115"/>
        <v>49</v>
      </c>
      <c r="F945">
        <f t="shared" si="116"/>
        <v>5</v>
      </c>
      <c r="G945">
        <f t="shared" si="120"/>
        <v>5</v>
      </c>
      <c r="H945">
        <f t="shared" si="117"/>
        <v>5</v>
      </c>
      <c r="I945" s="4" t="str">
        <f t="shared" si="118"/>
        <v>555</v>
      </c>
      <c r="Q945" s="1">
        <v>0.88597308736143343</v>
      </c>
      <c r="R945" s="1">
        <v>0.97065929283307262</v>
      </c>
    </row>
    <row r="946" spans="1:18" x14ac:dyDescent="0.35">
      <c r="A946" t="s">
        <v>948</v>
      </c>
      <c r="B946" s="2">
        <f t="shared" si="113"/>
        <v>45777</v>
      </c>
      <c r="C946" s="3">
        <f t="shared" si="119"/>
        <v>-45777</v>
      </c>
      <c r="D946">
        <f t="shared" si="114"/>
        <v>1338</v>
      </c>
      <c r="E946">
        <f t="shared" si="115"/>
        <v>45</v>
      </c>
      <c r="F946">
        <f t="shared" si="116"/>
        <v>5</v>
      </c>
      <c r="G946">
        <f t="shared" si="120"/>
        <v>5</v>
      </c>
      <c r="H946">
        <f t="shared" si="117"/>
        <v>5</v>
      </c>
      <c r="I946" s="4" t="str">
        <f t="shared" si="118"/>
        <v>555</v>
      </c>
      <c r="Q946" s="1">
        <v>0.83464888442243601</v>
      </c>
      <c r="R946" s="1">
        <v>0.88881479314720646</v>
      </c>
    </row>
    <row r="947" spans="1:18" x14ac:dyDescent="0.35">
      <c r="A947" t="s">
        <v>949</v>
      </c>
      <c r="B947" s="2">
        <f t="shared" si="113"/>
        <v>45753</v>
      </c>
      <c r="C947" s="3">
        <f t="shared" si="119"/>
        <v>-45753</v>
      </c>
      <c r="D947">
        <f t="shared" si="114"/>
        <v>1273</v>
      </c>
      <c r="E947">
        <f t="shared" si="115"/>
        <v>42</v>
      </c>
      <c r="F947">
        <f t="shared" si="116"/>
        <v>5</v>
      </c>
      <c r="G947">
        <f t="shared" si="120"/>
        <v>5</v>
      </c>
      <c r="H947">
        <f t="shared" si="117"/>
        <v>5</v>
      </c>
      <c r="I947" s="4" t="str">
        <f t="shared" si="118"/>
        <v>555</v>
      </c>
      <c r="Q947" s="1">
        <v>0.16717726532493704</v>
      </c>
      <c r="R947" s="1">
        <v>0.84454021826471704</v>
      </c>
    </row>
    <row r="948" spans="1:18" x14ac:dyDescent="0.35">
      <c r="A948" t="s">
        <v>950</v>
      </c>
      <c r="B948" s="2">
        <f t="shared" si="113"/>
        <v>45647</v>
      </c>
      <c r="C948" s="3">
        <f t="shared" si="119"/>
        <v>-45647</v>
      </c>
      <c r="D948">
        <f t="shared" si="114"/>
        <v>988</v>
      </c>
      <c r="E948">
        <f t="shared" si="115"/>
        <v>33</v>
      </c>
      <c r="F948">
        <f t="shared" si="116"/>
        <v>4</v>
      </c>
      <c r="G948">
        <f t="shared" si="120"/>
        <v>4</v>
      </c>
      <c r="H948">
        <f t="shared" si="117"/>
        <v>4</v>
      </c>
      <c r="I948" s="4" t="str">
        <f t="shared" si="118"/>
        <v>444</v>
      </c>
      <c r="Q948" s="1">
        <v>0.28415296519068112</v>
      </c>
      <c r="R948" s="1">
        <v>0.64951493545251437</v>
      </c>
    </row>
    <row r="949" spans="1:18" x14ac:dyDescent="0.35">
      <c r="A949" t="s">
        <v>951</v>
      </c>
      <c r="B949" s="2">
        <f t="shared" si="113"/>
        <v>45649</v>
      </c>
      <c r="C949" s="3">
        <f t="shared" si="119"/>
        <v>-45649</v>
      </c>
      <c r="D949">
        <f t="shared" si="114"/>
        <v>995</v>
      </c>
      <c r="E949">
        <f t="shared" si="115"/>
        <v>33</v>
      </c>
      <c r="F949">
        <f t="shared" si="116"/>
        <v>4</v>
      </c>
      <c r="G949">
        <f t="shared" si="120"/>
        <v>4</v>
      </c>
      <c r="H949">
        <f t="shared" si="117"/>
        <v>4</v>
      </c>
      <c r="I949" s="4" t="str">
        <f t="shared" si="118"/>
        <v>444</v>
      </c>
      <c r="Q949" s="1">
        <v>0.39432089628525047</v>
      </c>
      <c r="R949" s="1">
        <v>0.65378748182274937</v>
      </c>
    </row>
    <row r="950" spans="1:18" x14ac:dyDescent="0.35">
      <c r="A950" t="s">
        <v>952</v>
      </c>
      <c r="B950" s="2">
        <f t="shared" si="113"/>
        <v>45495</v>
      </c>
      <c r="C950" s="3">
        <f t="shared" si="119"/>
        <v>-45495</v>
      </c>
      <c r="D950">
        <f t="shared" si="114"/>
        <v>583</v>
      </c>
      <c r="E950">
        <f t="shared" si="115"/>
        <v>19</v>
      </c>
      <c r="F950">
        <f t="shared" si="116"/>
        <v>2</v>
      </c>
      <c r="G950">
        <f t="shared" si="120"/>
        <v>2</v>
      </c>
      <c r="H950">
        <f t="shared" si="117"/>
        <v>2</v>
      </c>
      <c r="I950" s="4" t="str">
        <f t="shared" si="118"/>
        <v>222</v>
      </c>
      <c r="Q950" s="1">
        <v>9.5874387485495038E-4</v>
      </c>
      <c r="R950" s="1">
        <v>0.37225987732599786</v>
      </c>
    </row>
    <row r="951" spans="1:18" x14ac:dyDescent="0.35">
      <c r="A951" t="s">
        <v>953</v>
      </c>
      <c r="B951" s="2">
        <f t="shared" si="113"/>
        <v>45491</v>
      </c>
      <c r="C951" s="3">
        <f t="shared" si="119"/>
        <v>-45491</v>
      </c>
      <c r="D951">
        <f t="shared" si="114"/>
        <v>572</v>
      </c>
      <c r="E951">
        <f t="shared" si="115"/>
        <v>19</v>
      </c>
      <c r="F951">
        <f t="shared" si="116"/>
        <v>2</v>
      </c>
      <c r="G951">
        <f t="shared" si="120"/>
        <v>2</v>
      </c>
      <c r="H951">
        <f t="shared" si="117"/>
        <v>2</v>
      </c>
      <c r="I951" s="4" t="str">
        <f t="shared" si="118"/>
        <v>222</v>
      </c>
      <c r="Q951" s="1">
        <v>0.22256869604269969</v>
      </c>
      <c r="R951" s="1">
        <v>0.36440994221152601</v>
      </c>
    </row>
    <row r="952" spans="1:18" x14ac:dyDescent="0.35">
      <c r="A952" t="s">
        <v>954</v>
      </c>
      <c r="B952" s="2">
        <f t="shared" si="113"/>
        <v>45485</v>
      </c>
      <c r="C952" s="3">
        <f t="shared" si="119"/>
        <v>-45485</v>
      </c>
      <c r="D952">
        <f t="shared" si="114"/>
        <v>556</v>
      </c>
      <c r="E952">
        <f t="shared" si="115"/>
        <v>18</v>
      </c>
      <c r="F952">
        <f t="shared" si="116"/>
        <v>2</v>
      </c>
      <c r="G952">
        <f t="shared" si="120"/>
        <v>2</v>
      </c>
      <c r="H952">
        <f t="shared" si="117"/>
        <v>2</v>
      </c>
      <c r="I952" s="4" t="str">
        <f t="shared" si="118"/>
        <v>222</v>
      </c>
      <c r="Q952" s="1">
        <v>0.85696660676818581</v>
      </c>
      <c r="R952" s="1">
        <v>0.35351950218935702</v>
      </c>
    </row>
    <row r="953" spans="1:18" x14ac:dyDescent="0.35">
      <c r="A953" t="s">
        <v>955</v>
      </c>
      <c r="B953" s="2">
        <f t="shared" si="113"/>
        <v>45579</v>
      </c>
      <c r="C953" s="3">
        <f t="shared" si="119"/>
        <v>-45579</v>
      </c>
      <c r="D953">
        <f t="shared" si="114"/>
        <v>807</v>
      </c>
      <c r="E953">
        <f t="shared" si="115"/>
        <v>27</v>
      </c>
      <c r="F953">
        <f t="shared" si="116"/>
        <v>4</v>
      </c>
      <c r="G953">
        <f t="shared" si="120"/>
        <v>4</v>
      </c>
      <c r="H953">
        <f t="shared" si="117"/>
        <v>4</v>
      </c>
      <c r="I953" s="4" t="str">
        <f t="shared" si="118"/>
        <v>444</v>
      </c>
      <c r="Q953" s="1">
        <v>0.94025983508888267</v>
      </c>
      <c r="R953" s="1">
        <v>0.52534737528175524</v>
      </c>
    </row>
    <row r="954" spans="1:18" x14ac:dyDescent="0.35">
      <c r="A954" t="s">
        <v>956</v>
      </c>
      <c r="B954" s="2">
        <f t="shared" si="113"/>
        <v>45668</v>
      </c>
      <c r="C954" s="3">
        <f t="shared" si="119"/>
        <v>-45668</v>
      </c>
      <c r="D954">
        <f t="shared" si="114"/>
        <v>1045</v>
      </c>
      <c r="E954">
        <f t="shared" si="115"/>
        <v>35</v>
      </c>
      <c r="F954">
        <f t="shared" si="116"/>
        <v>4</v>
      </c>
      <c r="G954">
        <f t="shared" si="120"/>
        <v>4</v>
      </c>
      <c r="H954">
        <f t="shared" si="117"/>
        <v>4</v>
      </c>
      <c r="I954" s="4" t="str">
        <f t="shared" si="118"/>
        <v>444</v>
      </c>
      <c r="Q954" s="1">
        <v>0.61416297220704752</v>
      </c>
      <c r="R954" s="1">
        <v>0.68835572874345241</v>
      </c>
    </row>
    <row r="955" spans="1:18" x14ac:dyDescent="0.35">
      <c r="A955" t="s">
        <v>957</v>
      </c>
      <c r="B955" s="2">
        <f t="shared" si="113"/>
        <v>45491</v>
      </c>
      <c r="C955" s="3">
        <f t="shared" si="119"/>
        <v>-45491</v>
      </c>
      <c r="D955">
        <f t="shared" si="114"/>
        <v>571</v>
      </c>
      <c r="E955">
        <f t="shared" si="115"/>
        <v>19</v>
      </c>
      <c r="F955">
        <f t="shared" si="116"/>
        <v>2</v>
      </c>
      <c r="G955">
        <f t="shared" si="120"/>
        <v>2</v>
      </c>
      <c r="H955">
        <f t="shared" si="117"/>
        <v>2</v>
      </c>
      <c r="I955" s="4" t="str">
        <f t="shared" si="118"/>
        <v>222</v>
      </c>
      <c r="Q955" s="1">
        <v>0.29780428753388011</v>
      </c>
      <c r="R955" s="1">
        <v>0.36381920432832093</v>
      </c>
    </row>
    <row r="956" spans="1:18" x14ac:dyDescent="0.35">
      <c r="A956" t="s">
        <v>958</v>
      </c>
      <c r="B956" s="2">
        <f t="shared" si="113"/>
        <v>45503</v>
      </c>
      <c r="C956" s="3">
        <f t="shared" si="119"/>
        <v>-45503</v>
      </c>
      <c r="D956">
        <f t="shared" si="114"/>
        <v>604</v>
      </c>
      <c r="E956">
        <f t="shared" si="115"/>
        <v>20</v>
      </c>
      <c r="F956">
        <f t="shared" si="116"/>
        <v>2</v>
      </c>
      <c r="G956">
        <f t="shared" si="120"/>
        <v>2</v>
      </c>
      <c r="H956">
        <f t="shared" si="117"/>
        <v>2</v>
      </c>
      <c r="I956" s="4" t="str">
        <f t="shared" si="118"/>
        <v>222</v>
      </c>
      <c r="Q956" s="1">
        <v>0.14197993667838515</v>
      </c>
      <c r="R956" s="1">
        <v>0.38631925270300294</v>
      </c>
    </row>
    <row r="957" spans="1:18" x14ac:dyDescent="0.35">
      <c r="A957" t="s">
        <v>959</v>
      </c>
      <c r="B957" s="2">
        <f t="shared" si="113"/>
        <v>45731</v>
      </c>
      <c r="C957" s="3">
        <f t="shared" si="119"/>
        <v>-45731</v>
      </c>
      <c r="D957">
        <f t="shared" si="114"/>
        <v>1214</v>
      </c>
      <c r="E957">
        <f t="shared" si="115"/>
        <v>40</v>
      </c>
      <c r="F957">
        <f t="shared" si="116"/>
        <v>5</v>
      </c>
      <c r="G957">
        <f t="shared" si="120"/>
        <v>5</v>
      </c>
      <c r="H957">
        <f t="shared" si="117"/>
        <v>5</v>
      </c>
      <c r="I957" s="4" t="str">
        <f t="shared" si="118"/>
        <v>555</v>
      </c>
      <c r="Q957" s="1">
        <v>0.14276386655555573</v>
      </c>
      <c r="R957" s="1">
        <v>0.80437273472301929</v>
      </c>
    </row>
    <row r="958" spans="1:18" x14ac:dyDescent="0.35">
      <c r="A958" t="s">
        <v>960</v>
      </c>
      <c r="B958" s="2">
        <f t="shared" si="113"/>
        <v>45536</v>
      </c>
      <c r="C958" s="3">
        <f t="shared" si="119"/>
        <v>-45536</v>
      </c>
      <c r="D958">
        <f t="shared" si="114"/>
        <v>692</v>
      </c>
      <c r="E958">
        <f t="shared" si="115"/>
        <v>23</v>
      </c>
      <c r="F958">
        <f t="shared" si="116"/>
        <v>2</v>
      </c>
      <c r="G958">
        <f t="shared" si="120"/>
        <v>2</v>
      </c>
      <c r="H958">
        <f t="shared" si="117"/>
        <v>2</v>
      </c>
      <c r="I958" s="4" t="str">
        <f t="shared" si="118"/>
        <v>222</v>
      </c>
      <c r="Q958" s="1">
        <v>0.74257005344508442</v>
      </c>
      <c r="R958" s="1">
        <v>0.44674835280160241</v>
      </c>
    </row>
    <row r="959" spans="1:18" x14ac:dyDescent="0.35">
      <c r="A959" t="s">
        <v>961</v>
      </c>
      <c r="B959" s="2">
        <f t="shared" si="113"/>
        <v>45742</v>
      </c>
      <c r="C959" s="3">
        <f t="shared" si="119"/>
        <v>-45742</v>
      </c>
      <c r="D959">
        <f t="shared" si="114"/>
        <v>1245</v>
      </c>
      <c r="E959">
        <f t="shared" si="115"/>
        <v>41</v>
      </c>
      <c r="F959">
        <f t="shared" si="116"/>
        <v>5</v>
      </c>
      <c r="G959">
        <f t="shared" si="120"/>
        <v>5</v>
      </c>
      <c r="H959">
        <f t="shared" si="117"/>
        <v>5</v>
      </c>
      <c r="I959" s="4" t="str">
        <f t="shared" si="118"/>
        <v>555</v>
      </c>
      <c r="Q959" s="1">
        <v>0.94733702302625378</v>
      </c>
      <c r="R959" s="1">
        <v>0.82500878070310857</v>
      </c>
    </row>
    <row r="960" spans="1:18" x14ac:dyDescent="0.35">
      <c r="A960" t="s">
        <v>962</v>
      </c>
      <c r="B960" s="2">
        <f t="shared" si="113"/>
        <v>45468</v>
      </c>
      <c r="C960" s="3">
        <f t="shared" si="119"/>
        <v>-45468</v>
      </c>
      <c r="D960">
        <f t="shared" si="114"/>
        <v>511</v>
      </c>
      <c r="E960">
        <f t="shared" si="115"/>
        <v>17</v>
      </c>
      <c r="F960">
        <f t="shared" si="116"/>
        <v>2</v>
      </c>
      <c r="G960">
        <f t="shared" si="120"/>
        <v>2</v>
      </c>
      <c r="H960">
        <f t="shared" si="117"/>
        <v>2</v>
      </c>
      <c r="I960" s="4" t="str">
        <f t="shared" si="118"/>
        <v>222</v>
      </c>
      <c r="Q960" s="1">
        <v>0.57406154649185703</v>
      </c>
      <c r="R960" s="1">
        <v>0.32236483245037717</v>
      </c>
    </row>
    <row r="961" spans="1:18" x14ac:dyDescent="0.35">
      <c r="A961" t="s">
        <v>963</v>
      </c>
      <c r="B961" s="2">
        <f t="shared" si="113"/>
        <v>45682</v>
      </c>
      <c r="C961" s="3">
        <f t="shared" si="119"/>
        <v>-45682</v>
      </c>
      <c r="D961">
        <f t="shared" si="114"/>
        <v>1084</v>
      </c>
      <c r="E961">
        <f t="shared" si="115"/>
        <v>36</v>
      </c>
      <c r="F961">
        <f t="shared" si="116"/>
        <v>4</v>
      </c>
      <c r="G961">
        <f t="shared" si="120"/>
        <v>4</v>
      </c>
      <c r="H961">
        <f t="shared" si="117"/>
        <v>4</v>
      </c>
      <c r="I961" s="4" t="str">
        <f t="shared" si="118"/>
        <v>444</v>
      </c>
      <c r="Q961" s="1">
        <v>0.20829358413219745</v>
      </c>
      <c r="R961" s="1">
        <v>0.71490392392258595</v>
      </c>
    </row>
    <row r="962" spans="1:18" x14ac:dyDescent="0.35">
      <c r="A962" t="s">
        <v>964</v>
      </c>
      <c r="B962" s="2">
        <f t="shared" si="113"/>
        <v>45722</v>
      </c>
      <c r="C962" s="3">
        <f t="shared" si="119"/>
        <v>-45722</v>
      </c>
      <c r="D962">
        <f t="shared" si="114"/>
        <v>1191</v>
      </c>
      <c r="E962">
        <f t="shared" si="115"/>
        <v>40</v>
      </c>
      <c r="F962">
        <f t="shared" si="116"/>
        <v>5</v>
      </c>
      <c r="G962">
        <f t="shared" si="120"/>
        <v>5</v>
      </c>
      <c r="H962">
        <f t="shared" si="117"/>
        <v>5</v>
      </c>
      <c r="I962" s="4" t="str">
        <f t="shared" si="118"/>
        <v>555</v>
      </c>
      <c r="Q962" s="1">
        <v>0.27475311599902563</v>
      </c>
      <c r="R962" s="1">
        <v>0.78806124103625586</v>
      </c>
    </row>
    <row r="963" spans="1:18" x14ac:dyDescent="0.35">
      <c r="A963" t="s">
        <v>965</v>
      </c>
      <c r="B963" s="2">
        <f t="shared" ref="B963:B1001" si="121">ROUND(R963*(45838-45292)+45292,0)</f>
        <v>45735</v>
      </c>
      <c r="C963" s="3">
        <f t="shared" si="119"/>
        <v>-45735</v>
      </c>
      <c r="D963">
        <f t="shared" ref="D963:D1001" si="122">ROUND((R963)*(1500-40)+40,0)</f>
        <v>1224</v>
      </c>
      <c r="E963">
        <f t="shared" ref="E963:E1001" si="123">ROUND((R963)*(50-1)+1,0)</f>
        <v>41</v>
      </c>
      <c r="F963">
        <f t="shared" ref="F963:F1001" si="124">IF(C963&lt;=$M$4,5,IF(C963&lt;=$M$9,4,IF(C963&lt;=$M$5,3,IF(C963&lt;=$M$6,2,1))))</f>
        <v>5</v>
      </c>
      <c r="G963">
        <f t="shared" si="120"/>
        <v>5</v>
      </c>
      <c r="H963">
        <f t="shared" ref="H963:H1001" si="125">IF(D963&lt;=$M$24,1,IF(D963&lt;=$M$25,2,IF(D963&lt;=$M$29,3,IF(D963&lt;=$M$26,4,5))))</f>
        <v>5</v>
      </c>
      <c r="I963" s="4" t="str">
        <f t="shared" ref="I963:I1001" si="126">CONCATENATE(F963,G963,H963)</f>
        <v>555</v>
      </c>
      <c r="Q963" s="1">
        <v>0.98344182200599073</v>
      </c>
      <c r="R963" s="1">
        <v>0.81069374503688307</v>
      </c>
    </row>
    <row r="964" spans="1:18" x14ac:dyDescent="0.35">
      <c r="A964" t="s">
        <v>966</v>
      </c>
      <c r="B964" s="2">
        <f t="shared" si="121"/>
        <v>45571</v>
      </c>
      <c r="C964" s="3">
        <f t="shared" ref="C964:C1001" si="127">$S$4-B964</f>
        <v>-45571</v>
      </c>
      <c r="D964">
        <f t="shared" si="122"/>
        <v>787</v>
      </c>
      <c r="E964">
        <f t="shared" si="123"/>
        <v>26</v>
      </c>
      <c r="F964">
        <f t="shared" si="124"/>
        <v>4</v>
      </c>
      <c r="G964">
        <f t="shared" ref="G964:G1001" si="128">IF(E964&lt;=$M$14,1,IF(E964&lt;=$M$15,2,IF(E964&lt;=$M$19,3,IF(E964&lt;=$M$16,4,5))))</f>
        <v>4</v>
      </c>
      <c r="H964">
        <f t="shared" si="125"/>
        <v>4</v>
      </c>
      <c r="I964" s="4" t="str">
        <f t="shared" si="126"/>
        <v>444</v>
      </c>
      <c r="Q964" s="1">
        <v>5.1461278239271824E-2</v>
      </c>
      <c r="R964" s="1">
        <v>0.51148115449450526</v>
      </c>
    </row>
    <row r="965" spans="1:18" x14ac:dyDescent="0.35">
      <c r="A965" t="s">
        <v>967</v>
      </c>
      <c r="B965" s="2">
        <f t="shared" si="121"/>
        <v>45756</v>
      </c>
      <c r="C965" s="3">
        <f t="shared" si="127"/>
        <v>-45756</v>
      </c>
      <c r="D965">
        <f t="shared" si="122"/>
        <v>1281</v>
      </c>
      <c r="E965">
        <f t="shared" si="123"/>
        <v>43</v>
      </c>
      <c r="F965">
        <f t="shared" si="124"/>
        <v>5</v>
      </c>
      <c r="G965">
        <f t="shared" si="128"/>
        <v>5</v>
      </c>
      <c r="H965">
        <f t="shared" si="125"/>
        <v>5</v>
      </c>
      <c r="I965" s="4" t="str">
        <f t="shared" si="126"/>
        <v>555</v>
      </c>
      <c r="Q965" s="1">
        <v>0.59959914921590407</v>
      </c>
      <c r="R965" s="1">
        <v>0.85014196467815295</v>
      </c>
    </row>
    <row r="966" spans="1:18" x14ac:dyDescent="0.35">
      <c r="A966" t="s">
        <v>968</v>
      </c>
      <c r="B966" s="2">
        <f t="shared" si="121"/>
        <v>45739</v>
      </c>
      <c r="C966" s="3">
        <f t="shared" si="127"/>
        <v>-45739</v>
      </c>
      <c r="D966">
        <f t="shared" si="122"/>
        <v>1235</v>
      </c>
      <c r="E966">
        <f t="shared" si="123"/>
        <v>41</v>
      </c>
      <c r="F966">
        <f t="shared" si="124"/>
        <v>5</v>
      </c>
      <c r="G966">
        <f t="shared" si="128"/>
        <v>5</v>
      </c>
      <c r="H966">
        <f t="shared" si="125"/>
        <v>5</v>
      </c>
      <c r="I966" s="4" t="str">
        <f t="shared" si="126"/>
        <v>555</v>
      </c>
      <c r="Q966" s="1">
        <v>0.98115753693615615</v>
      </c>
      <c r="R966" s="1">
        <v>0.81845890843090263</v>
      </c>
    </row>
    <row r="967" spans="1:18" x14ac:dyDescent="0.35">
      <c r="A967" t="s">
        <v>969</v>
      </c>
      <c r="B967" s="2">
        <f t="shared" si="121"/>
        <v>45789</v>
      </c>
      <c r="C967" s="3">
        <f t="shared" si="127"/>
        <v>-45789</v>
      </c>
      <c r="D967">
        <f t="shared" si="122"/>
        <v>1370</v>
      </c>
      <c r="E967">
        <f t="shared" si="123"/>
        <v>46</v>
      </c>
      <c r="F967">
        <f t="shared" si="124"/>
        <v>5</v>
      </c>
      <c r="G967">
        <f t="shared" si="128"/>
        <v>5</v>
      </c>
      <c r="H967">
        <f t="shared" si="125"/>
        <v>5</v>
      </c>
      <c r="I967" s="4" t="str">
        <f t="shared" si="126"/>
        <v>555</v>
      </c>
      <c r="Q967" s="1">
        <v>0.48824085641582038</v>
      </c>
      <c r="R967" s="1">
        <v>0.91105348480196013</v>
      </c>
    </row>
    <row r="968" spans="1:18" x14ac:dyDescent="0.35">
      <c r="A968" t="s">
        <v>970</v>
      </c>
      <c r="B968" s="2">
        <f t="shared" si="121"/>
        <v>45688</v>
      </c>
      <c r="C968" s="3">
        <f t="shared" si="127"/>
        <v>-45688</v>
      </c>
      <c r="D968">
        <f t="shared" si="122"/>
        <v>1100</v>
      </c>
      <c r="E968">
        <f t="shared" si="123"/>
        <v>37</v>
      </c>
      <c r="F968">
        <f t="shared" si="124"/>
        <v>4</v>
      </c>
      <c r="G968">
        <f t="shared" si="128"/>
        <v>4</v>
      </c>
      <c r="H968">
        <f t="shared" si="125"/>
        <v>4</v>
      </c>
      <c r="I968" s="4" t="str">
        <f t="shared" si="126"/>
        <v>444</v>
      </c>
      <c r="Q968" s="1">
        <v>0.64575711480929898</v>
      </c>
      <c r="R968" s="1">
        <v>0.72573394233621324</v>
      </c>
    </row>
    <row r="969" spans="1:18" x14ac:dyDescent="0.35">
      <c r="A969" t="s">
        <v>971</v>
      </c>
      <c r="B969" s="2">
        <f t="shared" si="121"/>
        <v>45586</v>
      </c>
      <c r="C969" s="3">
        <f t="shared" si="127"/>
        <v>-45586</v>
      </c>
      <c r="D969">
        <f t="shared" si="122"/>
        <v>826</v>
      </c>
      <c r="E969">
        <f t="shared" si="123"/>
        <v>27</v>
      </c>
      <c r="F969">
        <f t="shared" si="124"/>
        <v>4</v>
      </c>
      <c r="G969">
        <f t="shared" si="128"/>
        <v>4</v>
      </c>
      <c r="H969">
        <f t="shared" si="125"/>
        <v>4</v>
      </c>
      <c r="I969" s="4" t="str">
        <f t="shared" si="126"/>
        <v>444</v>
      </c>
      <c r="Q969" s="1">
        <v>0.49653516937328512</v>
      </c>
      <c r="R969" s="1">
        <v>0.5381672680680637</v>
      </c>
    </row>
    <row r="970" spans="1:18" x14ac:dyDescent="0.35">
      <c r="A970" t="s">
        <v>972</v>
      </c>
      <c r="B970" s="2">
        <f t="shared" si="121"/>
        <v>45390</v>
      </c>
      <c r="C970" s="3">
        <f t="shared" si="127"/>
        <v>-45390</v>
      </c>
      <c r="D970">
        <f t="shared" si="122"/>
        <v>301</v>
      </c>
      <c r="E970">
        <f t="shared" si="123"/>
        <v>10</v>
      </c>
      <c r="F970">
        <f t="shared" si="124"/>
        <v>1</v>
      </c>
      <c r="G970">
        <f t="shared" si="128"/>
        <v>1</v>
      </c>
      <c r="H970">
        <f t="shared" si="125"/>
        <v>1</v>
      </c>
      <c r="I970" s="4" t="str">
        <f t="shared" si="126"/>
        <v>111</v>
      </c>
      <c r="Q970" s="1">
        <v>4.7186876286865242E-2</v>
      </c>
      <c r="R970" s="1">
        <v>0.17905088004409098</v>
      </c>
    </row>
    <row r="971" spans="1:18" x14ac:dyDescent="0.35">
      <c r="A971" t="s">
        <v>973</v>
      </c>
      <c r="B971" s="2">
        <f t="shared" si="121"/>
        <v>45411</v>
      </c>
      <c r="C971" s="3">
        <f t="shared" si="127"/>
        <v>-45411</v>
      </c>
      <c r="D971">
        <f t="shared" si="122"/>
        <v>359</v>
      </c>
      <c r="E971">
        <f t="shared" si="123"/>
        <v>12</v>
      </c>
      <c r="F971">
        <f t="shared" si="124"/>
        <v>1</v>
      </c>
      <c r="G971">
        <f t="shared" si="128"/>
        <v>1</v>
      </c>
      <c r="H971">
        <f t="shared" si="125"/>
        <v>1</v>
      </c>
      <c r="I971" s="4" t="str">
        <f t="shared" si="126"/>
        <v>111</v>
      </c>
      <c r="Q971" s="1">
        <v>2.3054809266873755E-2</v>
      </c>
      <c r="R971" s="1">
        <v>0.21829764647612837</v>
      </c>
    </row>
    <row r="972" spans="1:18" x14ac:dyDescent="0.35">
      <c r="A972" t="s">
        <v>974</v>
      </c>
      <c r="B972" s="2">
        <f t="shared" si="121"/>
        <v>45682</v>
      </c>
      <c r="C972" s="3">
        <f t="shared" si="127"/>
        <v>-45682</v>
      </c>
      <c r="D972">
        <f t="shared" si="122"/>
        <v>1084</v>
      </c>
      <c r="E972">
        <f t="shared" si="123"/>
        <v>36</v>
      </c>
      <c r="F972">
        <f t="shared" si="124"/>
        <v>4</v>
      </c>
      <c r="G972">
        <f t="shared" si="128"/>
        <v>4</v>
      </c>
      <c r="H972">
        <f t="shared" si="125"/>
        <v>4</v>
      </c>
      <c r="I972" s="4" t="str">
        <f t="shared" si="126"/>
        <v>444</v>
      </c>
      <c r="Q972" s="1">
        <v>0.95469900623591475</v>
      </c>
      <c r="R972" s="1">
        <v>0.71484197346974976</v>
      </c>
    </row>
    <row r="973" spans="1:18" x14ac:dyDescent="0.35">
      <c r="A973" t="s">
        <v>975</v>
      </c>
      <c r="B973" s="2">
        <f t="shared" si="121"/>
        <v>45366</v>
      </c>
      <c r="C973" s="3">
        <f t="shared" si="127"/>
        <v>-45366</v>
      </c>
      <c r="D973">
        <f t="shared" si="122"/>
        <v>237</v>
      </c>
      <c r="E973">
        <f t="shared" si="123"/>
        <v>8</v>
      </c>
      <c r="F973">
        <f t="shared" si="124"/>
        <v>1</v>
      </c>
      <c r="G973">
        <f t="shared" si="128"/>
        <v>1</v>
      </c>
      <c r="H973">
        <f t="shared" si="125"/>
        <v>1</v>
      </c>
      <c r="I973" s="4" t="str">
        <f t="shared" si="126"/>
        <v>111</v>
      </c>
      <c r="Q973" s="1">
        <v>0.84806738651818669</v>
      </c>
      <c r="R973" s="1">
        <v>0.13471885906813552</v>
      </c>
    </row>
    <row r="974" spans="1:18" x14ac:dyDescent="0.35">
      <c r="A974" t="s">
        <v>976</v>
      </c>
      <c r="B974" s="2">
        <f t="shared" si="121"/>
        <v>45570</v>
      </c>
      <c r="C974" s="3">
        <f t="shared" si="127"/>
        <v>-45570</v>
      </c>
      <c r="D974">
        <f t="shared" si="122"/>
        <v>783</v>
      </c>
      <c r="E974">
        <f t="shared" si="123"/>
        <v>26</v>
      </c>
      <c r="F974">
        <f t="shared" si="124"/>
        <v>4</v>
      </c>
      <c r="G974">
        <f t="shared" si="128"/>
        <v>4</v>
      </c>
      <c r="H974">
        <f t="shared" si="125"/>
        <v>4</v>
      </c>
      <c r="I974" s="4" t="str">
        <f t="shared" si="126"/>
        <v>444</v>
      </c>
      <c r="Q974" s="1">
        <v>0.91729760388747117</v>
      </c>
      <c r="R974" s="1">
        <v>0.50906434245106069</v>
      </c>
    </row>
    <row r="975" spans="1:18" x14ac:dyDescent="0.35">
      <c r="A975" t="s">
        <v>977</v>
      </c>
      <c r="B975" s="2">
        <f t="shared" si="121"/>
        <v>45565</v>
      </c>
      <c r="C975" s="3">
        <f t="shared" si="127"/>
        <v>-45565</v>
      </c>
      <c r="D975">
        <f t="shared" si="122"/>
        <v>770</v>
      </c>
      <c r="E975">
        <f t="shared" si="123"/>
        <v>26</v>
      </c>
      <c r="F975">
        <f t="shared" si="124"/>
        <v>3</v>
      </c>
      <c r="G975">
        <f t="shared" si="128"/>
        <v>4</v>
      </c>
      <c r="H975">
        <f t="shared" si="125"/>
        <v>3</v>
      </c>
      <c r="I975" s="4" t="str">
        <f t="shared" si="126"/>
        <v>343</v>
      </c>
      <c r="Q975" s="1">
        <v>0.41381801776374183</v>
      </c>
      <c r="R975" s="1">
        <v>0.50003026295325192</v>
      </c>
    </row>
    <row r="976" spans="1:18" x14ac:dyDescent="0.35">
      <c r="A976" t="s">
        <v>978</v>
      </c>
      <c r="B976" s="2">
        <f t="shared" si="121"/>
        <v>45464</v>
      </c>
      <c r="C976" s="3">
        <f t="shared" si="127"/>
        <v>-45464</v>
      </c>
      <c r="D976">
        <f t="shared" si="122"/>
        <v>499</v>
      </c>
      <c r="E976">
        <f t="shared" si="123"/>
        <v>16</v>
      </c>
      <c r="F976">
        <f t="shared" si="124"/>
        <v>2</v>
      </c>
      <c r="G976">
        <f t="shared" si="128"/>
        <v>2</v>
      </c>
      <c r="H976">
        <f t="shared" si="125"/>
        <v>2</v>
      </c>
      <c r="I976" s="4" t="str">
        <f t="shared" si="126"/>
        <v>222</v>
      </c>
      <c r="Q976" s="1">
        <v>0.46759026744445642</v>
      </c>
      <c r="R976" s="1">
        <v>0.31450715948492669</v>
      </c>
    </row>
    <row r="977" spans="1:18" x14ac:dyDescent="0.35">
      <c r="A977" t="s">
        <v>979</v>
      </c>
      <c r="B977" s="2">
        <f t="shared" si="121"/>
        <v>45320</v>
      </c>
      <c r="C977" s="3">
        <f t="shared" si="127"/>
        <v>-45320</v>
      </c>
      <c r="D977">
        <f t="shared" si="122"/>
        <v>116</v>
      </c>
      <c r="E977">
        <f t="shared" si="123"/>
        <v>4</v>
      </c>
      <c r="F977">
        <f t="shared" si="124"/>
        <v>1</v>
      </c>
      <c r="G977">
        <f t="shared" si="128"/>
        <v>1</v>
      </c>
      <c r="H977">
        <f t="shared" si="125"/>
        <v>1</v>
      </c>
      <c r="I977" s="4" t="str">
        <f t="shared" si="126"/>
        <v>111</v>
      </c>
      <c r="Q977" s="1">
        <v>0.19785066855613109</v>
      </c>
      <c r="R977" s="1">
        <v>5.1923639878101446E-2</v>
      </c>
    </row>
    <row r="978" spans="1:18" x14ac:dyDescent="0.35">
      <c r="A978" t="s">
        <v>980</v>
      </c>
      <c r="B978" s="2">
        <f t="shared" si="121"/>
        <v>45293</v>
      </c>
      <c r="C978" s="3">
        <f t="shared" si="127"/>
        <v>-45293</v>
      </c>
      <c r="D978">
        <f t="shared" si="122"/>
        <v>42</v>
      </c>
      <c r="E978">
        <f t="shared" si="123"/>
        <v>1</v>
      </c>
      <c r="F978">
        <f t="shared" si="124"/>
        <v>1</v>
      </c>
      <c r="G978">
        <f t="shared" si="128"/>
        <v>1</v>
      </c>
      <c r="H978">
        <f t="shared" si="125"/>
        <v>1</v>
      </c>
      <c r="I978" s="4" t="str">
        <f t="shared" si="126"/>
        <v>111</v>
      </c>
      <c r="Q978" s="1">
        <v>0.16128968312295011</v>
      </c>
      <c r="R978" s="1">
        <v>1.1577707314209817E-3</v>
      </c>
    </row>
    <row r="979" spans="1:18" x14ac:dyDescent="0.35">
      <c r="A979" t="s">
        <v>981</v>
      </c>
      <c r="B979" s="2">
        <f t="shared" si="121"/>
        <v>45809</v>
      </c>
      <c r="C979" s="3">
        <f t="shared" si="127"/>
        <v>-45809</v>
      </c>
      <c r="D979">
        <f t="shared" si="122"/>
        <v>1422</v>
      </c>
      <c r="E979">
        <f t="shared" si="123"/>
        <v>47</v>
      </c>
      <c r="F979">
        <f t="shared" si="124"/>
        <v>5</v>
      </c>
      <c r="G979">
        <f t="shared" si="128"/>
        <v>5</v>
      </c>
      <c r="H979">
        <f t="shared" si="125"/>
        <v>5</v>
      </c>
      <c r="I979" s="4" t="str">
        <f t="shared" si="126"/>
        <v>555</v>
      </c>
      <c r="Q979" s="1">
        <v>0.19122358790602234</v>
      </c>
      <c r="R979" s="1">
        <v>0.94633603649442344</v>
      </c>
    </row>
    <row r="980" spans="1:18" x14ac:dyDescent="0.35">
      <c r="A980" t="s">
        <v>982</v>
      </c>
      <c r="B980" s="2">
        <f t="shared" si="121"/>
        <v>45659</v>
      </c>
      <c r="C980" s="3">
        <f t="shared" si="127"/>
        <v>-45659</v>
      </c>
      <c r="D980">
        <f t="shared" si="122"/>
        <v>1021</v>
      </c>
      <c r="E980">
        <f t="shared" si="123"/>
        <v>34</v>
      </c>
      <c r="F980">
        <f t="shared" si="124"/>
        <v>4</v>
      </c>
      <c r="G980">
        <f t="shared" si="128"/>
        <v>4</v>
      </c>
      <c r="H980">
        <f t="shared" si="125"/>
        <v>4</v>
      </c>
      <c r="I980" s="4" t="str">
        <f t="shared" si="126"/>
        <v>444</v>
      </c>
      <c r="Q980" s="1">
        <v>0.37760576104428178</v>
      </c>
      <c r="R980" s="1">
        <v>0.67162423281777006</v>
      </c>
    </row>
    <row r="981" spans="1:18" x14ac:dyDescent="0.35">
      <c r="A981" t="s">
        <v>983</v>
      </c>
      <c r="B981" s="2">
        <f t="shared" si="121"/>
        <v>45371</v>
      </c>
      <c r="C981" s="3">
        <f t="shared" si="127"/>
        <v>-45371</v>
      </c>
      <c r="D981">
        <f t="shared" si="122"/>
        <v>251</v>
      </c>
      <c r="E981">
        <f t="shared" si="123"/>
        <v>8</v>
      </c>
      <c r="F981">
        <f t="shared" si="124"/>
        <v>1</v>
      </c>
      <c r="G981">
        <f t="shared" si="128"/>
        <v>1</v>
      </c>
      <c r="H981">
        <f t="shared" si="125"/>
        <v>1</v>
      </c>
      <c r="I981" s="4" t="str">
        <f t="shared" si="126"/>
        <v>111</v>
      </c>
      <c r="Q981" s="1">
        <v>0.72732474808178693</v>
      </c>
      <c r="R981" s="1">
        <v>0.14419168579737729</v>
      </c>
    </row>
    <row r="982" spans="1:18" x14ac:dyDescent="0.35">
      <c r="A982" t="s">
        <v>984</v>
      </c>
      <c r="B982" s="2">
        <f t="shared" si="121"/>
        <v>45558</v>
      </c>
      <c r="C982" s="3">
        <f t="shared" si="127"/>
        <v>-45558</v>
      </c>
      <c r="D982">
        <f t="shared" si="122"/>
        <v>752</v>
      </c>
      <c r="E982">
        <f t="shared" si="123"/>
        <v>25</v>
      </c>
      <c r="F982">
        <f t="shared" si="124"/>
        <v>2</v>
      </c>
      <c r="G982">
        <f t="shared" si="128"/>
        <v>2</v>
      </c>
      <c r="H982">
        <f t="shared" si="125"/>
        <v>2</v>
      </c>
      <c r="I982" s="4" t="str">
        <f t="shared" si="126"/>
        <v>222</v>
      </c>
      <c r="Q982" s="1">
        <v>0.81152963073954987</v>
      </c>
      <c r="R982" s="1">
        <v>0.48770147464169833</v>
      </c>
    </row>
    <row r="983" spans="1:18" x14ac:dyDescent="0.35">
      <c r="A983" t="s">
        <v>985</v>
      </c>
      <c r="B983" s="2">
        <f t="shared" si="121"/>
        <v>45790</v>
      </c>
      <c r="C983" s="3">
        <f t="shared" si="127"/>
        <v>-45790</v>
      </c>
      <c r="D983">
        <f t="shared" si="122"/>
        <v>1371</v>
      </c>
      <c r="E983">
        <f t="shared" si="123"/>
        <v>46</v>
      </c>
      <c r="F983">
        <f t="shared" si="124"/>
        <v>5</v>
      </c>
      <c r="G983">
        <f t="shared" si="128"/>
        <v>5</v>
      </c>
      <c r="H983">
        <f t="shared" si="125"/>
        <v>5</v>
      </c>
      <c r="I983" s="4" t="str">
        <f t="shared" si="126"/>
        <v>555</v>
      </c>
      <c r="Q983" s="1">
        <v>0.67524504394431384</v>
      </c>
      <c r="R983" s="1">
        <v>0.91158588561071874</v>
      </c>
    </row>
    <row r="984" spans="1:18" x14ac:dyDescent="0.35">
      <c r="A984" t="s">
        <v>986</v>
      </c>
      <c r="B984" s="2">
        <f t="shared" si="121"/>
        <v>45814</v>
      </c>
      <c r="C984" s="3">
        <f t="shared" si="127"/>
        <v>-45814</v>
      </c>
      <c r="D984">
        <f t="shared" si="122"/>
        <v>1437</v>
      </c>
      <c r="E984">
        <f t="shared" si="123"/>
        <v>48</v>
      </c>
      <c r="F984">
        <f t="shared" si="124"/>
        <v>5</v>
      </c>
      <c r="G984">
        <f t="shared" si="128"/>
        <v>5</v>
      </c>
      <c r="H984">
        <f t="shared" si="125"/>
        <v>5</v>
      </c>
      <c r="I984" s="4" t="str">
        <f t="shared" si="126"/>
        <v>555</v>
      </c>
      <c r="Q984" s="1">
        <v>0.8085578266235649</v>
      </c>
      <c r="R984" s="1">
        <v>0.95670373516907381</v>
      </c>
    </row>
    <row r="985" spans="1:18" x14ac:dyDescent="0.35">
      <c r="A985" t="s">
        <v>987</v>
      </c>
      <c r="B985" s="2">
        <f t="shared" si="121"/>
        <v>45600</v>
      </c>
      <c r="C985" s="3">
        <f t="shared" si="127"/>
        <v>-45600</v>
      </c>
      <c r="D985">
        <f t="shared" si="122"/>
        <v>865</v>
      </c>
      <c r="E985">
        <f t="shared" si="123"/>
        <v>29</v>
      </c>
      <c r="F985">
        <f t="shared" si="124"/>
        <v>4</v>
      </c>
      <c r="G985">
        <f t="shared" si="128"/>
        <v>4</v>
      </c>
      <c r="H985">
        <f t="shared" si="125"/>
        <v>4</v>
      </c>
      <c r="I985" s="4" t="str">
        <f t="shared" si="126"/>
        <v>444</v>
      </c>
      <c r="Q985" s="1">
        <v>0.39211255706603421</v>
      </c>
      <c r="R985" s="1">
        <v>0.5650035047328209</v>
      </c>
    </row>
    <row r="986" spans="1:18" x14ac:dyDescent="0.35">
      <c r="A986" t="s">
        <v>988</v>
      </c>
      <c r="B986" s="2">
        <f t="shared" si="121"/>
        <v>45322</v>
      </c>
      <c r="C986" s="3">
        <f t="shared" si="127"/>
        <v>-45322</v>
      </c>
      <c r="D986">
        <f t="shared" si="122"/>
        <v>120</v>
      </c>
      <c r="E986">
        <f t="shared" si="123"/>
        <v>4</v>
      </c>
      <c r="F986">
        <f t="shared" si="124"/>
        <v>1</v>
      </c>
      <c r="G986">
        <f t="shared" si="128"/>
        <v>1</v>
      </c>
      <c r="H986">
        <f t="shared" si="125"/>
        <v>1</v>
      </c>
      <c r="I986" s="4" t="str">
        <f t="shared" si="126"/>
        <v>111</v>
      </c>
      <c r="Q986" s="1">
        <v>4.7667074922277286E-2</v>
      </c>
      <c r="R986" s="1">
        <v>5.4531690638874308E-2</v>
      </c>
    </row>
    <row r="987" spans="1:18" x14ac:dyDescent="0.35">
      <c r="A987" t="s">
        <v>989</v>
      </c>
      <c r="B987" s="2">
        <f t="shared" si="121"/>
        <v>45690</v>
      </c>
      <c r="C987" s="3">
        <f t="shared" si="127"/>
        <v>-45690</v>
      </c>
      <c r="D987">
        <f t="shared" si="122"/>
        <v>1104</v>
      </c>
      <c r="E987">
        <f t="shared" si="123"/>
        <v>37</v>
      </c>
      <c r="F987">
        <f t="shared" si="124"/>
        <v>4</v>
      </c>
      <c r="G987">
        <f t="shared" si="128"/>
        <v>4</v>
      </c>
      <c r="H987">
        <f t="shared" si="125"/>
        <v>4</v>
      </c>
      <c r="I987" s="4" t="str">
        <f t="shared" si="126"/>
        <v>444</v>
      </c>
      <c r="Q987" s="1">
        <v>0.80278670183450107</v>
      </c>
      <c r="R987" s="1">
        <v>0.72880990100827414</v>
      </c>
    </row>
    <row r="988" spans="1:18" x14ac:dyDescent="0.35">
      <c r="A988" t="s">
        <v>990</v>
      </c>
      <c r="B988" s="2">
        <f t="shared" si="121"/>
        <v>45525</v>
      </c>
      <c r="C988" s="3">
        <f t="shared" si="127"/>
        <v>-45525</v>
      </c>
      <c r="D988">
        <f t="shared" si="122"/>
        <v>663</v>
      </c>
      <c r="E988">
        <f t="shared" si="123"/>
        <v>22</v>
      </c>
      <c r="F988">
        <f t="shared" si="124"/>
        <v>2</v>
      </c>
      <c r="G988">
        <f t="shared" si="128"/>
        <v>2</v>
      </c>
      <c r="H988">
        <f t="shared" si="125"/>
        <v>2</v>
      </c>
      <c r="I988" s="4" t="str">
        <f t="shared" si="126"/>
        <v>222</v>
      </c>
      <c r="Q988" s="1">
        <v>3.1385449126370535E-2</v>
      </c>
      <c r="R988" s="1">
        <v>0.42671212844383866</v>
      </c>
    </row>
    <row r="989" spans="1:18" x14ac:dyDescent="0.35">
      <c r="A989" t="s">
        <v>991</v>
      </c>
      <c r="B989" s="2">
        <f t="shared" si="121"/>
        <v>45577</v>
      </c>
      <c r="C989" s="3">
        <f t="shared" si="127"/>
        <v>-45577</v>
      </c>
      <c r="D989">
        <f t="shared" si="122"/>
        <v>802</v>
      </c>
      <c r="E989">
        <f t="shared" si="123"/>
        <v>27</v>
      </c>
      <c r="F989">
        <f t="shared" si="124"/>
        <v>4</v>
      </c>
      <c r="G989">
        <f t="shared" si="128"/>
        <v>4</v>
      </c>
      <c r="H989">
        <f t="shared" si="125"/>
        <v>4</v>
      </c>
      <c r="I989" s="4" t="str">
        <f t="shared" si="126"/>
        <v>444</v>
      </c>
      <c r="Q989" s="1">
        <v>0.97602211923863802</v>
      </c>
      <c r="R989" s="1">
        <v>0.52179169383825585</v>
      </c>
    </row>
    <row r="990" spans="1:18" x14ac:dyDescent="0.35">
      <c r="A990" t="s">
        <v>992</v>
      </c>
      <c r="B990" s="2">
        <f t="shared" si="121"/>
        <v>45705</v>
      </c>
      <c r="C990" s="3">
        <f t="shared" si="127"/>
        <v>-45705</v>
      </c>
      <c r="D990">
        <f t="shared" si="122"/>
        <v>1145</v>
      </c>
      <c r="E990">
        <f t="shared" si="123"/>
        <v>38</v>
      </c>
      <c r="F990">
        <f t="shared" si="124"/>
        <v>4</v>
      </c>
      <c r="G990">
        <f t="shared" si="128"/>
        <v>4</v>
      </c>
      <c r="H990">
        <f t="shared" si="125"/>
        <v>4</v>
      </c>
      <c r="I990" s="4" t="str">
        <f t="shared" si="126"/>
        <v>444</v>
      </c>
      <c r="Q990" s="1">
        <v>0.51073794323797062</v>
      </c>
      <c r="R990" s="1">
        <v>0.75658362307123772</v>
      </c>
    </row>
    <row r="991" spans="1:18" x14ac:dyDescent="0.35">
      <c r="A991" t="s">
        <v>993</v>
      </c>
      <c r="B991" s="2">
        <f t="shared" si="121"/>
        <v>45352</v>
      </c>
      <c r="C991" s="3">
        <f t="shared" si="127"/>
        <v>-45352</v>
      </c>
      <c r="D991">
        <f t="shared" si="122"/>
        <v>201</v>
      </c>
      <c r="E991">
        <f t="shared" si="123"/>
        <v>6</v>
      </c>
      <c r="F991">
        <f t="shared" si="124"/>
        <v>1</v>
      </c>
      <c r="G991">
        <f t="shared" si="128"/>
        <v>1</v>
      </c>
      <c r="H991">
        <f t="shared" si="125"/>
        <v>1</v>
      </c>
      <c r="I991" s="4" t="str">
        <f t="shared" si="126"/>
        <v>111</v>
      </c>
      <c r="Q991" s="1">
        <v>0.25591543093264291</v>
      </c>
      <c r="R991" s="1">
        <v>0.11004056979992127</v>
      </c>
    </row>
    <row r="992" spans="1:18" x14ac:dyDescent="0.35">
      <c r="A992" t="s">
        <v>994</v>
      </c>
      <c r="B992" s="2">
        <f t="shared" si="121"/>
        <v>45308</v>
      </c>
      <c r="C992" s="3">
        <f t="shared" si="127"/>
        <v>-45308</v>
      </c>
      <c r="D992">
        <f t="shared" si="122"/>
        <v>84</v>
      </c>
      <c r="E992">
        <f t="shared" si="123"/>
        <v>2</v>
      </c>
      <c r="F992">
        <f t="shared" si="124"/>
        <v>1</v>
      </c>
      <c r="G992">
        <f t="shared" si="128"/>
        <v>1</v>
      </c>
      <c r="H992">
        <f t="shared" si="125"/>
        <v>1</v>
      </c>
      <c r="I992" s="4" t="str">
        <f t="shared" si="126"/>
        <v>111</v>
      </c>
      <c r="Q992" s="1">
        <v>2.284023531079693E-2</v>
      </c>
      <c r="R992" s="1">
        <v>3.016152914306458E-2</v>
      </c>
    </row>
    <row r="993" spans="1:18" x14ac:dyDescent="0.35">
      <c r="A993" t="s">
        <v>995</v>
      </c>
      <c r="B993" s="2">
        <f t="shared" si="121"/>
        <v>45338</v>
      </c>
      <c r="C993" s="3">
        <f t="shared" si="127"/>
        <v>-45338</v>
      </c>
      <c r="D993">
        <f t="shared" si="122"/>
        <v>164</v>
      </c>
      <c r="E993">
        <f t="shared" si="123"/>
        <v>5</v>
      </c>
      <c r="F993">
        <f t="shared" si="124"/>
        <v>1</v>
      </c>
      <c r="G993">
        <f t="shared" si="128"/>
        <v>1</v>
      </c>
      <c r="H993">
        <f t="shared" si="125"/>
        <v>1</v>
      </c>
      <c r="I993" s="4" t="str">
        <f t="shared" si="126"/>
        <v>111</v>
      </c>
      <c r="Q993" s="1">
        <v>0.73292744698704482</v>
      </c>
      <c r="R993" s="1">
        <v>8.4931627928035214E-2</v>
      </c>
    </row>
    <row r="994" spans="1:18" x14ac:dyDescent="0.35">
      <c r="A994" t="s">
        <v>996</v>
      </c>
      <c r="B994" s="2">
        <f t="shared" si="121"/>
        <v>45417</v>
      </c>
      <c r="C994" s="3">
        <f t="shared" si="127"/>
        <v>-45417</v>
      </c>
      <c r="D994">
        <f t="shared" si="122"/>
        <v>375</v>
      </c>
      <c r="E994">
        <f t="shared" si="123"/>
        <v>12</v>
      </c>
      <c r="F994">
        <f t="shared" si="124"/>
        <v>1</v>
      </c>
      <c r="G994">
        <f t="shared" si="128"/>
        <v>1</v>
      </c>
      <c r="H994">
        <f t="shared" si="125"/>
        <v>1</v>
      </c>
      <c r="I994" s="4" t="str">
        <f t="shared" si="126"/>
        <v>111</v>
      </c>
      <c r="Q994" s="1">
        <v>0.89076618767314819</v>
      </c>
      <c r="R994" s="1">
        <v>0.22929254455578552</v>
      </c>
    </row>
    <row r="995" spans="1:18" x14ac:dyDescent="0.35">
      <c r="A995" t="s">
        <v>997</v>
      </c>
      <c r="B995" s="2">
        <f t="shared" si="121"/>
        <v>45653</v>
      </c>
      <c r="C995" s="3">
        <f t="shared" si="127"/>
        <v>-45653</v>
      </c>
      <c r="D995">
        <f t="shared" si="122"/>
        <v>1006</v>
      </c>
      <c r="E995">
        <f t="shared" si="123"/>
        <v>33</v>
      </c>
      <c r="F995">
        <f t="shared" si="124"/>
        <v>4</v>
      </c>
      <c r="G995">
        <f t="shared" si="128"/>
        <v>4</v>
      </c>
      <c r="H995">
        <f t="shared" si="125"/>
        <v>4</v>
      </c>
      <c r="I995" s="4" t="str">
        <f t="shared" si="126"/>
        <v>444</v>
      </c>
      <c r="Q995" s="1">
        <v>0.79584984229708478</v>
      </c>
      <c r="R995" s="1">
        <v>0.66190231648361775</v>
      </c>
    </row>
    <row r="996" spans="1:18" x14ac:dyDescent="0.35">
      <c r="A996" t="s">
        <v>998</v>
      </c>
      <c r="B996" s="2">
        <f t="shared" si="121"/>
        <v>45548</v>
      </c>
      <c r="C996" s="3">
        <f t="shared" si="127"/>
        <v>-45548</v>
      </c>
      <c r="D996">
        <f t="shared" si="122"/>
        <v>724</v>
      </c>
      <c r="E996">
        <f t="shared" si="123"/>
        <v>24</v>
      </c>
      <c r="F996">
        <f t="shared" si="124"/>
        <v>2</v>
      </c>
      <c r="G996">
        <f t="shared" si="128"/>
        <v>2</v>
      </c>
      <c r="H996">
        <f t="shared" si="125"/>
        <v>2</v>
      </c>
      <c r="I996" s="4" t="str">
        <f t="shared" si="126"/>
        <v>222</v>
      </c>
      <c r="Q996" s="1">
        <v>0.48027130340385771</v>
      </c>
      <c r="R996" s="1">
        <v>0.46820513009025377</v>
      </c>
    </row>
    <row r="997" spans="1:18" x14ac:dyDescent="0.35">
      <c r="A997" t="s">
        <v>999</v>
      </c>
      <c r="B997" s="2">
        <f t="shared" si="121"/>
        <v>45326</v>
      </c>
      <c r="C997" s="3">
        <f t="shared" si="127"/>
        <v>-45326</v>
      </c>
      <c r="D997">
        <f t="shared" si="122"/>
        <v>131</v>
      </c>
      <c r="E997">
        <f t="shared" si="123"/>
        <v>4</v>
      </c>
      <c r="F997">
        <f t="shared" si="124"/>
        <v>1</v>
      </c>
      <c r="G997">
        <f t="shared" si="128"/>
        <v>1</v>
      </c>
      <c r="H997">
        <f t="shared" si="125"/>
        <v>1</v>
      </c>
      <c r="I997" s="4" t="str">
        <f t="shared" si="126"/>
        <v>111</v>
      </c>
      <c r="Q997" s="1">
        <v>0.17032893276372862</v>
      </c>
      <c r="R997" s="1">
        <v>6.2202778182820606E-2</v>
      </c>
    </row>
    <row r="998" spans="1:18" x14ac:dyDescent="0.35">
      <c r="A998" t="s">
        <v>1000</v>
      </c>
      <c r="B998" s="2">
        <f t="shared" si="121"/>
        <v>45462</v>
      </c>
      <c r="C998" s="3">
        <f t="shared" si="127"/>
        <v>-45462</v>
      </c>
      <c r="D998">
        <f t="shared" si="122"/>
        <v>495</v>
      </c>
      <c r="E998">
        <f t="shared" si="123"/>
        <v>16</v>
      </c>
      <c r="F998">
        <f t="shared" si="124"/>
        <v>2</v>
      </c>
      <c r="G998">
        <f t="shared" si="128"/>
        <v>2</v>
      </c>
      <c r="H998">
        <f t="shared" si="125"/>
        <v>2</v>
      </c>
      <c r="I998" s="4" t="str">
        <f t="shared" si="126"/>
        <v>222</v>
      </c>
      <c r="Q998" s="1">
        <v>0.86869338463252788</v>
      </c>
      <c r="R998" s="1">
        <v>0.31139516120030153</v>
      </c>
    </row>
    <row r="999" spans="1:18" x14ac:dyDescent="0.35">
      <c r="A999" t="s">
        <v>1001</v>
      </c>
      <c r="B999" s="2">
        <f t="shared" si="121"/>
        <v>45687</v>
      </c>
      <c r="C999" s="3">
        <f t="shared" si="127"/>
        <v>-45687</v>
      </c>
      <c r="D999">
        <f t="shared" si="122"/>
        <v>1096</v>
      </c>
      <c r="E999">
        <f t="shared" si="123"/>
        <v>36</v>
      </c>
      <c r="F999">
        <f t="shared" si="124"/>
        <v>4</v>
      </c>
      <c r="G999">
        <f t="shared" si="128"/>
        <v>4</v>
      </c>
      <c r="H999">
        <f t="shared" si="125"/>
        <v>4</v>
      </c>
      <c r="I999" s="4" t="str">
        <f t="shared" si="126"/>
        <v>444</v>
      </c>
      <c r="Q999" s="1">
        <v>0.14337434395321313</v>
      </c>
      <c r="R999" s="1">
        <v>0.72309801916481531</v>
      </c>
    </row>
    <row r="1000" spans="1:18" x14ac:dyDescent="0.35">
      <c r="A1000" t="s">
        <v>1002</v>
      </c>
      <c r="B1000" s="2">
        <f t="shared" si="121"/>
        <v>45702</v>
      </c>
      <c r="C1000" s="3">
        <f t="shared" si="127"/>
        <v>-45702</v>
      </c>
      <c r="D1000">
        <f t="shared" si="122"/>
        <v>1137</v>
      </c>
      <c r="E1000">
        <f t="shared" si="123"/>
        <v>38</v>
      </c>
      <c r="F1000">
        <f t="shared" si="124"/>
        <v>4</v>
      </c>
      <c r="G1000">
        <f t="shared" si="128"/>
        <v>4</v>
      </c>
      <c r="H1000">
        <f t="shared" si="125"/>
        <v>4</v>
      </c>
      <c r="I1000" s="4" t="str">
        <f t="shared" si="126"/>
        <v>444</v>
      </c>
      <c r="Q1000" s="1">
        <v>0.2737372354863371</v>
      </c>
      <c r="R1000" s="1">
        <v>0.75167378405518892</v>
      </c>
    </row>
    <row r="1001" spans="1:18" x14ac:dyDescent="0.35">
      <c r="A1001" t="s">
        <v>1003</v>
      </c>
      <c r="B1001" s="2">
        <f t="shared" si="121"/>
        <v>45760</v>
      </c>
      <c r="C1001" s="3">
        <f t="shared" si="127"/>
        <v>-45760</v>
      </c>
      <c r="D1001">
        <f t="shared" si="122"/>
        <v>1292</v>
      </c>
      <c r="E1001">
        <f t="shared" si="123"/>
        <v>43</v>
      </c>
      <c r="F1001">
        <f t="shared" si="124"/>
        <v>5</v>
      </c>
      <c r="G1001">
        <f t="shared" si="128"/>
        <v>5</v>
      </c>
      <c r="H1001">
        <f t="shared" si="125"/>
        <v>5</v>
      </c>
      <c r="I1001" s="4" t="str">
        <f t="shared" si="126"/>
        <v>555</v>
      </c>
      <c r="Q1001" s="1">
        <v>0.90916152937671901</v>
      </c>
      <c r="R1001" s="1">
        <v>0.85737470673895788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1"/>
  <sheetViews>
    <sheetView tabSelected="1" zoomScale="79" workbookViewId="0">
      <selection activeCell="I1" sqref="I1"/>
    </sheetView>
  </sheetViews>
  <sheetFormatPr defaultRowHeight="14.5" x14ac:dyDescent="0.35"/>
  <cols>
    <col min="1" max="1" width="13.81640625" customWidth="1"/>
    <col min="2" max="2" width="12.7265625" style="2" customWidth="1"/>
    <col min="3" max="3" width="13.453125" customWidth="1"/>
    <col min="4" max="5" width="11" customWidth="1"/>
    <col min="9" max="9" width="12.7265625" style="10" customWidth="1"/>
    <col min="13" max="13" width="11.453125" customWidth="1"/>
    <col min="14" max="14" width="12.54296875" customWidth="1"/>
    <col min="17" max="17" width="10" customWidth="1"/>
    <col min="18" max="18" width="15.26953125" customWidth="1"/>
    <col min="19" max="19" width="12.26953125" customWidth="1"/>
  </cols>
  <sheetData>
    <row r="1" spans="1:20" x14ac:dyDescent="0.35">
      <c r="A1" s="5" t="s">
        <v>1440</v>
      </c>
      <c r="B1" s="6" t="s">
        <v>1427</v>
      </c>
      <c r="C1" s="5" t="s">
        <v>1444</v>
      </c>
      <c r="D1" s="5" t="s">
        <v>1445</v>
      </c>
      <c r="E1" s="5" t="s">
        <v>1446</v>
      </c>
      <c r="F1" s="5" t="s">
        <v>1450</v>
      </c>
      <c r="G1" s="5" t="s">
        <v>1451</v>
      </c>
      <c r="H1" s="5" t="s">
        <v>1452</v>
      </c>
      <c r="I1" s="5" t="s">
        <v>1453</v>
      </c>
      <c r="M1" t="s">
        <v>1415</v>
      </c>
      <c r="Q1" t="s">
        <v>1436</v>
      </c>
      <c r="R1" t="s">
        <v>1437</v>
      </c>
      <c r="S1" t="s">
        <v>1438</v>
      </c>
    </row>
    <row r="2" spans="1:20" x14ac:dyDescent="0.35">
      <c r="A2" t="s">
        <v>1014</v>
      </c>
      <c r="B2" s="2">
        <v>45317</v>
      </c>
      <c r="C2">
        <f>45838-B2</f>
        <v>521</v>
      </c>
      <c r="D2">
        <f>ROUND((R2*0.5+0.5*Q2)*(4000-40)+40,0)</f>
        <v>2363</v>
      </c>
      <c r="E2">
        <f>ROUND((R2*0.5+Q2*0.5)*(20-1)+1,0)</f>
        <v>12</v>
      </c>
      <c r="F2">
        <f>IF(C2&lt;=$M$4,5,IF(C2&lt;=$M$5,4,IF(C2&lt;=$M$9,3,IF(C2&lt;=$M$6,2,1))))</f>
        <v>1</v>
      </c>
      <c r="G2">
        <f>IF(E2&lt;=$M$14,1,IF(E2&lt;=$M$19,2,IF(E2&lt;=$M$15,3,IF(E2&lt;=$M$16,4,5))))</f>
        <v>4</v>
      </c>
      <c r="H2">
        <f>IF(D2&lt;=$M$24,1,IF(D2&lt;=$M$29,2,IF(D2&lt;=$M$25,3,IF(D2&lt;=$M$26,4,5))))</f>
        <v>4</v>
      </c>
      <c r="I2" s="9" t="str">
        <f>CONCATENATE(F2,G2,H2)</f>
        <v>144</v>
      </c>
      <c r="M2" t="s">
        <v>1416</v>
      </c>
      <c r="N2" t="s">
        <v>1425</v>
      </c>
      <c r="Q2" s="1">
        <v>0.47268432932727011</v>
      </c>
      <c r="R2" s="1">
        <v>0.70074294956346617</v>
      </c>
      <c r="S2" s="2">
        <v>45292</v>
      </c>
      <c r="T2">
        <v>45292</v>
      </c>
    </row>
    <row r="3" spans="1:20" x14ac:dyDescent="0.35">
      <c r="A3" t="s">
        <v>1015</v>
      </c>
      <c r="B3" s="2">
        <v>45293</v>
      </c>
      <c r="C3">
        <f t="shared" ref="C3:C66" si="0">45838-B3</f>
        <v>545</v>
      </c>
      <c r="D3">
        <f t="shared" ref="D3:D66" si="1">ROUND((R3*0.5+0.5*Q3)*(4000-40)+40,0)</f>
        <v>2555</v>
      </c>
      <c r="E3">
        <f t="shared" ref="E3:E66" si="2">ROUND((R3*0.5+Q3*0.5)*(20-1)+1,0)</f>
        <v>13</v>
      </c>
      <c r="F3">
        <f t="shared" ref="F3:F66" si="3">IF(C3&lt;=$M$4,5,IF(C3&lt;=$M$5,4,IF(C3&lt;=$M$9,3,IF(C3&lt;=$M$6,2,1))))</f>
        <v>1</v>
      </c>
      <c r="G3">
        <f t="shared" ref="G3:G66" si="4">IF(E3&lt;=$M$14,1,IF(E3&lt;=$M$19,2,IF(E3&lt;=$M$15,3,IF(E3&lt;=$M$16,4,5))))</f>
        <v>4</v>
      </c>
      <c r="H3">
        <f t="shared" ref="H3:H66" si="5">IF(D3&lt;=$M$24,1,IF(D3&lt;=$M$29,2,IF(D3&lt;=$M$25,3,IF(D3&lt;=$M$26,4,5))))</f>
        <v>4</v>
      </c>
      <c r="I3" s="9" t="str">
        <f t="shared" ref="I3:I66" si="6">CONCATENATE(F3,G3,H3)</f>
        <v>144</v>
      </c>
      <c r="M3">
        <f>MIN(C2:C401)</f>
        <v>2</v>
      </c>
      <c r="N3" t="s">
        <v>1418</v>
      </c>
      <c r="Q3" s="1">
        <v>0.33421957778115008</v>
      </c>
      <c r="R3" s="1">
        <v>0.93607842795935858</v>
      </c>
      <c r="S3" t="s">
        <v>1439</v>
      </c>
    </row>
    <row r="4" spans="1:20" x14ac:dyDescent="0.35">
      <c r="A4" t="s">
        <v>1016</v>
      </c>
      <c r="B4" s="2">
        <v>45678</v>
      </c>
      <c r="C4">
        <f t="shared" si="0"/>
        <v>160</v>
      </c>
      <c r="D4">
        <f t="shared" si="1"/>
        <v>2218</v>
      </c>
      <c r="E4">
        <f t="shared" si="2"/>
        <v>11</v>
      </c>
      <c r="F4">
        <f t="shared" si="3"/>
        <v>4</v>
      </c>
      <c r="G4">
        <f t="shared" si="4"/>
        <v>3</v>
      </c>
      <c r="H4">
        <f t="shared" si="5"/>
        <v>4</v>
      </c>
      <c r="I4" s="9" t="str">
        <f t="shared" si="6"/>
        <v>434</v>
      </c>
      <c r="M4">
        <f>_xlfn.QUARTILE.INC(C2:C401,1)</f>
        <v>147.75</v>
      </c>
      <c r="N4" t="s">
        <v>1419</v>
      </c>
      <c r="Q4" s="1">
        <v>0.8082223025363785</v>
      </c>
      <c r="R4" s="1">
        <v>0.29160396945657152</v>
      </c>
      <c r="S4" s="2">
        <v>45838</v>
      </c>
      <c r="T4">
        <v>45838</v>
      </c>
    </row>
    <row r="5" spans="1:20" x14ac:dyDescent="0.35">
      <c r="A5" t="s">
        <v>1017</v>
      </c>
      <c r="B5" s="2">
        <v>45800</v>
      </c>
      <c r="C5">
        <f t="shared" si="0"/>
        <v>38</v>
      </c>
      <c r="D5">
        <f t="shared" si="1"/>
        <v>1654</v>
      </c>
      <c r="E5">
        <f t="shared" si="2"/>
        <v>9</v>
      </c>
      <c r="F5">
        <f t="shared" si="3"/>
        <v>5</v>
      </c>
      <c r="G5">
        <f t="shared" si="4"/>
        <v>2</v>
      </c>
      <c r="H5">
        <f t="shared" si="5"/>
        <v>2</v>
      </c>
      <c r="I5" s="9" t="str">
        <f t="shared" si="6"/>
        <v>522</v>
      </c>
      <c r="M5">
        <f>_xlfn.QUARTILE.INC(C2:C401,2)</f>
        <v>267</v>
      </c>
      <c r="N5" t="s">
        <v>1420</v>
      </c>
      <c r="Q5" s="1">
        <v>0.7520720347601878</v>
      </c>
      <c r="R5" s="1">
        <v>6.3020301936718148E-2</v>
      </c>
      <c r="S5" t="s">
        <v>1008</v>
      </c>
    </row>
    <row r="6" spans="1:20" x14ac:dyDescent="0.35">
      <c r="A6" t="s">
        <v>1018</v>
      </c>
      <c r="B6" s="2">
        <v>45333</v>
      </c>
      <c r="C6">
        <f t="shared" si="0"/>
        <v>505</v>
      </c>
      <c r="D6">
        <f t="shared" si="1"/>
        <v>1567</v>
      </c>
      <c r="E6">
        <f t="shared" si="2"/>
        <v>8</v>
      </c>
      <c r="F6">
        <f t="shared" si="3"/>
        <v>1</v>
      </c>
      <c r="G6">
        <f t="shared" si="4"/>
        <v>1</v>
      </c>
      <c r="H6">
        <f t="shared" si="5"/>
        <v>2</v>
      </c>
      <c r="I6" s="9" t="str">
        <f t="shared" si="6"/>
        <v>112</v>
      </c>
      <c r="M6">
        <f>_xlfn.QUARTILE.INC(C2:C401,3)</f>
        <v>411.25</v>
      </c>
      <c r="N6" t="s">
        <v>1421</v>
      </c>
      <c r="Q6" s="1">
        <v>0.66694249189932209</v>
      </c>
      <c r="R6" s="1">
        <v>0.10437943160646013</v>
      </c>
      <c r="S6" s="2">
        <v>45838</v>
      </c>
    </row>
    <row r="7" spans="1:20" x14ac:dyDescent="0.35">
      <c r="A7" t="s">
        <v>1019</v>
      </c>
      <c r="B7" s="2">
        <v>45519</v>
      </c>
      <c r="C7">
        <f t="shared" si="0"/>
        <v>319</v>
      </c>
      <c r="D7">
        <f t="shared" si="1"/>
        <v>811</v>
      </c>
      <c r="E7">
        <f t="shared" si="2"/>
        <v>5</v>
      </c>
      <c r="F7">
        <f t="shared" si="3"/>
        <v>2</v>
      </c>
      <c r="G7">
        <f t="shared" si="4"/>
        <v>1</v>
      </c>
      <c r="H7">
        <f t="shared" si="5"/>
        <v>1</v>
      </c>
      <c r="I7" s="9" t="str">
        <f t="shared" si="6"/>
        <v>211</v>
      </c>
      <c r="M7">
        <f>MAX(C2:C401)</f>
        <v>545</v>
      </c>
      <c r="N7" t="s">
        <v>1422</v>
      </c>
      <c r="Q7" s="1">
        <v>0.32915859800478631</v>
      </c>
      <c r="R7" s="1">
        <v>6.0087898976332599E-2</v>
      </c>
    </row>
    <row r="8" spans="1:20" x14ac:dyDescent="0.35">
      <c r="A8" t="s">
        <v>1020</v>
      </c>
      <c r="B8" s="2">
        <v>45665</v>
      </c>
      <c r="C8">
        <f t="shared" si="0"/>
        <v>173</v>
      </c>
      <c r="D8">
        <f t="shared" si="1"/>
        <v>2814</v>
      </c>
      <c r="E8">
        <f t="shared" si="2"/>
        <v>14</v>
      </c>
      <c r="F8">
        <f t="shared" si="3"/>
        <v>4</v>
      </c>
      <c r="G8">
        <f t="shared" si="4"/>
        <v>5</v>
      </c>
      <c r="H8">
        <f t="shared" si="5"/>
        <v>5</v>
      </c>
      <c r="I8" s="9" t="str">
        <f t="shared" si="6"/>
        <v>455</v>
      </c>
      <c r="Q8" s="1">
        <v>0.96143478315364428</v>
      </c>
      <c r="R8" s="1">
        <v>0.43959168645426705</v>
      </c>
    </row>
    <row r="9" spans="1:20" x14ac:dyDescent="0.35">
      <c r="A9" t="s">
        <v>1021</v>
      </c>
      <c r="B9" s="2">
        <v>45616</v>
      </c>
      <c r="C9">
        <f t="shared" si="0"/>
        <v>222</v>
      </c>
      <c r="D9">
        <f t="shared" si="1"/>
        <v>1847</v>
      </c>
      <c r="E9">
        <f t="shared" si="2"/>
        <v>10</v>
      </c>
      <c r="F9">
        <f t="shared" si="3"/>
        <v>4</v>
      </c>
      <c r="G9">
        <f t="shared" si="4"/>
        <v>2</v>
      </c>
      <c r="H9">
        <f t="shared" si="5"/>
        <v>2</v>
      </c>
      <c r="I9" s="9" t="str">
        <f t="shared" si="6"/>
        <v>422</v>
      </c>
      <c r="M9">
        <f>AVERAGE(C2:C401)</f>
        <v>272.02749999999997</v>
      </c>
      <c r="N9" t="s">
        <v>1423</v>
      </c>
      <c r="Q9" s="1">
        <v>9.4053266520888967E-2</v>
      </c>
      <c r="R9" s="1">
        <v>0.8188165123327964</v>
      </c>
    </row>
    <row r="10" spans="1:20" x14ac:dyDescent="0.35">
      <c r="A10" t="s">
        <v>1022</v>
      </c>
      <c r="B10" s="2">
        <v>45696</v>
      </c>
      <c r="C10">
        <f t="shared" si="0"/>
        <v>142</v>
      </c>
      <c r="D10">
        <f t="shared" si="1"/>
        <v>1519</v>
      </c>
      <c r="E10">
        <f t="shared" si="2"/>
        <v>8</v>
      </c>
      <c r="F10">
        <f t="shared" si="3"/>
        <v>5</v>
      </c>
      <c r="G10">
        <f t="shared" si="4"/>
        <v>1</v>
      </c>
      <c r="H10">
        <f t="shared" si="5"/>
        <v>2</v>
      </c>
      <c r="I10" s="9" t="str">
        <f t="shared" si="6"/>
        <v>512</v>
      </c>
      <c r="Q10" s="1">
        <v>0.4054922638371925</v>
      </c>
      <c r="R10" s="1">
        <v>0.34131176273236963</v>
      </c>
    </row>
    <row r="11" spans="1:20" x14ac:dyDescent="0.35">
      <c r="A11" t="s">
        <v>1023</v>
      </c>
      <c r="B11" s="2">
        <v>45449</v>
      </c>
      <c r="C11">
        <f t="shared" si="0"/>
        <v>389</v>
      </c>
      <c r="D11">
        <f t="shared" si="1"/>
        <v>1471</v>
      </c>
      <c r="E11">
        <f t="shared" si="2"/>
        <v>8</v>
      </c>
      <c r="F11">
        <f t="shared" si="3"/>
        <v>2</v>
      </c>
      <c r="G11">
        <f t="shared" si="4"/>
        <v>1</v>
      </c>
      <c r="H11">
        <f t="shared" si="5"/>
        <v>2</v>
      </c>
      <c r="I11" s="9" t="str">
        <f t="shared" si="6"/>
        <v>212</v>
      </c>
      <c r="M11" t="s">
        <v>1424</v>
      </c>
      <c r="Q11" s="1">
        <v>0.21464982949211586</v>
      </c>
      <c r="R11" s="1">
        <v>0.50821466446635277</v>
      </c>
    </row>
    <row r="12" spans="1:20" x14ac:dyDescent="0.35">
      <c r="A12" t="s">
        <v>1024</v>
      </c>
      <c r="B12" s="2">
        <v>45326</v>
      </c>
      <c r="C12">
        <f t="shared" si="0"/>
        <v>512</v>
      </c>
      <c r="D12">
        <f t="shared" si="1"/>
        <v>2303</v>
      </c>
      <c r="E12">
        <f t="shared" si="2"/>
        <v>12</v>
      </c>
      <c r="F12">
        <f t="shared" si="3"/>
        <v>1</v>
      </c>
      <c r="G12">
        <f t="shared" si="4"/>
        <v>4</v>
      </c>
      <c r="H12">
        <f t="shared" si="5"/>
        <v>4</v>
      </c>
      <c r="I12" s="9" t="str">
        <f t="shared" si="6"/>
        <v>144</v>
      </c>
      <c r="M12" t="s">
        <v>1416</v>
      </c>
      <c r="N12" t="s">
        <v>1425</v>
      </c>
      <c r="Q12" s="1">
        <v>0.39165246120136177</v>
      </c>
      <c r="R12" s="1">
        <v>0.75105799673800988</v>
      </c>
    </row>
    <row r="13" spans="1:20" x14ac:dyDescent="0.35">
      <c r="A13" t="s">
        <v>1025</v>
      </c>
      <c r="B13" s="2">
        <v>45351</v>
      </c>
      <c r="C13">
        <f t="shared" si="0"/>
        <v>487</v>
      </c>
      <c r="D13">
        <f t="shared" si="1"/>
        <v>3634</v>
      </c>
      <c r="E13">
        <f t="shared" si="2"/>
        <v>18</v>
      </c>
      <c r="F13">
        <f t="shared" si="3"/>
        <v>1</v>
      </c>
      <c r="G13">
        <f t="shared" si="4"/>
        <v>5</v>
      </c>
      <c r="H13">
        <f t="shared" si="5"/>
        <v>5</v>
      </c>
      <c r="I13" s="9" t="str">
        <f t="shared" si="6"/>
        <v>155</v>
      </c>
      <c r="M13">
        <f>MIN(E2:E401)</f>
        <v>1</v>
      </c>
      <c r="N13" t="s">
        <v>1418</v>
      </c>
      <c r="Q13" s="1">
        <v>0.99689977084818449</v>
      </c>
      <c r="R13" s="1">
        <v>0.81840128378278643</v>
      </c>
    </row>
    <row r="14" spans="1:20" x14ac:dyDescent="0.35">
      <c r="A14" t="s">
        <v>1026</v>
      </c>
      <c r="B14" s="2">
        <v>45483</v>
      </c>
      <c r="C14">
        <f t="shared" si="0"/>
        <v>355</v>
      </c>
      <c r="D14">
        <f t="shared" si="1"/>
        <v>918</v>
      </c>
      <c r="E14">
        <f t="shared" si="2"/>
        <v>5</v>
      </c>
      <c r="F14">
        <f t="shared" si="3"/>
        <v>2</v>
      </c>
      <c r="G14">
        <f t="shared" si="4"/>
        <v>1</v>
      </c>
      <c r="H14">
        <f t="shared" si="5"/>
        <v>1</v>
      </c>
      <c r="I14" s="9" t="str">
        <f t="shared" si="6"/>
        <v>211</v>
      </c>
      <c r="M14">
        <f>_xlfn.QUARTILE.INC(E2:E401,1)</f>
        <v>8</v>
      </c>
      <c r="N14" t="s">
        <v>1419</v>
      </c>
      <c r="Q14" s="1">
        <v>0.25633076441848079</v>
      </c>
      <c r="R14" s="1">
        <v>0.18726074534393389</v>
      </c>
    </row>
    <row r="15" spans="1:20" x14ac:dyDescent="0.35">
      <c r="A15" t="s">
        <v>1027</v>
      </c>
      <c r="B15" s="2">
        <v>45310</v>
      </c>
      <c r="C15">
        <f t="shared" si="0"/>
        <v>528</v>
      </c>
      <c r="D15">
        <f t="shared" si="1"/>
        <v>1792</v>
      </c>
      <c r="E15">
        <f t="shared" si="2"/>
        <v>9</v>
      </c>
      <c r="F15">
        <f t="shared" si="3"/>
        <v>1</v>
      </c>
      <c r="G15">
        <f t="shared" si="4"/>
        <v>2</v>
      </c>
      <c r="H15">
        <f t="shared" si="5"/>
        <v>2</v>
      </c>
      <c r="I15" s="9" t="str">
        <f t="shared" si="6"/>
        <v>122</v>
      </c>
      <c r="M15">
        <f>_xlfn.QUARTILE.INC(E2:E401,2)</f>
        <v>11</v>
      </c>
      <c r="N15" t="s">
        <v>1420</v>
      </c>
      <c r="Q15" s="1">
        <v>0.3698104782020798</v>
      </c>
      <c r="R15" s="1">
        <v>0.51518741162544146</v>
      </c>
    </row>
    <row r="16" spans="1:20" x14ac:dyDescent="0.35">
      <c r="A16" t="s">
        <v>1028</v>
      </c>
      <c r="B16" s="2">
        <v>45739</v>
      </c>
      <c r="C16">
        <f t="shared" si="0"/>
        <v>99</v>
      </c>
      <c r="D16">
        <f t="shared" si="1"/>
        <v>1176</v>
      </c>
      <c r="E16">
        <f t="shared" si="2"/>
        <v>6</v>
      </c>
      <c r="F16">
        <f t="shared" si="3"/>
        <v>5</v>
      </c>
      <c r="G16">
        <f t="shared" si="4"/>
        <v>1</v>
      </c>
      <c r="H16">
        <f t="shared" si="5"/>
        <v>1</v>
      </c>
      <c r="I16" s="9" t="str">
        <f t="shared" si="6"/>
        <v>511</v>
      </c>
      <c r="M16">
        <f>_xlfn.QUARTILE.INC(E2:E401,3)</f>
        <v>13</v>
      </c>
      <c r="N16" t="s">
        <v>1421</v>
      </c>
      <c r="Q16" s="1">
        <v>0.48074014235595519</v>
      </c>
      <c r="R16" s="1">
        <v>9.2814343396820265E-2</v>
      </c>
    </row>
    <row r="17" spans="1:18" x14ac:dyDescent="0.35">
      <c r="A17" t="s">
        <v>1029</v>
      </c>
      <c r="B17" s="2">
        <v>45642</v>
      </c>
      <c r="C17">
        <f t="shared" si="0"/>
        <v>196</v>
      </c>
      <c r="D17">
        <f t="shared" si="1"/>
        <v>447</v>
      </c>
      <c r="E17">
        <f t="shared" si="2"/>
        <v>3</v>
      </c>
      <c r="F17">
        <f t="shared" si="3"/>
        <v>4</v>
      </c>
      <c r="G17">
        <f t="shared" si="4"/>
        <v>1</v>
      </c>
      <c r="H17">
        <f t="shared" si="5"/>
        <v>1</v>
      </c>
      <c r="I17" s="9" t="str">
        <f t="shared" si="6"/>
        <v>411</v>
      </c>
      <c r="M17">
        <f>MAX(E2:E401)</f>
        <v>19</v>
      </c>
      <c r="N17" t="s">
        <v>1422</v>
      </c>
      <c r="Q17" s="1">
        <v>0.16019342218838306</v>
      </c>
      <c r="R17" s="1">
        <v>4.5332334628270465E-2</v>
      </c>
    </row>
    <row r="18" spans="1:18" x14ac:dyDescent="0.35">
      <c r="A18" t="s">
        <v>1030</v>
      </c>
      <c r="B18" s="2">
        <v>45522</v>
      </c>
      <c r="C18">
        <f t="shared" si="0"/>
        <v>316</v>
      </c>
      <c r="D18">
        <f t="shared" si="1"/>
        <v>1638</v>
      </c>
      <c r="E18">
        <f t="shared" si="2"/>
        <v>9</v>
      </c>
      <c r="F18">
        <f t="shared" si="3"/>
        <v>2</v>
      </c>
      <c r="G18">
        <f t="shared" si="4"/>
        <v>2</v>
      </c>
      <c r="H18">
        <f t="shared" si="5"/>
        <v>2</v>
      </c>
      <c r="I18" s="9" t="str">
        <f t="shared" si="6"/>
        <v>222</v>
      </c>
      <c r="Q18" s="1">
        <v>0.71562853961370521</v>
      </c>
      <c r="R18" s="1">
        <v>9.1524084893258029E-2</v>
      </c>
    </row>
    <row r="19" spans="1:18" x14ac:dyDescent="0.35">
      <c r="A19" t="s">
        <v>1031</v>
      </c>
      <c r="B19" s="2">
        <v>45652</v>
      </c>
      <c r="C19">
        <f t="shared" si="0"/>
        <v>186</v>
      </c>
      <c r="D19">
        <f t="shared" si="1"/>
        <v>2192</v>
      </c>
      <c r="E19">
        <f t="shared" si="2"/>
        <v>11</v>
      </c>
      <c r="F19">
        <f t="shared" si="3"/>
        <v>4</v>
      </c>
      <c r="G19">
        <f t="shared" si="4"/>
        <v>3</v>
      </c>
      <c r="H19">
        <f t="shared" si="5"/>
        <v>4</v>
      </c>
      <c r="I19" s="9" t="str">
        <f t="shared" si="6"/>
        <v>434</v>
      </c>
      <c r="M19">
        <f>AVERAGE(E2:E401)</f>
        <v>10.56</v>
      </c>
      <c r="N19" t="s">
        <v>1423</v>
      </c>
      <c r="Q19" s="1">
        <v>0.6909242998902535</v>
      </c>
      <c r="R19" s="1">
        <v>0.39591765760448638</v>
      </c>
    </row>
    <row r="20" spans="1:18" x14ac:dyDescent="0.35">
      <c r="A20" t="s">
        <v>1032</v>
      </c>
      <c r="B20" s="2">
        <v>45363</v>
      </c>
      <c r="C20">
        <f t="shared" si="0"/>
        <v>475</v>
      </c>
      <c r="D20">
        <f t="shared" si="1"/>
        <v>2662</v>
      </c>
      <c r="E20">
        <f t="shared" si="2"/>
        <v>14</v>
      </c>
      <c r="F20">
        <f t="shared" si="3"/>
        <v>1</v>
      </c>
      <c r="G20">
        <f t="shared" si="4"/>
        <v>5</v>
      </c>
      <c r="H20">
        <f t="shared" si="5"/>
        <v>5</v>
      </c>
      <c r="I20" s="9" t="str">
        <f t="shared" si="6"/>
        <v>155</v>
      </c>
      <c r="Q20" s="1">
        <v>0.81407686859413975</v>
      </c>
      <c r="R20" s="1">
        <v>0.50996535798419929</v>
      </c>
    </row>
    <row r="21" spans="1:18" x14ac:dyDescent="0.35">
      <c r="A21" t="s">
        <v>1033</v>
      </c>
      <c r="B21" s="2">
        <v>45664</v>
      </c>
      <c r="C21">
        <f t="shared" si="0"/>
        <v>174</v>
      </c>
      <c r="D21">
        <f t="shared" si="1"/>
        <v>1940</v>
      </c>
      <c r="E21">
        <f t="shared" si="2"/>
        <v>10</v>
      </c>
      <c r="F21">
        <f t="shared" si="3"/>
        <v>4</v>
      </c>
      <c r="G21">
        <f t="shared" si="4"/>
        <v>2</v>
      </c>
      <c r="H21">
        <f t="shared" si="5"/>
        <v>2</v>
      </c>
      <c r="I21" s="9" t="str">
        <f t="shared" si="6"/>
        <v>422</v>
      </c>
      <c r="M21" t="s">
        <v>1426</v>
      </c>
      <c r="Q21" s="1">
        <v>0.22536158042005294</v>
      </c>
      <c r="R21" s="1">
        <v>0.73405250742317663</v>
      </c>
    </row>
    <row r="22" spans="1:18" x14ac:dyDescent="0.35">
      <c r="A22" t="s">
        <v>1034</v>
      </c>
      <c r="B22" s="2">
        <v>45359</v>
      </c>
      <c r="C22">
        <f t="shared" si="0"/>
        <v>479</v>
      </c>
      <c r="D22">
        <f t="shared" si="1"/>
        <v>1198</v>
      </c>
      <c r="E22">
        <f t="shared" si="2"/>
        <v>7</v>
      </c>
      <c r="F22">
        <f t="shared" si="3"/>
        <v>1</v>
      </c>
      <c r="G22">
        <f t="shared" si="4"/>
        <v>1</v>
      </c>
      <c r="H22">
        <f t="shared" si="5"/>
        <v>1</v>
      </c>
      <c r="I22" s="9" t="str">
        <f t="shared" si="6"/>
        <v>111</v>
      </c>
      <c r="M22" t="s">
        <v>1416</v>
      </c>
      <c r="N22" t="s">
        <v>1425</v>
      </c>
      <c r="Q22" s="1">
        <v>0.43286270958866024</v>
      </c>
      <c r="R22" s="1">
        <v>0.15209159735086908</v>
      </c>
    </row>
    <row r="23" spans="1:18" x14ac:dyDescent="0.35">
      <c r="A23" t="s">
        <v>1035</v>
      </c>
      <c r="B23" s="2">
        <v>45813</v>
      </c>
      <c r="C23">
        <f t="shared" si="0"/>
        <v>25</v>
      </c>
      <c r="D23">
        <f t="shared" si="1"/>
        <v>971</v>
      </c>
      <c r="E23">
        <f t="shared" si="2"/>
        <v>5</v>
      </c>
      <c r="F23">
        <f t="shared" si="3"/>
        <v>5</v>
      </c>
      <c r="G23">
        <f t="shared" si="4"/>
        <v>1</v>
      </c>
      <c r="H23">
        <f t="shared" si="5"/>
        <v>1</v>
      </c>
      <c r="I23" s="9" t="str">
        <f t="shared" si="6"/>
        <v>511</v>
      </c>
      <c r="M23">
        <f>MIN(D2:D401)</f>
        <v>135</v>
      </c>
      <c r="N23" t="s">
        <v>1418</v>
      </c>
      <c r="Q23" s="1">
        <v>0.27602743206901237</v>
      </c>
      <c r="R23" s="1">
        <v>0.19420847147566778</v>
      </c>
    </row>
    <row r="24" spans="1:18" x14ac:dyDescent="0.35">
      <c r="A24" t="s">
        <v>1036</v>
      </c>
      <c r="B24" s="2">
        <v>45754</v>
      </c>
      <c r="C24">
        <f t="shared" si="0"/>
        <v>84</v>
      </c>
      <c r="D24">
        <f t="shared" si="1"/>
        <v>965</v>
      </c>
      <c r="E24">
        <f t="shared" si="2"/>
        <v>5</v>
      </c>
      <c r="F24">
        <f t="shared" si="3"/>
        <v>5</v>
      </c>
      <c r="G24">
        <f t="shared" si="4"/>
        <v>1</v>
      </c>
      <c r="H24">
        <f t="shared" si="5"/>
        <v>1</v>
      </c>
      <c r="I24" s="9" t="str">
        <f t="shared" si="6"/>
        <v>511</v>
      </c>
      <c r="M24">
        <f>_xlfn.QUARTILE.INC(D2:D401,1)</f>
        <v>1453.25</v>
      </c>
      <c r="N24" t="s">
        <v>1419</v>
      </c>
      <c r="Q24" s="1">
        <v>0.31204894370604264</v>
      </c>
      <c r="R24" s="1">
        <v>0.15499174322207976</v>
      </c>
    </row>
    <row r="25" spans="1:18" x14ac:dyDescent="0.35">
      <c r="A25" t="s">
        <v>1037</v>
      </c>
      <c r="B25" s="2">
        <v>45473</v>
      </c>
      <c r="C25">
        <f t="shared" si="0"/>
        <v>365</v>
      </c>
      <c r="D25">
        <f t="shared" si="1"/>
        <v>166</v>
      </c>
      <c r="E25">
        <f t="shared" si="2"/>
        <v>2</v>
      </c>
      <c r="F25">
        <f t="shared" si="3"/>
        <v>2</v>
      </c>
      <c r="G25">
        <f t="shared" si="4"/>
        <v>1</v>
      </c>
      <c r="H25">
        <f t="shared" si="5"/>
        <v>1</v>
      </c>
      <c r="I25" s="9" t="str">
        <f t="shared" si="6"/>
        <v>211</v>
      </c>
      <c r="M25">
        <f>_xlfn.QUARTILE.INC(D2:D401,2)</f>
        <v>2050</v>
      </c>
      <c r="N25" t="s">
        <v>1420</v>
      </c>
      <c r="Q25" s="1">
        <v>5.5658126239698125E-2</v>
      </c>
      <c r="R25" s="1">
        <v>8.2068456820845181E-3</v>
      </c>
    </row>
    <row r="26" spans="1:18" x14ac:dyDescent="0.35">
      <c r="A26" t="s">
        <v>1038</v>
      </c>
      <c r="B26" s="2">
        <v>45389</v>
      </c>
      <c r="C26">
        <f t="shared" si="0"/>
        <v>449</v>
      </c>
      <c r="D26">
        <f t="shared" si="1"/>
        <v>2319</v>
      </c>
      <c r="E26">
        <f t="shared" si="2"/>
        <v>12</v>
      </c>
      <c r="F26">
        <f t="shared" si="3"/>
        <v>1</v>
      </c>
      <c r="G26">
        <f t="shared" si="4"/>
        <v>4</v>
      </c>
      <c r="H26">
        <f t="shared" si="5"/>
        <v>4</v>
      </c>
      <c r="I26" s="9" t="str">
        <f t="shared" si="6"/>
        <v>144</v>
      </c>
      <c r="M26">
        <f>_xlfn.QUARTILE.INC(D2:D401,3)</f>
        <v>2593.25</v>
      </c>
      <c r="N26" t="s">
        <v>1421</v>
      </c>
      <c r="Q26" s="1">
        <v>0.90195870429559155</v>
      </c>
      <c r="R26" s="1">
        <v>0.24921496694485756</v>
      </c>
    </row>
    <row r="27" spans="1:18" x14ac:dyDescent="0.35">
      <c r="A27" t="s">
        <v>1039</v>
      </c>
      <c r="B27" s="2">
        <v>45671</v>
      </c>
      <c r="C27">
        <f t="shared" si="0"/>
        <v>167</v>
      </c>
      <c r="D27">
        <f t="shared" si="1"/>
        <v>3502</v>
      </c>
      <c r="E27">
        <f t="shared" si="2"/>
        <v>18</v>
      </c>
      <c r="F27">
        <f t="shared" si="3"/>
        <v>4</v>
      </c>
      <c r="G27">
        <f t="shared" si="4"/>
        <v>5</v>
      </c>
      <c r="H27">
        <f t="shared" si="5"/>
        <v>5</v>
      </c>
      <c r="I27" s="9" t="str">
        <f t="shared" si="6"/>
        <v>455</v>
      </c>
      <c r="M27">
        <f>MAX(D2:D401)</f>
        <v>3869</v>
      </c>
      <c r="N27" t="s">
        <v>1422</v>
      </c>
      <c r="Q27" s="1">
        <v>0.75236914772495744</v>
      </c>
      <c r="R27" s="1">
        <v>0.9960532020884304</v>
      </c>
    </row>
    <row r="28" spans="1:18" x14ac:dyDescent="0.35">
      <c r="A28" t="s">
        <v>1040</v>
      </c>
      <c r="B28" s="2">
        <v>45490</v>
      </c>
      <c r="C28">
        <f t="shared" si="0"/>
        <v>348</v>
      </c>
      <c r="D28">
        <f t="shared" si="1"/>
        <v>2566</v>
      </c>
      <c r="E28">
        <f t="shared" si="2"/>
        <v>13</v>
      </c>
      <c r="F28">
        <f t="shared" si="3"/>
        <v>2</v>
      </c>
      <c r="G28">
        <f t="shared" si="4"/>
        <v>4</v>
      </c>
      <c r="H28">
        <f t="shared" si="5"/>
        <v>4</v>
      </c>
      <c r="I28" s="9" t="str">
        <f t="shared" si="6"/>
        <v>244</v>
      </c>
      <c r="Q28" s="1">
        <v>0.53420993068007605</v>
      </c>
      <c r="R28" s="1">
        <v>0.74145100476271064</v>
      </c>
    </row>
    <row r="29" spans="1:18" x14ac:dyDescent="0.35">
      <c r="A29" t="s">
        <v>1041</v>
      </c>
      <c r="B29" s="2">
        <v>45776</v>
      </c>
      <c r="C29">
        <f t="shared" si="0"/>
        <v>62</v>
      </c>
      <c r="D29">
        <f t="shared" si="1"/>
        <v>2548</v>
      </c>
      <c r="E29">
        <f t="shared" si="2"/>
        <v>13</v>
      </c>
      <c r="F29">
        <f t="shared" si="3"/>
        <v>5</v>
      </c>
      <c r="G29">
        <f t="shared" si="4"/>
        <v>4</v>
      </c>
      <c r="H29">
        <f t="shared" si="5"/>
        <v>4</v>
      </c>
      <c r="I29" s="9" t="str">
        <f t="shared" si="6"/>
        <v>544</v>
      </c>
      <c r="M29">
        <f>AVERAGE(D2:D401)</f>
        <v>2028.5450000000001</v>
      </c>
      <c r="N29" t="s">
        <v>1423</v>
      </c>
      <c r="Q29" s="1">
        <v>0.51292248668466245</v>
      </c>
      <c r="R29" s="1">
        <v>0.75352826827700592</v>
      </c>
    </row>
    <row r="30" spans="1:18" x14ac:dyDescent="0.35">
      <c r="A30" t="s">
        <v>1042</v>
      </c>
      <c r="B30" s="2">
        <v>45617</v>
      </c>
      <c r="C30">
        <f t="shared" si="0"/>
        <v>221</v>
      </c>
      <c r="D30">
        <f t="shared" si="1"/>
        <v>2269</v>
      </c>
      <c r="E30">
        <f t="shared" si="2"/>
        <v>12</v>
      </c>
      <c r="F30">
        <f t="shared" si="3"/>
        <v>4</v>
      </c>
      <c r="G30">
        <f t="shared" si="4"/>
        <v>4</v>
      </c>
      <c r="H30">
        <f t="shared" si="5"/>
        <v>4</v>
      </c>
      <c r="I30" s="9" t="str">
        <f t="shared" si="6"/>
        <v>444</v>
      </c>
      <c r="Q30" s="1">
        <v>0.9769350175453323</v>
      </c>
      <c r="R30" s="1">
        <v>0.14884046993723599</v>
      </c>
    </row>
    <row r="31" spans="1:18" x14ac:dyDescent="0.35">
      <c r="A31" t="s">
        <v>1043</v>
      </c>
      <c r="B31" s="2">
        <v>45398</v>
      </c>
      <c r="C31">
        <f t="shared" si="0"/>
        <v>440</v>
      </c>
      <c r="D31">
        <f t="shared" si="1"/>
        <v>2665</v>
      </c>
      <c r="E31">
        <f t="shared" si="2"/>
        <v>14</v>
      </c>
      <c r="F31">
        <f t="shared" si="3"/>
        <v>1</v>
      </c>
      <c r="G31">
        <f t="shared" si="4"/>
        <v>5</v>
      </c>
      <c r="H31">
        <f t="shared" si="5"/>
        <v>5</v>
      </c>
      <c r="I31" s="9" t="str">
        <f t="shared" si="6"/>
        <v>155</v>
      </c>
      <c r="Q31" s="1">
        <v>0.83439872973775198</v>
      </c>
      <c r="R31" s="1">
        <v>0.49124565727822034</v>
      </c>
    </row>
    <row r="32" spans="1:18" x14ac:dyDescent="0.35">
      <c r="A32" t="s">
        <v>1044</v>
      </c>
      <c r="B32" s="2">
        <v>45605</v>
      </c>
      <c r="C32">
        <f t="shared" si="0"/>
        <v>233</v>
      </c>
      <c r="D32">
        <f t="shared" si="1"/>
        <v>2243</v>
      </c>
      <c r="E32">
        <f t="shared" si="2"/>
        <v>12</v>
      </c>
      <c r="F32">
        <f t="shared" si="3"/>
        <v>4</v>
      </c>
      <c r="G32">
        <f t="shared" si="4"/>
        <v>4</v>
      </c>
      <c r="H32">
        <f t="shared" si="5"/>
        <v>4</v>
      </c>
      <c r="I32" s="9" t="str">
        <f t="shared" si="6"/>
        <v>444</v>
      </c>
      <c r="M32" t="s">
        <v>1447</v>
      </c>
      <c r="Q32" s="1">
        <v>0.88096353494402391</v>
      </c>
      <c r="R32" s="1">
        <v>0.23158408941447051</v>
      </c>
    </row>
    <row r="33" spans="1:18" x14ac:dyDescent="0.35">
      <c r="A33" t="s">
        <v>1045</v>
      </c>
      <c r="B33" s="2">
        <v>45772</v>
      </c>
      <c r="C33">
        <f t="shared" si="0"/>
        <v>66</v>
      </c>
      <c r="D33">
        <f t="shared" si="1"/>
        <v>2726</v>
      </c>
      <c r="E33">
        <f t="shared" si="2"/>
        <v>14</v>
      </c>
      <c r="F33">
        <f t="shared" si="3"/>
        <v>5</v>
      </c>
      <c r="G33">
        <f t="shared" si="4"/>
        <v>5</v>
      </c>
      <c r="H33">
        <f t="shared" si="5"/>
        <v>5</v>
      </c>
      <c r="I33" s="9" t="str">
        <f t="shared" si="6"/>
        <v>555</v>
      </c>
      <c r="Q33" s="1">
        <v>0.80174990153303938</v>
      </c>
      <c r="R33" s="1">
        <v>0.5548392616348099</v>
      </c>
    </row>
    <row r="34" spans="1:18" x14ac:dyDescent="0.35">
      <c r="A34" t="s">
        <v>1046</v>
      </c>
      <c r="B34" s="2">
        <v>45629</v>
      </c>
      <c r="C34">
        <f t="shared" si="0"/>
        <v>209</v>
      </c>
      <c r="D34">
        <f t="shared" si="1"/>
        <v>1141</v>
      </c>
      <c r="E34">
        <f t="shared" si="2"/>
        <v>6</v>
      </c>
      <c r="F34">
        <f t="shared" si="3"/>
        <v>4</v>
      </c>
      <c r="G34">
        <f t="shared" si="4"/>
        <v>1</v>
      </c>
      <c r="H34">
        <f t="shared" si="5"/>
        <v>1</v>
      </c>
      <c r="I34" s="9" t="str">
        <f t="shared" si="6"/>
        <v>411</v>
      </c>
      <c r="Q34" s="1">
        <v>4.8158945850459767E-2</v>
      </c>
      <c r="R34" s="1">
        <v>0.50801357060011687</v>
      </c>
    </row>
    <row r="35" spans="1:18" x14ac:dyDescent="0.35">
      <c r="A35" t="s">
        <v>1047</v>
      </c>
      <c r="B35" s="2">
        <v>45562</v>
      </c>
      <c r="C35">
        <f t="shared" si="0"/>
        <v>276</v>
      </c>
      <c r="D35">
        <f t="shared" si="1"/>
        <v>2289</v>
      </c>
      <c r="E35">
        <f t="shared" si="2"/>
        <v>12</v>
      </c>
      <c r="F35">
        <f t="shared" si="3"/>
        <v>2</v>
      </c>
      <c r="G35">
        <f t="shared" si="4"/>
        <v>4</v>
      </c>
      <c r="H35">
        <f t="shared" si="5"/>
        <v>4</v>
      </c>
      <c r="I35" s="9" t="str">
        <f t="shared" si="6"/>
        <v>244</v>
      </c>
      <c r="Q35" s="1">
        <v>0.55150267560707533</v>
      </c>
      <c r="R35" s="1">
        <v>0.58413900968193377</v>
      </c>
    </row>
    <row r="36" spans="1:18" x14ac:dyDescent="0.35">
      <c r="A36" t="s">
        <v>1048</v>
      </c>
      <c r="B36" s="2">
        <v>45645</v>
      </c>
      <c r="C36">
        <f t="shared" si="0"/>
        <v>193</v>
      </c>
      <c r="D36">
        <f t="shared" si="1"/>
        <v>544</v>
      </c>
      <c r="E36">
        <f t="shared" si="2"/>
        <v>3</v>
      </c>
      <c r="F36">
        <f t="shared" si="3"/>
        <v>4</v>
      </c>
      <c r="G36">
        <f t="shared" si="4"/>
        <v>1</v>
      </c>
      <c r="H36">
        <f t="shared" si="5"/>
        <v>1</v>
      </c>
      <c r="I36" s="9" t="str">
        <f t="shared" si="6"/>
        <v>411</v>
      </c>
      <c r="Q36" s="1">
        <v>0.24947828200556332</v>
      </c>
      <c r="R36" s="1">
        <v>5.136118477329199E-3</v>
      </c>
    </row>
    <row r="37" spans="1:18" x14ac:dyDescent="0.35">
      <c r="A37" t="s">
        <v>1049</v>
      </c>
      <c r="B37" s="2">
        <v>45339</v>
      </c>
      <c r="C37">
        <f t="shared" si="0"/>
        <v>499</v>
      </c>
      <c r="D37">
        <f t="shared" si="1"/>
        <v>2080</v>
      </c>
      <c r="E37">
        <f t="shared" si="2"/>
        <v>11</v>
      </c>
      <c r="F37">
        <f t="shared" si="3"/>
        <v>1</v>
      </c>
      <c r="G37">
        <f t="shared" si="4"/>
        <v>3</v>
      </c>
      <c r="H37">
        <f t="shared" si="5"/>
        <v>4</v>
      </c>
      <c r="I37" s="9" t="str">
        <f t="shared" si="6"/>
        <v>134</v>
      </c>
      <c r="Q37" s="1">
        <v>0.45235916794489728</v>
      </c>
      <c r="R37" s="1">
        <v>0.57805186609316139</v>
      </c>
    </row>
    <row r="38" spans="1:18" x14ac:dyDescent="0.35">
      <c r="A38" t="s">
        <v>1050</v>
      </c>
      <c r="B38" s="2">
        <v>45389</v>
      </c>
      <c r="C38">
        <f t="shared" si="0"/>
        <v>449</v>
      </c>
      <c r="D38">
        <f t="shared" si="1"/>
        <v>2853</v>
      </c>
      <c r="E38">
        <f t="shared" si="2"/>
        <v>14</v>
      </c>
      <c r="F38">
        <f t="shared" si="3"/>
        <v>1</v>
      </c>
      <c r="G38">
        <f t="shared" si="4"/>
        <v>5</v>
      </c>
      <c r="H38">
        <f t="shared" si="5"/>
        <v>5</v>
      </c>
      <c r="I38" s="9" t="str">
        <f t="shared" si="6"/>
        <v>155</v>
      </c>
      <c r="Q38" s="1">
        <v>0.61039152577229039</v>
      </c>
      <c r="R38" s="1">
        <v>0.81052026554595313</v>
      </c>
    </row>
    <row r="39" spans="1:18" x14ac:dyDescent="0.35">
      <c r="A39" t="s">
        <v>1051</v>
      </c>
      <c r="B39" s="2">
        <v>45383</v>
      </c>
      <c r="C39">
        <f t="shared" si="0"/>
        <v>455</v>
      </c>
      <c r="D39">
        <f t="shared" si="1"/>
        <v>1646</v>
      </c>
      <c r="E39">
        <f t="shared" si="2"/>
        <v>9</v>
      </c>
      <c r="F39">
        <f t="shared" si="3"/>
        <v>1</v>
      </c>
      <c r="G39">
        <f t="shared" si="4"/>
        <v>2</v>
      </c>
      <c r="H39">
        <f t="shared" si="5"/>
        <v>2</v>
      </c>
      <c r="I39" s="9" t="str">
        <f t="shared" si="6"/>
        <v>122</v>
      </c>
      <c r="Q39" s="1">
        <v>0.36792115697673822</v>
      </c>
      <c r="R39" s="1">
        <v>0.44343594554409116</v>
      </c>
    </row>
    <row r="40" spans="1:18" x14ac:dyDescent="0.35">
      <c r="A40" t="s">
        <v>1052</v>
      </c>
      <c r="B40" s="2">
        <v>45682</v>
      </c>
      <c r="C40">
        <f t="shared" si="0"/>
        <v>156</v>
      </c>
      <c r="D40">
        <f t="shared" si="1"/>
        <v>3289</v>
      </c>
      <c r="E40">
        <f t="shared" si="2"/>
        <v>17</v>
      </c>
      <c r="F40">
        <f t="shared" si="3"/>
        <v>4</v>
      </c>
      <c r="G40">
        <f t="shared" si="4"/>
        <v>5</v>
      </c>
      <c r="H40">
        <f t="shared" si="5"/>
        <v>5</v>
      </c>
      <c r="I40" s="9" t="str">
        <f t="shared" si="6"/>
        <v>455</v>
      </c>
      <c r="Q40" s="1">
        <v>0.8312906287011772</v>
      </c>
      <c r="R40" s="1">
        <v>0.80975374330973382</v>
      </c>
    </row>
    <row r="41" spans="1:18" x14ac:dyDescent="0.35">
      <c r="A41" t="s">
        <v>1053</v>
      </c>
      <c r="B41" s="2">
        <v>45625</v>
      </c>
      <c r="C41">
        <f t="shared" si="0"/>
        <v>213</v>
      </c>
      <c r="D41">
        <f t="shared" si="1"/>
        <v>672</v>
      </c>
      <c r="E41">
        <f t="shared" si="2"/>
        <v>4</v>
      </c>
      <c r="F41">
        <f t="shared" si="3"/>
        <v>4</v>
      </c>
      <c r="G41">
        <f t="shared" si="4"/>
        <v>1</v>
      </c>
      <c r="H41">
        <f t="shared" si="5"/>
        <v>1</v>
      </c>
      <c r="I41" s="9" t="str">
        <f t="shared" si="6"/>
        <v>411</v>
      </c>
      <c r="Q41" s="1">
        <v>0.28984171690493143</v>
      </c>
      <c r="R41" s="1">
        <v>2.9540216455102963E-2</v>
      </c>
    </row>
    <row r="42" spans="1:18" x14ac:dyDescent="0.35">
      <c r="A42" t="s">
        <v>1054</v>
      </c>
      <c r="B42" s="2">
        <v>45441</v>
      </c>
      <c r="C42">
        <f t="shared" si="0"/>
        <v>397</v>
      </c>
      <c r="D42">
        <f t="shared" si="1"/>
        <v>2434</v>
      </c>
      <c r="E42">
        <f t="shared" si="2"/>
        <v>12</v>
      </c>
      <c r="F42">
        <f t="shared" si="3"/>
        <v>2</v>
      </c>
      <c r="G42">
        <f t="shared" si="4"/>
        <v>4</v>
      </c>
      <c r="H42">
        <f t="shared" si="5"/>
        <v>4</v>
      </c>
      <c r="I42" s="9" t="str">
        <f t="shared" si="6"/>
        <v>244</v>
      </c>
      <c r="Q42" s="1">
        <v>0.28538116796063773</v>
      </c>
      <c r="R42" s="1">
        <v>0.92384377233791026</v>
      </c>
    </row>
    <row r="43" spans="1:18" x14ac:dyDescent="0.35">
      <c r="A43" t="s">
        <v>1055</v>
      </c>
      <c r="B43" s="2">
        <v>45745</v>
      </c>
      <c r="C43">
        <f t="shared" si="0"/>
        <v>93</v>
      </c>
      <c r="D43">
        <f t="shared" si="1"/>
        <v>2431</v>
      </c>
      <c r="E43">
        <f t="shared" si="2"/>
        <v>12</v>
      </c>
      <c r="F43">
        <f t="shared" si="3"/>
        <v>5</v>
      </c>
      <c r="G43">
        <f t="shared" si="4"/>
        <v>4</v>
      </c>
      <c r="H43">
        <f t="shared" si="5"/>
        <v>4</v>
      </c>
      <c r="I43" s="9" t="str">
        <f t="shared" si="6"/>
        <v>544</v>
      </c>
      <c r="M43" t="s">
        <v>1448</v>
      </c>
      <c r="Q43" s="1">
        <v>0.99176065413873482</v>
      </c>
      <c r="R43" s="1">
        <v>0.21571442063551238</v>
      </c>
    </row>
    <row r="44" spans="1:18" x14ac:dyDescent="0.35">
      <c r="A44" t="s">
        <v>1056</v>
      </c>
      <c r="B44" s="2">
        <v>45471</v>
      </c>
      <c r="C44">
        <f t="shared" si="0"/>
        <v>367</v>
      </c>
      <c r="D44">
        <f t="shared" si="1"/>
        <v>1429</v>
      </c>
      <c r="E44">
        <f t="shared" si="2"/>
        <v>8</v>
      </c>
      <c r="F44">
        <f t="shared" si="3"/>
        <v>2</v>
      </c>
      <c r="G44">
        <f t="shared" si="4"/>
        <v>1</v>
      </c>
      <c r="H44">
        <f t="shared" si="5"/>
        <v>1</v>
      </c>
      <c r="I44" s="9" t="str">
        <f t="shared" si="6"/>
        <v>211</v>
      </c>
      <c r="Q44" s="1">
        <v>0.60823907820991385</v>
      </c>
      <c r="R44" s="1">
        <v>9.3249281433329001E-2</v>
      </c>
    </row>
    <row r="45" spans="1:18" x14ac:dyDescent="0.35">
      <c r="A45" t="s">
        <v>1057</v>
      </c>
      <c r="B45" s="2">
        <v>45410</v>
      </c>
      <c r="C45">
        <f t="shared" si="0"/>
        <v>428</v>
      </c>
      <c r="D45">
        <f t="shared" si="1"/>
        <v>2710</v>
      </c>
      <c r="E45">
        <f t="shared" si="2"/>
        <v>14</v>
      </c>
      <c r="F45">
        <f t="shared" si="3"/>
        <v>1</v>
      </c>
      <c r="G45">
        <f t="shared" si="4"/>
        <v>5</v>
      </c>
      <c r="H45">
        <f t="shared" si="5"/>
        <v>5</v>
      </c>
      <c r="I45" s="9" t="str">
        <f t="shared" si="6"/>
        <v>155</v>
      </c>
      <c r="Q45" s="1">
        <v>0.448527702373406</v>
      </c>
      <c r="R45" s="1">
        <v>0.89981204990105867</v>
      </c>
    </row>
    <row r="46" spans="1:18" x14ac:dyDescent="0.35">
      <c r="A46" t="s">
        <v>1058</v>
      </c>
      <c r="B46" s="2">
        <v>45388</v>
      </c>
      <c r="C46">
        <f t="shared" si="0"/>
        <v>450</v>
      </c>
      <c r="D46">
        <f t="shared" si="1"/>
        <v>2087</v>
      </c>
      <c r="E46">
        <f t="shared" si="2"/>
        <v>11</v>
      </c>
      <c r="F46">
        <f t="shared" si="3"/>
        <v>1</v>
      </c>
      <c r="G46">
        <f t="shared" si="4"/>
        <v>3</v>
      </c>
      <c r="H46">
        <f t="shared" si="5"/>
        <v>4</v>
      </c>
      <c r="I46" s="9" t="str">
        <f t="shared" si="6"/>
        <v>134</v>
      </c>
      <c r="Q46" s="1">
        <v>0.49774507864518414</v>
      </c>
      <c r="R46" s="1">
        <v>0.53597212206988976</v>
      </c>
    </row>
    <row r="47" spans="1:18" x14ac:dyDescent="0.35">
      <c r="A47" t="s">
        <v>1059</v>
      </c>
      <c r="B47" s="2">
        <v>45350</v>
      </c>
      <c r="C47">
        <f t="shared" si="0"/>
        <v>488</v>
      </c>
      <c r="D47">
        <f t="shared" si="1"/>
        <v>1729</v>
      </c>
      <c r="E47">
        <f t="shared" si="2"/>
        <v>9</v>
      </c>
      <c r="F47">
        <f t="shared" si="3"/>
        <v>1</v>
      </c>
      <c r="G47">
        <f t="shared" si="4"/>
        <v>2</v>
      </c>
      <c r="H47">
        <f t="shared" si="5"/>
        <v>2</v>
      </c>
      <c r="I47" s="9" t="str">
        <f t="shared" si="6"/>
        <v>122</v>
      </c>
      <c r="Q47" s="1">
        <v>0.82299426476930737</v>
      </c>
      <c r="R47" s="1">
        <v>2.983369720775042E-2</v>
      </c>
    </row>
    <row r="48" spans="1:18" x14ac:dyDescent="0.35">
      <c r="A48" t="s">
        <v>1060</v>
      </c>
      <c r="B48" s="2">
        <v>45338</v>
      </c>
      <c r="C48">
        <f t="shared" si="0"/>
        <v>500</v>
      </c>
      <c r="D48">
        <f t="shared" si="1"/>
        <v>708</v>
      </c>
      <c r="E48">
        <f t="shared" si="2"/>
        <v>4</v>
      </c>
      <c r="F48">
        <f t="shared" si="3"/>
        <v>1</v>
      </c>
      <c r="G48">
        <f t="shared" si="4"/>
        <v>1</v>
      </c>
      <c r="H48">
        <f t="shared" si="5"/>
        <v>1</v>
      </c>
      <c r="I48" s="9" t="str">
        <f t="shared" si="6"/>
        <v>111</v>
      </c>
      <c r="Q48" s="1">
        <v>8.6734677418639938E-2</v>
      </c>
      <c r="R48" s="1">
        <v>0.25062125777066857</v>
      </c>
    </row>
    <row r="49" spans="1:18" x14ac:dyDescent="0.35">
      <c r="A49" t="s">
        <v>1061</v>
      </c>
      <c r="B49" s="2">
        <v>45789</v>
      </c>
      <c r="C49">
        <f t="shared" si="0"/>
        <v>49</v>
      </c>
      <c r="D49">
        <f t="shared" si="1"/>
        <v>2244</v>
      </c>
      <c r="E49">
        <f t="shared" si="2"/>
        <v>12</v>
      </c>
      <c r="F49">
        <f t="shared" si="3"/>
        <v>5</v>
      </c>
      <c r="G49">
        <f t="shared" si="4"/>
        <v>4</v>
      </c>
      <c r="H49">
        <f t="shared" si="5"/>
        <v>4</v>
      </c>
      <c r="I49" s="9" t="str">
        <f t="shared" si="6"/>
        <v>544</v>
      </c>
      <c r="Q49" s="1">
        <v>0.71987967009414267</v>
      </c>
      <c r="R49" s="1">
        <v>0.39331656142171134</v>
      </c>
    </row>
    <row r="50" spans="1:18" x14ac:dyDescent="0.35">
      <c r="A50" t="s">
        <v>1062</v>
      </c>
      <c r="B50" s="2">
        <v>45494</v>
      </c>
      <c r="C50">
        <f t="shared" si="0"/>
        <v>344</v>
      </c>
      <c r="D50">
        <f t="shared" si="1"/>
        <v>1454</v>
      </c>
      <c r="E50">
        <f t="shared" si="2"/>
        <v>8</v>
      </c>
      <c r="F50">
        <f t="shared" si="3"/>
        <v>2</v>
      </c>
      <c r="G50">
        <f t="shared" si="4"/>
        <v>1</v>
      </c>
      <c r="H50">
        <f t="shared" si="5"/>
        <v>2</v>
      </c>
      <c r="I50" s="9" t="str">
        <f t="shared" si="6"/>
        <v>212</v>
      </c>
      <c r="Q50" s="1">
        <v>4.1924195053244517E-2</v>
      </c>
      <c r="R50" s="1">
        <v>0.67210763928095818</v>
      </c>
    </row>
    <row r="51" spans="1:18" x14ac:dyDescent="0.35">
      <c r="A51" t="s">
        <v>1063</v>
      </c>
      <c r="B51" s="2">
        <v>45766</v>
      </c>
      <c r="C51">
        <f t="shared" si="0"/>
        <v>72</v>
      </c>
      <c r="D51">
        <f t="shared" si="1"/>
        <v>1335</v>
      </c>
      <c r="E51">
        <f t="shared" si="2"/>
        <v>7</v>
      </c>
      <c r="F51">
        <f t="shared" si="3"/>
        <v>5</v>
      </c>
      <c r="G51">
        <f t="shared" si="4"/>
        <v>1</v>
      </c>
      <c r="H51">
        <f t="shared" si="5"/>
        <v>1</v>
      </c>
      <c r="I51" s="9" t="str">
        <f t="shared" si="6"/>
        <v>511</v>
      </c>
      <c r="Q51" s="1">
        <v>0.58946100428060877</v>
      </c>
      <c r="R51" s="1">
        <v>6.4509951776970498E-2</v>
      </c>
    </row>
    <row r="52" spans="1:18" x14ac:dyDescent="0.35">
      <c r="A52" t="s">
        <v>1064</v>
      </c>
      <c r="B52" s="2">
        <v>45741</v>
      </c>
      <c r="C52">
        <f t="shared" si="0"/>
        <v>97</v>
      </c>
      <c r="D52">
        <f t="shared" si="1"/>
        <v>2934</v>
      </c>
      <c r="E52">
        <f t="shared" si="2"/>
        <v>15</v>
      </c>
      <c r="F52">
        <f t="shared" si="3"/>
        <v>5</v>
      </c>
      <c r="G52">
        <f t="shared" si="4"/>
        <v>5</v>
      </c>
      <c r="H52">
        <f t="shared" si="5"/>
        <v>5</v>
      </c>
      <c r="I52" s="9" t="str">
        <f t="shared" si="6"/>
        <v>555</v>
      </c>
      <c r="Q52" s="1">
        <v>0.76015975594921825</v>
      </c>
      <c r="R52" s="1">
        <v>0.7014261584613487</v>
      </c>
    </row>
    <row r="53" spans="1:18" x14ac:dyDescent="0.35">
      <c r="A53" t="s">
        <v>1065</v>
      </c>
      <c r="B53" s="2">
        <v>45462</v>
      </c>
      <c r="C53">
        <f t="shared" si="0"/>
        <v>376</v>
      </c>
      <c r="D53">
        <f t="shared" si="1"/>
        <v>2677</v>
      </c>
      <c r="E53">
        <f t="shared" si="2"/>
        <v>14</v>
      </c>
      <c r="F53">
        <f t="shared" si="3"/>
        <v>2</v>
      </c>
      <c r="G53">
        <f t="shared" si="4"/>
        <v>5</v>
      </c>
      <c r="H53">
        <f t="shared" si="5"/>
        <v>5</v>
      </c>
      <c r="I53" s="9" t="str">
        <f t="shared" si="6"/>
        <v>255</v>
      </c>
      <c r="Q53" s="1">
        <v>0.66361923177032101</v>
      </c>
      <c r="R53" s="1">
        <v>0.66841846624531842</v>
      </c>
    </row>
    <row r="54" spans="1:18" x14ac:dyDescent="0.35">
      <c r="A54" t="s">
        <v>1066</v>
      </c>
      <c r="B54" s="2">
        <v>45735</v>
      </c>
      <c r="C54">
        <f t="shared" si="0"/>
        <v>103</v>
      </c>
      <c r="D54">
        <f t="shared" si="1"/>
        <v>3289</v>
      </c>
      <c r="E54">
        <f t="shared" si="2"/>
        <v>17</v>
      </c>
      <c r="F54">
        <f t="shared" si="3"/>
        <v>5</v>
      </c>
      <c r="G54">
        <f t="shared" si="4"/>
        <v>5</v>
      </c>
      <c r="H54">
        <f t="shared" si="5"/>
        <v>5</v>
      </c>
      <c r="I54" s="9" t="str">
        <f t="shared" si="6"/>
        <v>555</v>
      </c>
      <c r="Q54" s="1">
        <v>0.95957043650930562</v>
      </c>
      <c r="R54" s="1">
        <v>0.6810886290569963</v>
      </c>
    </row>
    <row r="55" spans="1:18" x14ac:dyDescent="0.35">
      <c r="A55" t="s">
        <v>1067</v>
      </c>
      <c r="B55" s="2">
        <v>45666</v>
      </c>
      <c r="C55">
        <f t="shared" si="0"/>
        <v>172</v>
      </c>
      <c r="D55">
        <f t="shared" si="1"/>
        <v>3742</v>
      </c>
      <c r="E55">
        <f t="shared" si="2"/>
        <v>19</v>
      </c>
      <c r="F55">
        <f t="shared" si="3"/>
        <v>4</v>
      </c>
      <c r="G55">
        <f t="shared" si="4"/>
        <v>5</v>
      </c>
      <c r="H55">
        <f t="shared" si="5"/>
        <v>5</v>
      </c>
      <c r="I55" s="9" t="str">
        <f t="shared" si="6"/>
        <v>455</v>
      </c>
      <c r="Q55" s="1">
        <v>0.88284357218235332</v>
      </c>
      <c r="R55" s="1">
        <v>0.98672525312765946</v>
      </c>
    </row>
    <row r="56" spans="1:18" x14ac:dyDescent="0.35">
      <c r="A56" t="s">
        <v>1068</v>
      </c>
      <c r="B56" s="2">
        <v>45560</v>
      </c>
      <c r="C56">
        <f t="shared" si="0"/>
        <v>278</v>
      </c>
      <c r="D56">
        <f t="shared" si="1"/>
        <v>1616</v>
      </c>
      <c r="E56">
        <f t="shared" si="2"/>
        <v>9</v>
      </c>
      <c r="F56">
        <f t="shared" si="3"/>
        <v>2</v>
      </c>
      <c r="G56">
        <f t="shared" si="4"/>
        <v>2</v>
      </c>
      <c r="H56">
        <f t="shared" si="5"/>
        <v>2</v>
      </c>
      <c r="I56" s="9" t="str">
        <f t="shared" si="6"/>
        <v>222</v>
      </c>
      <c r="Q56" s="1">
        <v>0.1018327923831166</v>
      </c>
      <c r="R56" s="1">
        <v>0.69424177807673892</v>
      </c>
    </row>
    <row r="57" spans="1:18" x14ac:dyDescent="0.35">
      <c r="A57" t="s">
        <v>1069</v>
      </c>
      <c r="B57" s="2">
        <v>45394</v>
      </c>
      <c r="C57">
        <f t="shared" si="0"/>
        <v>444</v>
      </c>
      <c r="D57">
        <f t="shared" si="1"/>
        <v>3099</v>
      </c>
      <c r="E57">
        <f t="shared" si="2"/>
        <v>16</v>
      </c>
      <c r="F57">
        <f t="shared" si="3"/>
        <v>1</v>
      </c>
      <c r="G57">
        <f t="shared" si="4"/>
        <v>5</v>
      </c>
      <c r="H57">
        <f t="shared" si="5"/>
        <v>5</v>
      </c>
      <c r="I57" s="9" t="str">
        <f t="shared" si="6"/>
        <v>155</v>
      </c>
      <c r="Q57" s="1">
        <v>0.78986011157502234</v>
      </c>
      <c r="R57" s="1">
        <v>0.755055273059271</v>
      </c>
    </row>
    <row r="58" spans="1:18" x14ac:dyDescent="0.35">
      <c r="A58" t="s">
        <v>1070</v>
      </c>
      <c r="B58" s="2">
        <v>45703</v>
      </c>
      <c r="C58">
        <f t="shared" si="0"/>
        <v>135</v>
      </c>
      <c r="D58">
        <f t="shared" si="1"/>
        <v>2539</v>
      </c>
      <c r="E58">
        <f t="shared" si="2"/>
        <v>13</v>
      </c>
      <c r="F58">
        <f t="shared" si="3"/>
        <v>5</v>
      </c>
      <c r="G58">
        <f t="shared" si="4"/>
        <v>4</v>
      </c>
      <c r="H58">
        <f t="shared" si="5"/>
        <v>4</v>
      </c>
      <c r="I58" s="9" t="str">
        <f t="shared" si="6"/>
        <v>544</v>
      </c>
      <c r="Q58" s="1">
        <v>0.47319532256500751</v>
      </c>
      <c r="R58" s="1">
        <v>0.78884313751345025</v>
      </c>
    </row>
    <row r="59" spans="1:18" x14ac:dyDescent="0.35">
      <c r="A59" t="s">
        <v>1071</v>
      </c>
      <c r="B59" s="2">
        <v>45355</v>
      </c>
      <c r="C59">
        <f t="shared" si="0"/>
        <v>483</v>
      </c>
      <c r="D59">
        <f t="shared" si="1"/>
        <v>838</v>
      </c>
      <c r="E59">
        <f t="shared" si="2"/>
        <v>5</v>
      </c>
      <c r="F59">
        <f t="shared" si="3"/>
        <v>1</v>
      </c>
      <c r="G59">
        <f t="shared" si="4"/>
        <v>1</v>
      </c>
      <c r="H59">
        <f t="shared" si="5"/>
        <v>1</v>
      </c>
      <c r="I59" s="9" t="str">
        <f t="shared" si="6"/>
        <v>111</v>
      </c>
      <c r="Q59" s="1">
        <v>0.14023256060293066</v>
      </c>
      <c r="R59" s="1">
        <v>0.26274424678318864</v>
      </c>
    </row>
    <row r="60" spans="1:18" x14ac:dyDescent="0.35">
      <c r="A60" t="s">
        <v>1072</v>
      </c>
      <c r="B60" s="2">
        <v>45304</v>
      </c>
      <c r="C60">
        <f t="shared" si="0"/>
        <v>534</v>
      </c>
      <c r="D60">
        <f t="shared" si="1"/>
        <v>2517</v>
      </c>
      <c r="E60">
        <f t="shared" si="2"/>
        <v>13</v>
      </c>
      <c r="F60">
        <f t="shared" si="3"/>
        <v>1</v>
      </c>
      <c r="G60">
        <f t="shared" si="4"/>
        <v>4</v>
      </c>
      <c r="H60">
        <f t="shared" si="5"/>
        <v>4</v>
      </c>
      <c r="I60" s="9" t="str">
        <f t="shared" si="6"/>
        <v>144</v>
      </c>
      <c r="M60" t="s">
        <v>1449</v>
      </c>
      <c r="Q60" s="1">
        <v>0.82901740681534963</v>
      </c>
      <c r="R60" s="1">
        <v>0.42176274423485327</v>
      </c>
    </row>
    <row r="61" spans="1:18" x14ac:dyDescent="0.35">
      <c r="A61" t="s">
        <v>1073</v>
      </c>
      <c r="B61" s="2">
        <v>45726</v>
      </c>
      <c r="C61">
        <f t="shared" si="0"/>
        <v>112</v>
      </c>
      <c r="D61">
        <f t="shared" si="1"/>
        <v>2954</v>
      </c>
      <c r="E61">
        <f t="shared" si="2"/>
        <v>15</v>
      </c>
      <c r="F61">
        <f t="shared" si="3"/>
        <v>5</v>
      </c>
      <c r="G61">
        <f t="shared" si="4"/>
        <v>5</v>
      </c>
      <c r="H61">
        <f t="shared" si="5"/>
        <v>5</v>
      </c>
      <c r="I61" s="9" t="str">
        <f t="shared" si="6"/>
        <v>555</v>
      </c>
      <c r="Q61" s="1">
        <v>0.80885326806760649</v>
      </c>
      <c r="R61" s="1">
        <v>0.66285996651325252</v>
      </c>
    </row>
    <row r="62" spans="1:18" x14ac:dyDescent="0.35">
      <c r="A62" t="s">
        <v>1074</v>
      </c>
      <c r="B62" s="2">
        <v>45367</v>
      </c>
      <c r="C62">
        <f t="shared" si="0"/>
        <v>471</v>
      </c>
      <c r="D62">
        <f t="shared" si="1"/>
        <v>2305</v>
      </c>
      <c r="E62">
        <f t="shared" si="2"/>
        <v>12</v>
      </c>
      <c r="F62">
        <f t="shared" si="3"/>
        <v>1</v>
      </c>
      <c r="G62">
        <f t="shared" si="4"/>
        <v>4</v>
      </c>
      <c r="H62">
        <f t="shared" si="5"/>
        <v>4</v>
      </c>
      <c r="I62" s="9" t="str">
        <f t="shared" si="6"/>
        <v>144</v>
      </c>
      <c r="Q62" s="1">
        <v>0.7566649580977084</v>
      </c>
      <c r="R62" s="1">
        <v>0.3872881695379623</v>
      </c>
    </row>
    <row r="63" spans="1:18" x14ac:dyDescent="0.35">
      <c r="A63" t="s">
        <v>1075</v>
      </c>
      <c r="B63" s="2">
        <v>45737</v>
      </c>
      <c r="C63">
        <f t="shared" si="0"/>
        <v>101</v>
      </c>
      <c r="D63">
        <f t="shared" si="1"/>
        <v>3262</v>
      </c>
      <c r="E63">
        <f t="shared" si="2"/>
        <v>16</v>
      </c>
      <c r="F63">
        <f t="shared" si="3"/>
        <v>5</v>
      </c>
      <c r="G63">
        <f t="shared" si="4"/>
        <v>5</v>
      </c>
      <c r="H63">
        <f t="shared" si="5"/>
        <v>5</v>
      </c>
      <c r="I63" s="9" t="str">
        <f t="shared" si="6"/>
        <v>555</v>
      </c>
      <c r="Q63" s="1">
        <v>0.77122044690857272</v>
      </c>
      <c r="R63" s="1">
        <v>0.85600294089390827</v>
      </c>
    </row>
    <row r="64" spans="1:18" x14ac:dyDescent="0.35">
      <c r="A64" t="s">
        <v>1076</v>
      </c>
      <c r="B64" s="2">
        <v>45608</v>
      </c>
      <c r="C64">
        <f t="shared" si="0"/>
        <v>230</v>
      </c>
      <c r="D64">
        <f t="shared" si="1"/>
        <v>1262</v>
      </c>
      <c r="E64">
        <f t="shared" si="2"/>
        <v>7</v>
      </c>
      <c r="F64">
        <f t="shared" si="3"/>
        <v>4</v>
      </c>
      <c r="G64">
        <f t="shared" si="4"/>
        <v>1</v>
      </c>
      <c r="H64">
        <f t="shared" si="5"/>
        <v>1</v>
      </c>
      <c r="I64" s="9" t="str">
        <f t="shared" si="6"/>
        <v>411</v>
      </c>
      <c r="Q64" s="1">
        <v>0.22149155749094263</v>
      </c>
      <c r="R64" s="1">
        <v>0.39555570280231622</v>
      </c>
    </row>
    <row r="65" spans="1:18" x14ac:dyDescent="0.35">
      <c r="A65" t="s">
        <v>1077</v>
      </c>
      <c r="B65" s="2">
        <v>45664</v>
      </c>
      <c r="C65">
        <f t="shared" si="0"/>
        <v>174</v>
      </c>
      <c r="D65">
        <f t="shared" si="1"/>
        <v>1893</v>
      </c>
      <c r="E65">
        <f t="shared" si="2"/>
        <v>10</v>
      </c>
      <c r="F65">
        <f t="shared" si="3"/>
        <v>4</v>
      </c>
      <c r="G65">
        <f t="shared" si="4"/>
        <v>2</v>
      </c>
      <c r="H65">
        <f t="shared" si="5"/>
        <v>2</v>
      </c>
      <c r="I65" s="9" t="str">
        <f t="shared" si="6"/>
        <v>422</v>
      </c>
      <c r="Q65" s="1">
        <v>0.15080214831180316</v>
      </c>
      <c r="R65" s="1">
        <v>0.78521732905524411</v>
      </c>
    </row>
    <row r="66" spans="1:18" x14ac:dyDescent="0.35">
      <c r="A66" t="s">
        <v>1078</v>
      </c>
      <c r="B66" s="2">
        <v>45589</v>
      </c>
      <c r="C66">
        <f t="shared" si="0"/>
        <v>249</v>
      </c>
      <c r="D66">
        <f t="shared" si="1"/>
        <v>2663</v>
      </c>
      <c r="E66">
        <f t="shared" si="2"/>
        <v>14</v>
      </c>
      <c r="F66">
        <f t="shared" si="3"/>
        <v>4</v>
      </c>
      <c r="G66">
        <f t="shared" si="4"/>
        <v>5</v>
      </c>
      <c r="H66">
        <f t="shared" si="5"/>
        <v>5</v>
      </c>
      <c r="I66" s="9" t="str">
        <f t="shared" si="6"/>
        <v>455</v>
      </c>
      <c r="Q66" s="1">
        <v>0.53024952010205428</v>
      </c>
      <c r="R66" s="1">
        <v>0.79436536867983154</v>
      </c>
    </row>
    <row r="67" spans="1:18" x14ac:dyDescent="0.35">
      <c r="A67" t="s">
        <v>1079</v>
      </c>
      <c r="B67" s="2">
        <v>45573</v>
      </c>
      <c r="C67">
        <f t="shared" ref="C67:C130" si="7">45838-B67</f>
        <v>265</v>
      </c>
      <c r="D67">
        <f t="shared" ref="D67:D130" si="8">ROUND((R67*0.5+0.5*Q67)*(4000-40)+40,0)</f>
        <v>2579</v>
      </c>
      <c r="E67">
        <f t="shared" ref="E67:E130" si="9">ROUND((R67*0.5+Q67*0.5)*(20-1)+1,0)</f>
        <v>13</v>
      </c>
      <c r="F67">
        <f t="shared" ref="F67:F130" si="10">IF(C67&lt;=$M$4,5,IF(C67&lt;=$M$5,4,IF(C67&lt;=$M$9,3,IF(C67&lt;=$M$6,2,1))))</f>
        <v>4</v>
      </c>
      <c r="G67">
        <f t="shared" ref="G67:G130" si="11">IF(E67&lt;=$M$14,1,IF(E67&lt;=$M$19,2,IF(E67&lt;=$M$15,3,IF(E67&lt;=$M$16,4,5))))</f>
        <v>4</v>
      </c>
      <c r="H67">
        <f t="shared" ref="H67:H130" si="12">IF(D67&lt;=$M$24,1,IF(D67&lt;=$M$29,2,IF(D67&lt;=$M$25,3,IF(D67&lt;=$M$26,4,5))))</f>
        <v>4</v>
      </c>
      <c r="I67" s="9" t="str">
        <f t="shared" ref="I67:I130" si="13">CONCATENATE(F67,G67,H67)</f>
        <v>444</v>
      </c>
      <c r="Q67" s="1">
        <v>0.93774008868256398</v>
      </c>
      <c r="R67" s="1">
        <v>0.34440406782844424</v>
      </c>
    </row>
    <row r="68" spans="1:18" x14ac:dyDescent="0.35">
      <c r="A68" t="s">
        <v>1080</v>
      </c>
      <c r="B68" s="2">
        <v>45565</v>
      </c>
      <c r="C68">
        <f t="shared" si="7"/>
        <v>273</v>
      </c>
      <c r="D68">
        <f t="shared" si="8"/>
        <v>1075</v>
      </c>
      <c r="E68">
        <f t="shared" si="9"/>
        <v>6</v>
      </c>
      <c r="F68">
        <f t="shared" si="10"/>
        <v>2</v>
      </c>
      <c r="G68">
        <f t="shared" si="11"/>
        <v>1</v>
      </c>
      <c r="H68">
        <f t="shared" si="12"/>
        <v>1</v>
      </c>
      <c r="I68" s="9" t="str">
        <f t="shared" si="13"/>
        <v>211</v>
      </c>
      <c r="Q68" s="1">
        <v>0.51296600309155183</v>
      </c>
      <c r="R68" s="1">
        <v>9.7315255185513871E-3</v>
      </c>
    </row>
    <row r="69" spans="1:18" x14ac:dyDescent="0.35">
      <c r="A69" t="s">
        <v>1081</v>
      </c>
      <c r="B69" s="2">
        <v>45614</v>
      </c>
      <c r="C69">
        <f t="shared" si="7"/>
        <v>224</v>
      </c>
      <c r="D69">
        <f t="shared" si="8"/>
        <v>418</v>
      </c>
      <c r="E69">
        <f t="shared" si="9"/>
        <v>3</v>
      </c>
      <c r="F69">
        <f t="shared" si="10"/>
        <v>4</v>
      </c>
      <c r="G69">
        <f t="shared" si="11"/>
        <v>1</v>
      </c>
      <c r="H69">
        <f t="shared" si="12"/>
        <v>1</v>
      </c>
      <c r="I69" s="9" t="str">
        <f t="shared" si="13"/>
        <v>411</v>
      </c>
      <c r="Q69" s="1">
        <v>0.14338898346115525</v>
      </c>
      <c r="R69" s="1">
        <v>4.7452576659738122E-2</v>
      </c>
    </row>
    <row r="70" spans="1:18" x14ac:dyDescent="0.35">
      <c r="A70" t="s">
        <v>1082</v>
      </c>
      <c r="B70" s="2">
        <v>45418</v>
      </c>
      <c r="C70">
        <f t="shared" si="7"/>
        <v>420</v>
      </c>
      <c r="D70">
        <f t="shared" si="8"/>
        <v>1497</v>
      </c>
      <c r="E70">
        <f t="shared" si="9"/>
        <v>8</v>
      </c>
      <c r="F70">
        <f t="shared" si="10"/>
        <v>1</v>
      </c>
      <c r="G70">
        <f t="shared" si="11"/>
        <v>1</v>
      </c>
      <c r="H70">
        <f t="shared" si="12"/>
        <v>2</v>
      </c>
      <c r="I70" s="9" t="str">
        <f t="shared" si="13"/>
        <v>112</v>
      </c>
      <c r="Q70" s="1">
        <v>0.65312101894564856</v>
      </c>
      <c r="R70" s="1">
        <v>8.2490800609091974E-2</v>
      </c>
    </row>
    <row r="71" spans="1:18" x14ac:dyDescent="0.35">
      <c r="A71" t="s">
        <v>1083</v>
      </c>
      <c r="B71" s="2">
        <v>45581</v>
      </c>
      <c r="C71">
        <f t="shared" si="7"/>
        <v>257</v>
      </c>
      <c r="D71">
        <f t="shared" si="8"/>
        <v>3477</v>
      </c>
      <c r="E71">
        <f t="shared" si="9"/>
        <v>17</v>
      </c>
      <c r="F71">
        <f t="shared" si="10"/>
        <v>4</v>
      </c>
      <c r="G71">
        <f t="shared" si="11"/>
        <v>5</v>
      </c>
      <c r="H71">
        <f t="shared" si="12"/>
        <v>5</v>
      </c>
      <c r="I71" s="9" t="str">
        <f t="shared" si="13"/>
        <v>455</v>
      </c>
      <c r="Q71" s="1">
        <v>0.93412096838747882</v>
      </c>
      <c r="R71" s="1">
        <v>0.80152975110920155</v>
      </c>
    </row>
    <row r="72" spans="1:18" x14ac:dyDescent="0.35">
      <c r="A72" t="s">
        <v>1084</v>
      </c>
      <c r="B72" s="2">
        <v>45635</v>
      </c>
      <c r="C72">
        <f t="shared" si="7"/>
        <v>203</v>
      </c>
      <c r="D72">
        <f t="shared" si="8"/>
        <v>2209</v>
      </c>
      <c r="E72">
        <f t="shared" si="9"/>
        <v>11</v>
      </c>
      <c r="F72">
        <f t="shared" si="10"/>
        <v>4</v>
      </c>
      <c r="G72">
        <f t="shared" si="11"/>
        <v>3</v>
      </c>
      <c r="H72">
        <f t="shared" si="12"/>
        <v>4</v>
      </c>
      <c r="I72" s="9" t="str">
        <f t="shared" si="13"/>
        <v>434</v>
      </c>
      <c r="Q72" s="1">
        <v>0.94050320856787006</v>
      </c>
      <c r="R72" s="1">
        <v>0.15488361586295951</v>
      </c>
    </row>
    <row r="73" spans="1:18" x14ac:dyDescent="0.35">
      <c r="A73" t="s">
        <v>1085</v>
      </c>
      <c r="B73" s="2">
        <v>45722</v>
      </c>
      <c r="C73">
        <f t="shared" si="7"/>
        <v>116</v>
      </c>
      <c r="D73">
        <f t="shared" si="8"/>
        <v>2043</v>
      </c>
      <c r="E73">
        <f t="shared" si="9"/>
        <v>11</v>
      </c>
      <c r="F73">
        <f t="shared" si="10"/>
        <v>5</v>
      </c>
      <c r="G73">
        <f t="shared" si="11"/>
        <v>3</v>
      </c>
      <c r="H73">
        <f t="shared" si="12"/>
        <v>3</v>
      </c>
      <c r="I73" s="9" t="str">
        <f t="shared" si="13"/>
        <v>533</v>
      </c>
      <c r="Q73" s="1">
        <v>0.24192323387885284</v>
      </c>
      <c r="R73" s="1">
        <v>0.76946241482929756</v>
      </c>
    </row>
    <row r="74" spans="1:18" x14ac:dyDescent="0.35">
      <c r="A74" t="s">
        <v>1086</v>
      </c>
      <c r="B74" s="2">
        <v>45618</v>
      </c>
      <c r="C74">
        <f t="shared" si="7"/>
        <v>220</v>
      </c>
      <c r="D74">
        <f t="shared" si="8"/>
        <v>2706</v>
      </c>
      <c r="E74">
        <f t="shared" si="9"/>
        <v>14</v>
      </c>
      <c r="F74">
        <f t="shared" si="10"/>
        <v>4</v>
      </c>
      <c r="G74">
        <f t="shared" si="11"/>
        <v>5</v>
      </c>
      <c r="H74">
        <f t="shared" si="12"/>
        <v>5</v>
      </c>
      <c r="I74" s="9" t="str">
        <f t="shared" si="13"/>
        <v>455</v>
      </c>
      <c r="Q74" s="1">
        <v>0.64071725064610097</v>
      </c>
      <c r="R74" s="1">
        <v>0.70554498099863416</v>
      </c>
    </row>
    <row r="75" spans="1:18" x14ac:dyDescent="0.35">
      <c r="A75" t="s">
        <v>1087</v>
      </c>
      <c r="B75" s="2">
        <v>45705</v>
      </c>
      <c r="C75">
        <f t="shared" si="7"/>
        <v>133</v>
      </c>
      <c r="D75">
        <f t="shared" si="8"/>
        <v>3109</v>
      </c>
      <c r="E75">
        <f t="shared" si="9"/>
        <v>16</v>
      </c>
      <c r="F75">
        <f t="shared" si="10"/>
        <v>5</v>
      </c>
      <c r="G75">
        <f t="shared" si="11"/>
        <v>5</v>
      </c>
      <c r="H75">
        <f t="shared" si="12"/>
        <v>5</v>
      </c>
      <c r="I75" s="9" t="str">
        <f t="shared" si="13"/>
        <v>555</v>
      </c>
      <c r="Q75" s="1">
        <v>0.91109299585512815</v>
      </c>
      <c r="R75" s="1">
        <v>0.63871269967729949</v>
      </c>
    </row>
    <row r="76" spans="1:18" x14ac:dyDescent="0.35">
      <c r="A76" t="s">
        <v>1088</v>
      </c>
      <c r="B76" s="2">
        <v>45518</v>
      </c>
      <c r="C76">
        <f t="shared" si="7"/>
        <v>320</v>
      </c>
      <c r="D76">
        <f t="shared" si="8"/>
        <v>1775</v>
      </c>
      <c r="E76">
        <f t="shared" si="9"/>
        <v>9</v>
      </c>
      <c r="F76">
        <f t="shared" si="10"/>
        <v>2</v>
      </c>
      <c r="G76">
        <f t="shared" si="11"/>
        <v>2</v>
      </c>
      <c r="H76">
        <f t="shared" si="12"/>
        <v>2</v>
      </c>
      <c r="I76" s="9" t="str">
        <f t="shared" si="13"/>
        <v>222</v>
      </c>
      <c r="Q76" s="1">
        <v>0.60920515468360315</v>
      </c>
      <c r="R76" s="1">
        <v>0.26686425987683748</v>
      </c>
    </row>
    <row r="77" spans="1:18" x14ac:dyDescent="0.35">
      <c r="A77" t="s">
        <v>1089</v>
      </c>
      <c r="B77" s="2">
        <v>45529</v>
      </c>
      <c r="C77">
        <f t="shared" si="7"/>
        <v>309</v>
      </c>
      <c r="D77">
        <f t="shared" si="8"/>
        <v>1406</v>
      </c>
      <c r="E77">
        <f t="shared" si="9"/>
        <v>8</v>
      </c>
      <c r="F77">
        <f t="shared" si="10"/>
        <v>2</v>
      </c>
      <c r="G77">
        <f t="shared" si="11"/>
        <v>1</v>
      </c>
      <c r="H77">
        <f t="shared" si="12"/>
        <v>1</v>
      </c>
      <c r="I77" s="9" t="str">
        <f t="shared" si="13"/>
        <v>211</v>
      </c>
      <c r="Q77" s="1">
        <v>0.40767452224598977</v>
      </c>
      <c r="R77" s="1">
        <v>0.28234158938798493</v>
      </c>
    </row>
    <row r="78" spans="1:18" x14ac:dyDescent="0.35">
      <c r="A78" t="s">
        <v>1090</v>
      </c>
      <c r="B78" s="2">
        <v>45615</v>
      </c>
      <c r="C78">
        <f t="shared" si="7"/>
        <v>223</v>
      </c>
      <c r="D78">
        <f t="shared" si="8"/>
        <v>1568</v>
      </c>
      <c r="E78">
        <f t="shared" si="9"/>
        <v>8</v>
      </c>
      <c r="F78">
        <f t="shared" si="10"/>
        <v>4</v>
      </c>
      <c r="G78">
        <f t="shared" si="11"/>
        <v>1</v>
      </c>
      <c r="H78">
        <f t="shared" si="12"/>
        <v>2</v>
      </c>
      <c r="I78" s="9" t="str">
        <f t="shared" si="13"/>
        <v>412</v>
      </c>
      <c r="Q78" s="1">
        <v>0.35608584599089899</v>
      </c>
      <c r="R78" s="1">
        <v>0.41558365626908111</v>
      </c>
    </row>
    <row r="79" spans="1:18" x14ac:dyDescent="0.35">
      <c r="A79" t="s">
        <v>1091</v>
      </c>
      <c r="B79" s="2">
        <v>45465</v>
      </c>
      <c r="C79">
        <f t="shared" si="7"/>
        <v>373</v>
      </c>
      <c r="D79">
        <f t="shared" si="8"/>
        <v>3558</v>
      </c>
      <c r="E79">
        <f t="shared" si="9"/>
        <v>18</v>
      </c>
      <c r="F79">
        <f t="shared" si="10"/>
        <v>2</v>
      </c>
      <c r="G79">
        <f t="shared" si="11"/>
        <v>5</v>
      </c>
      <c r="H79">
        <f t="shared" si="12"/>
        <v>5</v>
      </c>
      <c r="I79" s="9" t="str">
        <f t="shared" si="13"/>
        <v>255</v>
      </c>
      <c r="Q79" s="1">
        <v>0.81176680978518112</v>
      </c>
      <c r="R79" s="1">
        <v>0.96507262817956885</v>
      </c>
    </row>
    <row r="80" spans="1:18" x14ac:dyDescent="0.35">
      <c r="A80" t="s">
        <v>1092</v>
      </c>
      <c r="B80" s="2">
        <v>45774</v>
      </c>
      <c r="C80">
        <f t="shared" si="7"/>
        <v>64</v>
      </c>
      <c r="D80">
        <f t="shared" si="8"/>
        <v>1206</v>
      </c>
      <c r="E80">
        <f t="shared" si="9"/>
        <v>7</v>
      </c>
      <c r="F80">
        <f t="shared" si="10"/>
        <v>5</v>
      </c>
      <c r="G80">
        <f t="shared" si="11"/>
        <v>1</v>
      </c>
      <c r="H80">
        <f t="shared" si="12"/>
        <v>1</v>
      </c>
      <c r="I80" s="9" t="str">
        <f t="shared" si="13"/>
        <v>511</v>
      </c>
      <c r="Q80" s="1">
        <v>0.27926567768539734</v>
      </c>
      <c r="R80" s="1">
        <v>0.3098633008318652</v>
      </c>
    </row>
    <row r="81" spans="1:18" x14ac:dyDescent="0.35">
      <c r="A81" t="s">
        <v>1093</v>
      </c>
      <c r="B81" s="2">
        <v>45608</v>
      </c>
      <c r="C81">
        <f t="shared" si="7"/>
        <v>230</v>
      </c>
      <c r="D81">
        <f t="shared" si="8"/>
        <v>1550</v>
      </c>
      <c r="E81">
        <f t="shared" si="9"/>
        <v>8</v>
      </c>
      <c r="F81">
        <f t="shared" si="10"/>
        <v>4</v>
      </c>
      <c r="G81">
        <f t="shared" si="11"/>
        <v>1</v>
      </c>
      <c r="H81">
        <f t="shared" si="12"/>
        <v>2</v>
      </c>
      <c r="I81" s="9" t="str">
        <f t="shared" si="13"/>
        <v>412</v>
      </c>
      <c r="Q81" s="1">
        <v>6.7677157182890801E-2</v>
      </c>
      <c r="R81" s="1">
        <v>0.69512582514586285</v>
      </c>
    </row>
    <row r="82" spans="1:18" x14ac:dyDescent="0.35">
      <c r="A82" t="s">
        <v>1094</v>
      </c>
      <c r="B82" s="2">
        <v>45610</v>
      </c>
      <c r="C82">
        <f t="shared" si="7"/>
        <v>228</v>
      </c>
      <c r="D82">
        <f t="shared" si="8"/>
        <v>2942</v>
      </c>
      <c r="E82">
        <f t="shared" si="9"/>
        <v>15</v>
      </c>
      <c r="F82">
        <f t="shared" si="10"/>
        <v>4</v>
      </c>
      <c r="G82">
        <f t="shared" si="11"/>
        <v>5</v>
      </c>
      <c r="H82">
        <f t="shared" si="12"/>
        <v>5</v>
      </c>
      <c r="I82" s="9" t="str">
        <f t="shared" si="13"/>
        <v>455</v>
      </c>
      <c r="Q82" s="1">
        <v>0.81296691105128782</v>
      </c>
      <c r="R82" s="1">
        <v>0.65282254748779944</v>
      </c>
    </row>
    <row r="83" spans="1:18" x14ac:dyDescent="0.35">
      <c r="A83" t="s">
        <v>1095</v>
      </c>
      <c r="B83" s="2">
        <v>45540</v>
      </c>
      <c r="C83">
        <f t="shared" si="7"/>
        <v>298</v>
      </c>
      <c r="D83">
        <f t="shared" si="8"/>
        <v>1875</v>
      </c>
      <c r="E83">
        <f t="shared" si="9"/>
        <v>10</v>
      </c>
      <c r="F83">
        <f t="shared" si="10"/>
        <v>2</v>
      </c>
      <c r="G83">
        <f t="shared" si="11"/>
        <v>2</v>
      </c>
      <c r="H83">
        <f t="shared" si="12"/>
        <v>2</v>
      </c>
      <c r="I83" s="9" t="str">
        <f t="shared" si="13"/>
        <v>222</v>
      </c>
      <c r="Q83" s="1">
        <v>0.45561694275895004</v>
      </c>
      <c r="R83" s="1">
        <v>0.47128802717055485</v>
      </c>
    </row>
    <row r="84" spans="1:18" x14ac:dyDescent="0.35">
      <c r="A84" t="s">
        <v>1096</v>
      </c>
      <c r="B84" s="2">
        <v>45794</v>
      </c>
      <c r="C84">
        <f t="shared" si="7"/>
        <v>44</v>
      </c>
      <c r="D84">
        <f t="shared" si="8"/>
        <v>898</v>
      </c>
      <c r="E84">
        <f t="shared" si="9"/>
        <v>5</v>
      </c>
      <c r="F84">
        <f t="shared" si="10"/>
        <v>5</v>
      </c>
      <c r="G84">
        <f t="shared" si="11"/>
        <v>1</v>
      </c>
      <c r="H84">
        <f t="shared" si="12"/>
        <v>1</v>
      </c>
      <c r="I84" s="9" t="str">
        <f t="shared" si="13"/>
        <v>511</v>
      </c>
      <c r="Q84" s="1">
        <v>0.16135159349189554</v>
      </c>
      <c r="R84" s="1">
        <v>0.27212302947505029</v>
      </c>
    </row>
    <row r="85" spans="1:18" x14ac:dyDescent="0.35">
      <c r="A85" t="s">
        <v>1097</v>
      </c>
      <c r="B85" s="2">
        <v>45797</v>
      </c>
      <c r="C85">
        <f t="shared" si="7"/>
        <v>41</v>
      </c>
      <c r="D85">
        <f t="shared" si="8"/>
        <v>1564</v>
      </c>
      <c r="E85">
        <f t="shared" si="9"/>
        <v>8</v>
      </c>
      <c r="F85">
        <f t="shared" si="10"/>
        <v>5</v>
      </c>
      <c r="G85">
        <f t="shared" si="11"/>
        <v>1</v>
      </c>
      <c r="H85">
        <f t="shared" si="12"/>
        <v>2</v>
      </c>
      <c r="I85" s="9" t="str">
        <f t="shared" si="13"/>
        <v>512</v>
      </c>
      <c r="Q85" s="1">
        <v>0.53792393141136996</v>
      </c>
      <c r="R85" s="1">
        <v>0.2316866694560592</v>
      </c>
    </row>
    <row r="86" spans="1:18" x14ac:dyDescent="0.35">
      <c r="A86" t="s">
        <v>1098</v>
      </c>
      <c r="B86" s="2">
        <v>45622</v>
      </c>
      <c r="C86">
        <f t="shared" si="7"/>
        <v>216</v>
      </c>
      <c r="D86">
        <f t="shared" si="8"/>
        <v>2200</v>
      </c>
      <c r="E86">
        <f t="shared" si="9"/>
        <v>11</v>
      </c>
      <c r="F86">
        <f t="shared" si="10"/>
        <v>4</v>
      </c>
      <c r="G86">
        <f t="shared" si="11"/>
        <v>3</v>
      </c>
      <c r="H86">
        <f t="shared" si="12"/>
        <v>4</v>
      </c>
      <c r="I86" s="9" t="str">
        <f t="shared" si="13"/>
        <v>434</v>
      </c>
      <c r="Q86" s="1">
        <v>0.55781116736244352</v>
      </c>
      <c r="R86" s="1">
        <v>0.53290156109524778</v>
      </c>
    </row>
    <row r="87" spans="1:18" x14ac:dyDescent="0.35">
      <c r="A87" t="s">
        <v>1099</v>
      </c>
      <c r="B87" s="2">
        <v>45335</v>
      </c>
      <c r="C87">
        <f t="shared" si="7"/>
        <v>503</v>
      </c>
      <c r="D87">
        <f t="shared" si="8"/>
        <v>2920</v>
      </c>
      <c r="E87">
        <f t="shared" si="9"/>
        <v>15</v>
      </c>
      <c r="F87">
        <f t="shared" si="10"/>
        <v>1</v>
      </c>
      <c r="G87">
        <f t="shared" si="11"/>
        <v>5</v>
      </c>
      <c r="H87">
        <f t="shared" si="12"/>
        <v>5</v>
      </c>
      <c r="I87" s="9" t="str">
        <f t="shared" si="13"/>
        <v>155</v>
      </c>
      <c r="Q87" s="1">
        <v>0.82514364900778803</v>
      </c>
      <c r="R87" s="1">
        <v>0.6295476553752708</v>
      </c>
    </row>
    <row r="88" spans="1:18" x14ac:dyDescent="0.35">
      <c r="A88" t="s">
        <v>1100</v>
      </c>
      <c r="B88" s="2">
        <v>45673</v>
      </c>
      <c r="C88">
        <f t="shared" si="7"/>
        <v>165</v>
      </c>
      <c r="D88">
        <f t="shared" si="8"/>
        <v>892</v>
      </c>
      <c r="E88">
        <f t="shared" si="9"/>
        <v>5</v>
      </c>
      <c r="F88">
        <f t="shared" si="10"/>
        <v>4</v>
      </c>
      <c r="G88">
        <f t="shared" si="11"/>
        <v>1</v>
      </c>
      <c r="H88">
        <f t="shared" si="12"/>
        <v>1</v>
      </c>
      <c r="I88" s="9" t="str">
        <f t="shared" si="13"/>
        <v>411</v>
      </c>
      <c r="Q88" s="1">
        <v>8.8412926564988004E-3</v>
      </c>
      <c r="R88" s="1">
        <v>0.42169772377066383</v>
      </c>
    </row>
    <row r="89" spans="1:18" x14ac:dyDescent="0.35">
      <c r="A89" t="s">
        <v>1101</v>
      </c>
      <c r="B89" s="2">
        <v>45519</v>
      </c>
      <c r="C89">
        <f t="shared" si="7"/>
        <v>319</v>
      </c>
      <c r="D89">
        <f t="shared" si="8"/>
        <v>1957</v>
      </c>
      <c r="E89">
        <f t="shared" si="9"/>
        <v>10</v>
      </c>
      <c r="F89">
        <f t="shared" si="10"/>
        <v>2</v>
      </c>
      <c r="G89">
        <f t="shared" si="11"/>
        <v>2</v>
      </c>
      <c r="H89">
        <f t="shared" si="12"/>
        <v>2</v>
      </c>
      <c r="I89" s="9" t="str">
        <f t="shared" si="13"/>
        <v>222</v>
      </c>
      <c r="Q89" s="1">
        <v>0.50312526970989269</v>
      </c>
      <c r="R89" s="1">
        <v>0.46481473826517794</v>
      </c>
    </row>
    <row r="90" spans="1:18" x14ac:dyDescent="0.35">
      <c r="A90" t="s">
        <v>1102</v>
      </c>
      <c r="B90" s="2">
        <v>45627</v>
      </c>
      <c r="C90">
        <f t="shared" si="7"/>
        <v>211</v>
      </c>
      <c r="D90">
        <f t="shared" si="8"/>
        <v>1966</v>
      </c>
      <c r="E90">
        <f t="shared" si="9"/>
        <v>10</v>
      </c>
      <c r="F90">
        <f t="shared" si="10"/>
        <v>4</v>
      </c>
      <c r="G90">
        <f t="shared" si="11"/>
        <v>2</v>
      </c>
      <c r="H90">
        <f t="shared" si="12"/>
        <v>2</v>
      </c>
      <c r="I90" s="9" t="str">
        <f t="shared" si="13"/>
        <v>422</v>
      </c>
      <c r="Q90" s="1">
        <v>0.78475013151114581</v>
      </c>
      <c r="R90" s="1">
        <v>0.18812679131020837</v>
      </c>
    </row>
    <row r="91" spans="1:18" x14ac:dyDescent="0.35">
      <c r="A91" t="s">
        <v>1103</v>
      </c>
      <c r="B91" s="2">
        <v>45802</v>
      </c>
      <c r="C91">
        <f t="shared" si="7"/>
        <v>36</v>
      </c>
      <c r="D91">
        <f t="shared" si="8"/>
        <v>2041</v>
      </c>
      <c r="E91">
        <f t="shared" si="9"/>
        <v>11</v>
      </c>
      <c r="F91">
        <f t="shared" si="10"/>
        <v>5</v>
      </c>
      <c r="G91">
        <f t="shared" si="11"/>
        <v>3</v>
      </c>
      <c r="H91">
        <f t="shared" si="12"/>
        <v>3</v>
      </c>
      <c r="I91" s="9" t="str">
        <f t="shared" si="13"/>
        <v>533</v>
      </c>
      <c r="Q91" s="1">
        <v>0.93567213018692164</v>
      </c>
      <c r="R91" s="1">
        <v>7.4788711297038457E-2</v>
      </c>
    </row>
    <row r="92" spans="1:18" x14ac:dyDescent="0.35">
      <c r="A92" t="s">
        <v>1104</v>
      </c>
      <c r="B92" s="2">
        <v>45558</v>
      </c>
      <c r="C92">
        <f t="shared" si="7"/>
        <v>280</v>
      </c>
      <c r="D92">
        <f t="shared" si="8"/>
        <v>1494</v>
      </c>
      <c r="E92">
        <f t="shared" si="9"/>
        <v>8</v>
      </c>
      <c r="F92">
        <f t="shared" si="10"/>
        <v>2</v>
      </c>
      <c r="G92">
        <f t="shared" si="11"/>
        <v>1</v>
      </c>
      <c r="H92">
        <f t="shared" si="12"/>
        <v>2</v>
      </c>
      <c r="I92" s="9" t="str">
        <f t="shared" si="13"/>
        <v>212</v>
      </c>
      <c r="Q92" s="1">
        <v>0.68545988759601628</v>
      </c>
      <c r="R92" s="1">
        <v>4.8840796187091473E-2</v>
      </c>
    </row>
    <row r="93" spans="1:18" x14ac:dyDescent="0.35">
      <c r="A93" t="s">
        <v>1105</v>
      </c>
      <c r="B93" s="2">
        <v>45681</v>
      </c>
      <c r="C93">
        <f t="shared" si="7"/>
        <v>157</v>
      </c>
      <c r="D93">
        <f t="shared" si="8"/>
        <v>919</v>
      </c>
      <c r="E93">
        <f t="shared" si="9"/>
        <v>5</v>
      </c>
      <c r="F93">
        <f t="shared" si="10"/>
        <v>4</v>
      </c>
      <c r="G93">
        <f t="shared" si="11"/>
        <v>1</v>
      </c>
      <c r="H93">
        <f t="shared" si="12"/>
        <v>1</v>
      </c>
      <c r="I93" s="9" t="str">
        <f t="shared" si="13"/>
        <v>411</v>
      </c>
      <c r="Q93" s="1">
        <v>0.10651683646109567</v>
      </c>
      <c r="R93" s="1">
        <v>0.33732648325021297</v>
      </c>
    </row>
    <row r="94" spans="1:18" x14ac:dyDescent="0.35">
      <c r="A94" t="s">
        <v>1106</v>
      </c>
      <c r="B94" s="2">
        <v>45696</v>
      </c>
      <c r="C94">
        <f t="shared" si="7"/>
        <v>142</v>
      </c>
      <c r="D94">
        <f t="shared" si="8"/>
        <v>2805</v>
      </c>
      <c r="E94">
        <f t="shared" si="9"/>
        <v>14</v>
      </c>
      <c r="F94">
        <f t="shared" si="10"/>
        <v>5</v>
      </c>
      <c r="G94">
        <f t="shared" si="11"/>
        <v>5</v>
      </c>
      <c r="H94">
        <f t="shared" si="12"/>
        <v>5</v>
      </c>
      <c r="I94" s="9" t="str">
        <f t="shared" si="13"/>
        <v>555</v>
      </c>
      <c r="Q94" s="1">
        <v>0.93239070791071543</v>
      </c>
      <c r="R94" s="1">
        <v>0.46395120694727832</v>
      </c>
    </row>
    <row r="95" spans="1:18" x14ac:dyDescent="0.35">
      <c r="A95" t="s">
        <v>1107</v>
      </c>
      <c r="B95" s="2">
        <v>45461</v>
      </c>
      <c r="C95">
        <f t="shared" si="7"/>
        <v>377</v>
      </c>
      <c r="D95">
        <f t="shared" si="8"/>
        <v>1446</v>
      </c>
      <c r="E95">
        <f t="shared" si="9"/>
        <v>8</v>
      </c>
      <c r="F95">
        <f t="shared" si="10"/>
        <v>2</v>
      </c>
      <c r="G95">
        <f t="shared" si="11"/>
        <v>1</v>
      </c>
      <c r="H95">
        <f t="shared" si="12"/>
        <v>1</v>
      </c>
      <c r="I95" s="9" t="str">
        <f t="shared" si="13"/>
        <v>211</v>
      </c>
      <c r="Q95" s="1">
        <v>0.20980275053734776</v>
      </c>
      <c r="R95" s="1">
        <v>0.50037046412142883</v>
      </c>
    </row>
    <row r="96" spans="1:18" x14ac:dyDescent="0.35">
      <c r="A96" t="s">
        <v>1108</v>
      </c>
      <c r="B96" s="2">
        <v>45698</v>
      </c>
      <c r="C96">
        <f t="shared" si="7"/>
        <v>140</v>
      </c>
      <c r="D96">
        <f t="shared" si="8"/>
        <v>2839</v>
      </c>
      <c r="E96">
        <f t="shared" si="9"/>
        <v>14</v>
      </c>
      <c r="F96">
        <f t="shared" si="10"/>
        <v>5</v>
      </c>
      <c r="G96">
        <f t="shared" si="11"/>
        <v>5</v>
      </c>
      <c r="H96">
        <f t="shared" si="12"/>
        <v>5</v>
      </c>
      <c r="I96" s="9" t="str">
        <f t="shared" si="13"/>
        <v>555</v>
      </c>
      <c r="Q96" s="1">
        <v>0.7481293566688858</v>
      </c>
      <c r="R96" s="1">
        <v>0.66548149413409796</v>
      </c>
    </row>
    <row r="97" spans="1:18" x14ac:dyDescent="0.35">
      <c r="A97" t="s">
        <v>1109</v>
      </c>
      <c r="B97" s="2">
        <v>45677</v>
      </c>
      <c r="C97">
        <f t="shared" si="7"/>
        <v>161</v>
      </c>
      <c r="D97">
        <f t="shared" si="8"/>
        <v>680</v>
      </c>
      <c r="E97">
        <f t="shared" si="9"/>
        <v>4</v>
      </c>
      <c r="F97">
        <f t="shared" si="10"/>
        <v>4</v>
      </c>
      <c r="G97">
        <f t="shared" si="11"/>
        <v>1</v>
      </c>
      <c r="H97">
        <f t="shared" si="12"/>
        <v>1</v>
      </c>
      <c r="I97" s="9" t="str">
        <f t="shared" si="13"/>
        <v>411</v>
      </c>
      <c r="Q97" s="1">
        <v>8.8442026748810076E-2</v>
      </c>
      <c r="R97" s="1">
        <v>0.23476820711531987</v>
      </c>
    </row>
    <row r="98" spans="1:18" x14ac:dyDescent="0.35">
      <c r="A98" t="s">
        <v>1110</v>
      </c>
      <c r="B98" s="2">
        <v>45426</v>
      </c>
      <c r="C98">
        <f t="shared" si="7"/>
        <v>412</v>
      </c>
      <c r="D98">
        <f t="shared" si="8"/>
        <v>2093</v>
      </c>
      <c r="E98">
        <f t="shared" si="9"/>
        <v>11</v>
      </c>
      <c r="F98">
        <f t="shared" si="10"/>
        <v>1</v>
      </c>
      <c r="G98">
        <f t="shared" si="11"/>
        <v>3</v>
      </c>
      <c r="H98">
        <f t="shared" si="12"/>
        <v>4</v>
      </c>
      <c r="I98" s="9" t="str">
        <f t="shared" si="13"/>
        <v>134</v>
      </c>
      <c r="Q98" s="1">
        <v>0.46694458797606098</v>
      </c>
      <c r="R98" s="1">
        <v>0.57014821384796743</v>
      </c>
    </row>
    <row r="99" spans="1:18" x14ac:dyDescent="0.35">
      <c r="A99" t="s">
        <v>1111</v>
      </c>
      <c r="B99" s="2">
        <v>45706</v>
      </c>
      <c r="C99">
        <f t="shared" si="7"/>
        <v>132</v>
      </c>
      <c r="D99">
        <f t="shared" si="8"/>
        <v>2041</v>
      </c>
      <c r="E99">
        <f t="shared" si="9"/>
        <v>11</v>
      </c>
      <c r="F99">
        <f t="shared" si="10"/>
        <v>5</v>
      </c>
      <c r="G99">
        <f t="shared" si="11"/>
        <v>3</v>
      </c>
      <c r="H99">
        <f t="shared" si="12"/>
        <v>3</v>
      </c>
      <c r="I99" s="9" t="str">
        <f t="shared" si="13"/>
        <v>533</v>
      </c>
      <c r="Q99" s="1">
        <v>0.77903037673210818</v>
      </c>
      <c r="R99" s="1">
        <v>0.23157031520159332</v>
      </c>
    </row>
    <row r="100" spans="1:18" x14ac:dyDescent="0.35">
      <c r="A100" t="s">
        <v>1112</v>
      </c>
      <c r="B100" s="2">
        <v>45703</v>
      </c>
      <c r="C100">
        <f t="shared" si="7"/>
        <v>135</v>
      </c>
      <c r="D100">
        <f t="shared" si="8"/>
        <v>2655</v>
      </c>
      <c r="E100">
        <f t="shared" si="9"/>
        <v>14</v>
      </c>
      <c r="F100">
        <f t="shared" si="10"/>
        <v>5</v>
      </c>
      <c r="G100">
        <f t="shared" si="11"/>
        <v>5</v>
      </c>
      <c r="H100">
        <f t="shared" si="12"/>
        <v>5</v>
      </c>
      <c r="I100" s="9" t="str">
        <f t="shared" si="13"/>
        <v>555</v>
      </c>
      <c r="Q100" s="1">
        <v>0.50402177597826525</v>
      </c>
      <c r="R100" s="1">
        <v>0.81660092777929627</v>
      </c>
    </row>
    <row r="101" spans="1:18" x14ac:dyDescent="0.35">
      <c r="A101" t="s">
        <v>1113</v>
      </c>
      <c r="B101" s="2">
        <v>45745</v>
      </c>
      <c r="C101">
        <f t="shared" si="7"/>
        <v>93</v>
      </c>
      <c r="D101">
        <f t="shared" si="8"/>
        <v>851</v>
      </c>
      <c r="E101">
        <f t="shared" si="9"/>
        <v>5</v>
      </c>
      <c r="F101">
        <f t="shared" si="10"/>
        <v>5</v>
      </c>
      <c r="G101">
        <f t="shared" si="11"/>
        <v>1</v>
      </c>
      <c r="H101">
        <f t="shared" si="12"/>
        <v>1</v>
      </c>
      <c r="I101" s="9" t="str">
        <f t="shared" si="13"/>
        <v>511</v>
      </c>
      <c r="Q101" s="1">
        <v>0.32528686576449795</v>
      </c>
      <c r="R101" s="1">
        <v>8.4110296606371371E-2</v>
      </c>
    </row>
    <row r="102" spans="1:18" x14ac:dyDescent="0.35">
      <c r="A102" t="s">
        <v>1114</v>
      </c>
      <c r="B102" s="2">
        <v>45654</v>
      </c>
      <c r="C102">
        <f t="shared" si="7"/>
        <v>184</v>
      </c>
      <c r="D102">
        <f t="shared" si="8"/>
        <v>3105</v>
      </c>
      <c r="E102">
        <f t="shared" si="9"/>
        <v>16</v>
      </c>
      <c r="F102">
        <f t="shared" si="10"/>
        <v>4</v>
      </c>
      <c r="G102">
        <f t="shared" si="11"/>
        <v>5</v>
      </c>
      <c r="H102">
        <f t="shared" si="12"/>
        <v>5</v>
      </c>
      <c r="I102" s="9" t="str">
        <f t="shared" si="13"/>
        <v>455</v>
      </c>
      <c r="Q102" s="1">
        <v>0.77078426717264747</v>
      </c>
      <c r="R102" s="1">
        <v>0.7771041563679395</v>
      </c>
    </row>
    <row r="103" spans="1:18" x14ac:dyDescent="0.35">
      <c r="A103" t="s">
        <v>1115</v>
      </c>
      <c r="B103" s="2">
        <v>45386</v>
      </c>
      <c r="C103">
        <f t="shared" si="7"/>
        <v>452</v>
      </c>
      <c r="D103">
        <f t="shared" si="8"/>
        <v>3869</v>
      </c>
      <c r="E103">
        <f t="shared" si="9"/>
        <v>19</v>
      </c>
      <c r="F103">
        <f t="shared" si="10"/>
        <v>1</v>
      </c>
      <c r="G103">
        <f t="shared" si="11"/>
        <v>5</v>
      </c>
      <c r="H103">
        <f t="shared" si="12"/>
        <v>5</v>
      </c>
      <c r="I103" s="9" t="str">
        <f t="shared" si="13"/>
        <v>155</v>
      </c>
      <c r="Q103" s="1">
        <v>0.99954506189635306</v>
      </c>
      <c r="R103" s="1">
        <v>0.93439014719860769</v>
      </c>
    </row>
    <row r="104" spans="1:18" x14ac:dyDescent="0.35">
      <c r="A104" t="s">
        <v>1116</v>
      </c>
      <c r="B104" s="2">
        <v>45743</v>
      </c>
      <c r="C104">
        <f t="shared" si="7"/>
        <v>95</v>
      </c>
      <c r="D104">
        <f t="shared" si="8"/>
        <v>2328</v>
      </c>
      <c r="E104">
        <f t="shared" si="9"/>
        <v>12</v>
      </c>
      <c r="F104">
        <f t="shared" si="10"/>
        <v>5</v>
      </c>
      <c r="G104">
        <f t="shared" si="11"/>
        <v>4</v>
      </c>
      <c r="H104">
        <f t="shared" si="12"/>
        <v>4</v>
      </c>
      <c r="I104" s="9" t="str">
        <f t="shared" si="13"/>
        <v>544</v>
      </c>
      <c r="Q104" s="1">
        <v>0.61186846421234486</v>
      </c>
      <c r="R104" s="1">
        <v>0.5436230022880002</v>
      </c>
    </row>
    <row r="105" spans="1:18" x14ac:dyDescent="0.35">
      <c r="A105" t="s">
        <v>1117</v>
      </c>
      <c r="B105" s="2">
        <v>45391</v>
      </c>
      <c r="C105">
        <f t="shared" si="7"/>
        <v>447</v>
      </c>
      <c r="D105">
        <f t="shared" si="8"/>
        <v>887</v>
      </c>
      <c r="E105">
        <f t="shared" si="9"/>
        <v>5</v>
      </c>
      <c r="F105">
        <f t="shared" si="10"/>
        <v>1</v>
      </c>
      <c r="G105">
        <f t="shared" si="11"/>
        <v>1</v>
      </c>
      <c r="H105">
        <f t="shared" si="12"/>
        <v>1</v>
      </c>
      <c r="I105" s="9" t="str">
        <f t="shared" si="13"/>
        <v>111</v>
      </c>
      <c r="Q105" s="1">
        <v>0.31210382068732201</v>
      </c>
      <c r="R105" s="1">
        <v>0.11551025510634216</v>
      </c>
    </row>
    <row r="106" spans="1:18" x14ac:dyDescent="0.35">
      <c r="A106" t="s">
        <v>1118</v>
      </c>
      <c r="B106" s="2">
        <v>45335</v>
      </c>
      <c r="C106">
        <f t="shared" si="7"/>
        <v>503</v>
      </c>
      <c r="D106">
        <f t="shared" si="8"/>
        <v>1696</v>
      </c>
      <c r="E106">
        <f t="shared" si="9"/>
        <v>9</v>
      </c>
      <c r="F106">
        <f t="shared" si="10"/>
        <v>1</v>
      </c>
      <c r="G106">
        <f t="shared" si="11"/>
        <v>2</v>
      </c>
      <c r="H106">
        <f t="shared" si="12"/>
        <v>2</v>
      </c>
      <c r="I106" s="9" t="str">
        <f t="shared" si="13"/>
        <v>122</v>
      </c>
      <c r="Q106" s="1">
        <v>2.1371815369326752E-2</v>
      </c>
      <c r="R106" s="1">
        <v>0.81478741479615147</v>
      </c>
    </row>
    <row r="107" spans="1:18" x14ac:dyDescent="0.35">
      <c r="A107" t="s">
        <v>1119</v>
      </c>
      <c r="B107" s="2">
        <v>45726</v>
      </c>
      <c r="C107">
        <f t="shared" si="7"/>
        <v>112</v>
      </c>
      <c r="D107">
        <f t="shared" si="8"/>
        <v>2351</v>
      </c>
      <c r="E107">
        <f t="shared" si="9"/>
        <v>12</v>
      </c>
      <c r="F107">
        <f t="shared" si="10"/>
        <v>5</v>
      </c>
      <c r="G107">
        <f t="shared" si="11"/>
        <v>4</v>
      </c>
      <c r="H107">
        <f t="shared" si="12"/>
        <v>4</v>
      </c>
      <c r="I107" s="9" t="str">
        <f t="shared" si="13"/>
        <v>544</v>
      </c>
      <c r="Q107" s="1">
        <v>0.34731655403744732</v>
      </c>
      <c r="R107" s="1">
        <v>0.81967632088886921</v>
      </c>
    </row>
    <row r="108" spans="1:18" x14ac:dyDescent="0.35">
      <c r="A108" t="s">
        <v>1120</v>
      </c>
      <c r="B108" s="2">
        <v>45663</v>
      </c>
      <c r="C108">
        <f t="shared" si="7"/>
        <v>175</v>
      </c>
      <c r="D108">
        <f t="shared" si="8"/>
        <v>2565</v>
      </c>
      <c r="E108">
        <f t="shared" si="9"/>
        <v>13</v>
      </c>
      <c r="F108">
        <f t="shared" si="10"/>
        <v>4</v>
      </c>
      <c r="G108">
        <f t="shared" si="11"/>
        <v>4</v>
      </c>
      <c r="H108">
        <f t="shared" si="12"/>
        <v>4</v>
      </c>
      <c r="I108" s="9" t="str">
        <f t="shared" si="13"/>
        <v>444</v>
      </c>
      <c r="Q108" s="1">
        <v>0.37092070598784965</v>
      </c>
      <c r="R108" s="1">
        <v>0.90426810260992885</v>
      </c>
    </row>
    <row r="109" spans="1:18" x14ac:dyDescent="0.35">
      <c r="A109" t="s">
        <v>1121</v>
      </c>
      <c r="B109" s="2">
        <v>45631</v>
      </c>
      <c r="C109">
        <f t="shared" si="7"/>
        <v>207</v>
      </c>
      <c r="D109">
        <f t="shared" si="8"/>
        <v>1378</v>
      </c>
      <c r="E109">
        <f t="shared" si="9"/>
        <v>7</v>
      </c>
      <c r="F109">
        <f t="shared" si="10"/>
        <v>4</v>
      </c>
      <c r="G109">
        <f t="shared" si="11"/>
        <v>1</v>
      </c>
      <c r="H109">
        <f t="shared" si="12"/>
        <v>1</v>
      </c>
      <c r="I109" s="9" t="str">
        <f t="shared" si="13"/>
        <v>411</v>
      </c>
      <c r="Q109" s="1">
        <v>0.11277299511655769</v>
      </c>
      <c r="R109" s="1">
        <v>0.56298457579164785</v>
      </c>
    </row>
    <row r="110" spans="1:18" x14ac:dyDescent="0.35">
      <c r="A110" t="s">
        <v>1122</v>
      </c>
      <c r="B110" s="2">
        <v>45743</v>
      </c>
      <c r="C110">
        <f t="shared" si="7"/>
        <v>95</v>
      </c>
      <c r="D110">
        <f t="shared" si="8"/>
        <v>950</v>
      </c>
      <c r="E110">
        <f t="shared" si="9"/>
        <v>5</v>
      </c>
      <c r="F110">
        <f t="shared" si="10"/>
        <v>5</v>
      </c>
      <c r="G110">
        <f t="shared" si="11"/>
        <v>1</v>
      </c>
      <c r="H110">
        <f t="shared" si="12"/>
        <v>1</v>
      </c>
      <c r="I110" s="9" t="str">
        <f t="shared" si="13"/>
        <v>511</v>
      </c>
      <c r="Q110" s="1">
        <v>0.15275288916246776</v>
      </c>
      <c r="R110" s="1">
        <v>0.30701451889923914</v>
      </c>
    </row>
    <row r="111" spans="1:18" x14ac:dyDescent="0.35">
      <c r="A111" t="s">
        <v>1123</v>
      </c>
      <c r="B111" s="2">
        <v>45794</v>
      </c>
      <c r="C111">
        <f t="shared" si="7"/>
        <v>44</v>
      </c>
      <c r="D111">
        <f t="shared" si="8"/>
        <v>1068</v>
      </c>
      <c r="E111">
        <f t="shared" si="9"/>
        <v>6</v>
      </c>
      <c r="F111">
        <f t="shared" si="10"/>
        <v>5</v>
      </c>
      <c r="G111">
        <f t="shared" si="11"/>
        <v>1</v>
      </c>
      <c r="H111">
        <f t="shared" si="12"/>
        <v>1</v>
      </c>
      <c r="I111" s="9" t="str">
        <f t="shared" si="13"/>
        <v>511</v>
      </c>
      <c r="Q111" s="1">
        <v>0.29654937032853868</v>
      </c>
      <c r="R111" s="1">
        <v>0.22241161664100018</v>
      </c>
    </row>
    <row r="112" spans="1:18" x14ac:dyDescent="0.35">
      <c r="A112" t="s">
        <v>1124</v>
      </c>
      <c r="B112" s="2">
        <v>45817</v>
      </c>
      <c r="C112">
        <f t="shared" si="7"/>
        <v>21</v>
      </c>
      <c r="D112">
        <f t="shared" si="8"/>
        <v>3127</v>
      </c>
      <c r="E112">
        <f t="shared" si="9"/>
        <v>16</v>
      </c>
      <c r="F112">
        <f t="shared" si="10"/>
        <v>5</v>
      </c>
      <c r="G112">
        <f t="shared" si="11"/>
        <v>5</v>
      </c>
      <c r="H112">
        <f t="shared" si="12"/>
        <v>5</v>
      </c>
      <c r="I112" s="9" t="str">
        <f t="shared" si="13"/>
        <v>555</v>
      </c>
      <c r="Q112" s="1">
        <v>0.86667999951350994</v>
      </c>
      <c r="R112" s="1">
        <v>0.69259771417135063</v>
      </c>
    </row>
    <row r="113" spans="1:18" x14ac:dyDescent="0.35">
      <c r="A113" t="s">
        <v>1125</v>
      </c>
      <c r="B113" s="2">
        <v>45676</v>
      </c>
      <c r="C113">
        <f t="shared" si="7"/>
        <v>162</v>
      </c>
      <c r="D113">
        <f t="shared" si="8"/>
        <v>1451</v>
      </c>
      <c r="E113">
        <f t="shared" si="9"/>
        <v>8</v>
      </c>
      <c r="F113">
        <f t="shared" si="10"/>
        <v>4</v>
      </c>
      <c r="G113">
        <f t="shared" si="11"/>
        <v>1</v>
      </c>
      <c r="H113">
        <f t="shared" si="12"/>
        <v>1</v>
      </c>
      <c r="I113" s="9" t="str">
        <f t="shared" si="13"/>
        <v>411</v>
      </c>
      <c r="Q113" s="1">
        <v>2.6279844939146924E-2</v>
      </c>
      <c r="R113" s="1">
        <v>0.68619340787896654</v>
      </c>
    </row>
    <row r="114" spans="1:18" x14ac:dyDescent="0.35">
      <c r="A114" t="s">
        <v>1126</v>
      </c>
      <c r="B114" s="2">
        <v>45807</v>
      </c>
      <c r="C114">
        <f t="shared" si="7"/>
        <v>31</v>
      </c>
      <c r="D114">
        <f t="shared" si="8"/>
        <v>1039</v>
      </c>
      <c r="E114">
        <f t="shared" si="9"/>
        <v>6</v>
      </c>
      <c r="F114">
        <f t="shared" si="10"/>
        <v>5</v>
      </c>
      <c r="G114">
        <f t="shared" si="11"/>
        <v>1</v>
      </c>
      <c r="H114">
        <f t="shared" si="12"/>
        <v>1</v>
      </c>
      <c r="I114" s="9" t="str">
        <f t="shared" si="13"/>
        <v>511</v>
      </c>
      <c r="Q114" s="1">
        <v>9.6425316558647833E-2</v>
      </c>
      <c r="R114" s="1">
        <v>0.40792967949710113</v>
      </c>
    </row>
    <row r="115" spans="1:18" x14ac:dyDescent="0.35">
      <c r="A115" t="s">
        <v>1127</v>
      </c>
      <c r="B115" s="2">
        <v>45750</v>
      </c>
      <c r="C115">
        <f t="shared" si="7"/>
        <v>88</v>
      </c>
      <c r="D115">
        <f t="shared" si="8"/>
        <v>2738</v>
      </c>
      <c r="E115">
        <f t="shared" si="9"/>
        <v>14</v>
      </c>
      <c r="F115">
        <f t="shared" si="10"/>
        <v>5</v>
      </c>
      <c r="G115">
        <f t="shared" si="11"/>
        <v>5</v>
      </c>
      <c r="H115">
        <f t="shared" si="12"/>
        <v>5</v>
      </c>
      <c r="I115" s="9" t="str">
        <f t="shared" si="13"/>
        <v>555</v>
      </c>
      <c r="Q115" s="1">
        <v>0.63512715539912357</v>
      </c>
      <c r="R115" s="1">
        <v>0.72752626488132521</v>
      </c>
    </row>
    <row r="116" spans="1:18" x14ac:dyDescent="0.35">
      <c r="A116" t="s">
        <v>1128</v>
      </c>
      <c r="B116" s="2">
        <v>45679</v>
      </c>
      <c r="C116">
        <f t="shared" si="7"/>
        <v>159</v>
      </c>
      <c r="D116">
        <f t="shared" si="8"/>
        <v>2469</v>
      </c>
      <c r="E116">
        <f t="shared" si="9"/>
        <v>13</v>
      </c>
      <c r="F116">
        <f t="shared" si="10"/>
        <v>4</v>
      </c>
      <c r="G116">
        <f t="shared" si="11"/>
        <v>4</v>
      </c>
      <c r="H116">
        <f t="shared" si="12"/>
        <v>4</v>
      </c>
      <c r="I116" s="9" t="str">
        <f t="shared" si="13"/>
        <v>444</v>
      </c>
      <c r="Q116" s="1">
        <v>0.99042868141085016</v>
      </c>
      <c r="R116" s="1">
        <v>0.23657252582643828</v>
      </c>
    </row>
    <row r="117" spans="1:18" x14ac:dyDescent="0.35">
      <c r="A117" t="s">
        <v>1129</v>
      </c>
      <c r="B117" s="2">
        <v>45529</v>
      </c>
      <c r="C117">
        <f t="shared" si="7"/>
        <v>309</v>
      </c>
      <c r="D117">
        <f t="shared" si="8"/>
        <v>3091</v>
      </c>
      <c r="E117">
        <f t="shared" si="9"/>
        <v>16</v>
      </c>
      <c r="F117">
        <f t="shared" si="10"/>
        <v>2</v>
      </c>
      <c r="G117">
        <f t="shared" si="11"/>
        <v>5</v>
      </c>
      <c r="H117">
        <f t="shared" si="12"/>
        <v>5</v>
      </c>
      <c r="I117" s="9" t="str">
        <f t="shared" si="13"/>
        <v>255</v>
      </c>
      <c r="Q117" s="1">
        <v>0.99588085509500579</v>
      </c>
      <c r="R117" s="1">
        <v>0.5450338814152591</v>
      </c>
    </row>
    <row r="118" spans="1:18" x14ac:dyDescent="0.35">
      <c r="A118" t="s">
        <v>1130</v>
      </c>
      <c r="B118" s="2">
        <v>45484</v>
      </c>
      <c r="C118">
        <f t="shared" si="7"/>
        <v>354</v>
      </c>
      <c r="D118">
        <f t="shared" si="8"/>
        <v>1447</v>
      </c>
      <c r="E118">
        <f t="shared" si="9"/>
        <v>8</v>
      </c>
      <c r="F118">
        <f t="shared" si="10"/>
        <v>2</v>
      </c>
      <c r="G118">
        <f t="shared" si="11"/>
        <v>1</v>
      </c>
      <c r="H118">
        <f t="shared" si="12"/>
        <v>1</v>
      </c>
      <c r="I118" s="9" t="str">
        <f t="shared" si="13"/>
        <v>211</v>
      </c>
      <c r="Q118" s="1">
        <v>0.38144898718970255</v>
      </c>
      <c r="R118" s="1">
        <v>0.32895018626910189</v>
      </c>
    </row>
    <row r="119" spans="1:18" x14ac:dyDescent="0.35">
      <c r="A119" t="s">
        <v>1131</v>
      </c>
      <c r="B119" s="2">
        <v>45667</v>
      </c>
      <c r="C119">
        <f t="shared" si="7"/>
        <v>171</v>
      </c>
      <c r="D119">
        <f t="shared" si="8"/>
        <v>2920</v>
      </c>
      <c r="E119">
        <f t="shared" si="9"/>
        <v>15</v>
      </c>
      <c r="F119">
        <f t="shared" si="10"/>
        <v>4</v>
      </c>
      <c r="G119">
        <f t="shared" si="11"/>
        <v>5</v>
      </c>
      <c r="H119">
        <f t="shared" si="12"/>
        <v>5</v>
      </c>
      <c r="I119" s="9" t="str">
        <f t="shared" si="13"/>
        <v>455</v>
      </c>
      <c r="Q119" s="1">
        <v>0.53304218539123382</v>
      </c>
      <c r="R119" s="1">
        <v>0.92173521368500144</v>
      </c>
    </row>
    <row r="120" spans="1:18" x14ac:dyDescent="0.35">
      <c r="A120" t="s">
        <v>1132</v>
      </c>
      <c r="B120" s="2">
        <v>45408</v>
      </c>
      <c r="C120">
        <f t="shared" si="7"/>
        <v>430</v>
      </c>
      <c r="D120">
        <f t="shared" si="8"/>
        <v>1784</v>
      </c>
      <c r="E120">
        <f t="shared" si="9"/>
        <v>9</v>
      </c>
      <c r="F120">
        <f t="shared" si="10"/>
        <v>1</v>
      </c>
      <c r="G120">
        <f t="shared" si="11"/>
        <v>2</v>
      </c>
      <c r="H120">
        <f t="shared" si="12"/>
        <v>2</v>
      </c>
      <c r="I120" s="9" t="str">
        <f t="shared" si="13"/>
        <v>122</v>
      </c>
      <c r="Q120" s="1">
        <v>0.1480043901494783</v>
      </c>
      <c r="R120" s="1">
        <v>0.73278233331820319</v>
      </c>
    </row>
    <row r="121" spans="1:18" x14ac:dyDescent="0.35">
      <c r="A121" t="s">
        <v>1133</v>
      </c>
      <c r="B121" s="2">
        <v>45586</v>
      </c>
      <c r="C121">
        <f t="shared" si="7"/>
        <v>252</v>
      </c>
      <c r="D121">
        <f t="shared" si="8"/>
        <v>1353</v>
      </c>
      <c r="E121">
        <f t="shared" si="9"/>
        <v>7</v>
      </c>
      <c r="F121">
        <f t="shared" si="10"/>
        <v>4</v>
      </c>
      <c r="G121">
        <f t="shared" si="11"/>
        <v>1</v>
      </c>
      <c r="H121">
        <f t="shared" si="12"/>
        <v>1</v>
      </c>
      <c r="I121" s="9" t="str">
        <f t="shared" si="13"/>
        <v>411</v>
      </c>
      <c r="Q121" s="1">
        <v>1.3461089709562057E-2</v>
      </c>
      <c r="R121" s="1">
        <v>0.64945552368015769</v>
      </c>
    </row>
    <row r="122" spans="1:18" x14ac:dyDescent="0.35">
      <c r="A122" t="s">
        <v>1134</v>
      </c>
      <c r="B122" s="2">
        <v>45554</v>
      </c>
      <c r="C122">
        <f t="shared" si="7"/>
        <v>284</v>
      </c>
      <c r="D122">
        <f t="shared" si="8"/>
        <v>2746</v>
      </c>
      <c r="E122">
        <f t="shared" si="9"/>
        <v>14</v>
      </c>
      <c r="F122">
        <f t="shared" si="10"/>
        <v>2</v>
      </c>
      <c r="G122">
        <f t="shared" si="11"/>
        <v>5</v>
      </c>
      <c r="H122">
        <f t="shared" si="12"/>
        <v>5</v>
      </c>
      <c r="I122" s="9" t="str">
        <f t="shared" si="13"/>
        <v>255</v>
      </c>
      <c r="Q122" s="1">
        <v>0.72267723356761504</v>
      </c>
      <c r="R122" s="1">
        <v>0.64401362328387601</v>
      </c>
    </row>
    <row r="123" spans="1:18" x14ac:dyDescent="0.35">
      <c r="A123" t="s">
        <v>1135</v>
      </c>
      <c r="B123" s="2">
        <v>45498</v>
      </c>
      <c r="C123">
        <f t="shared" si="7"/>
        <v>340</v>
      </c>
      <c r="D123">
        <f t="shared" si="8"/>
        <v>1252</v>
      </c>
      <c r="E123">
        <f t="shared" si="9"/>
        <v>7</v>
      </c>
      <c r="F123">
        <f t="shared" si="10"/>
        <v>2</v>
      </c>
      <c r="G123">
        <f t="shared" si="11"/>
        <v>1</v>
      </c>
      <c r="H123">
        <f t="shared" si="12"/>
        <v>1</v>
      </c>
      <c r="I123" s="9" t="str">
        <f t="shared" si="13"/>
        <v>211</v>
      </c>
      <c r="Q123" s="1">
        <v>0.37542619559871382</v>
      </c>
      <c r="R123" s="1">
        <v>0.23673142960266258</v>
      </c>
    </row>
    <row r="124" spans="1:18" x14ac:dyDescent="0.35">
      <c r="A124" t="s">
        <v>1136</v>
      </c>
      <c r="B124" s="2">
        <v>45690</v>
      </c>
      <c r="C124">
        <f t="shared" si="7"/>
        <v>148</v>
      </c>
      <c r="D124">
        <f t="shared" si="8"/>
        <v>1810</v>
      </c>
      <c r="E124">
        <f t="shared" si="9"/>
        <v>9</v>
      </c>
      <c r="F124">
        <f t="shared" si="10"/>
        <v>4</v>
      </c>
      <c r="G124">
        <f t="shared" si="11"/>
        <v>2</v>
      </c>
      <c r="H124">
        <f t="shared" si="12"/>
        <v>2</v>
      </c>
      <c r="I124" s="9" t="str">
        <f t="shared" si="13"/>
        <v>422</v>
      </c>
      <c r="Q124" s="1">
        <v>0.36359159541221464</v>
      </c>
      <c r="R124" s="1">
        <v>0.53010034987709787</v>
      </c>
    </row>
    <row r="125" spans="1:18" x14ac:dyDescent="0.35">
      <c r="A125" t="s">
        <v>1137</v>
      </c>
      <c r="B125" s="2">
        <v>45772</v>
      </c>
      <c r="C125">
        <f t="shared" si="7"/>
        <v>66</v>
      </c>
      <c r="D125">
        <f t="shared" si="8"/>
        <v>2381</v>
      </c>
      <c r="E125">
        <f t="shared" si="9"/>
        <v>12</v>
      </c>
      <c r="F125">
        <f t="shared" si="10"/>
        <v>5</v>
      </c>
      <c r="G125">
        <f t="shared" si="11"/>
        <v>4</v>
      </c>
      <c r="H125">
        <f t="shared" si="12"/>
        <v>4</v>
      </c>
      <c r="I125" s="9" t="str">
        <f t="shared" si="13"/>
        <v>544</v>
      </c>
      <c r="Q125" s="1">
        <v>0.8141658835091059</v>
      </c>
      <c r="R125" s="1">
        <v>0.36805979255217214</v>
      </c>
    </row>
    <row r="126" spans="1:18" x14ac:dyDescent="0.35">
      <c r="A126" t="s">
        <v>1138</v>
      </c>
      <c r="B126" s="2">
        <v>45682</v>
      </c>
      <c r="C126">
        <f t="shared" si="7"/>
        <v>156</v>
      </c>
      <c r="D126">
        <f t="shared" si="8"/>
        <v>1363</v>
      </c>
      <c r="E126">
        <f t="shared" si="9"/>
        <v>7</v>
      </c>
      <c r="F126">
        <f t="shared" si="10"/>
        <v>4</v>
      </c>
      <c r="G126">
        <f t="shared" si="11"/>
        <v>1</v>
      </c>
      <c r="H126">
        <f t="shared" si="12"/>
        <v>1</v>
      </c>
      <c r="I126" s="9" t="str">
        <f t="shared" si="13"/>
        <v>411</v>
      </c>
      <c r="Q126" s="1">
        <v>0.53715170810272794</v>
      </c>
      <c r="R126" s="1">
        <v>0.13103064050845303</v>
      </c>
    </row>
    <row r="127" spans="1:18" x14ac:dyDescent="0.35">
      <c r="A127" t="s">
        <v>1139</v>
      </c>
      <c r="B127" s="2">
        <v>45667</v>
      </c>
      <c r="C127">
        <f t="shared" si="7"/>
        <v>171</v>
      </c>
      <c r="D127">
        <f t="shared" si="8"/>
        <v>2547</v>
      </c>
      <c r="E127">
        <f t="shared" si="9"/>
        <v>13</v>
      </c>
      <c r="F127">
        <f t="shared" si="10"/>
        <v>4</v>
      </c>
      <c r="G127">
        <f t="shared" si="11"/>
        <v>4</v>
      </c>
      <c r="H127">
        <f t="shared" si="12"/>
        <v>4</v>
      </c>
      <c r="I127" s="9" t="str">
        <f t="shared" si="13"/>
        <v>444</v>
      </c>
      <c r="Q127" s="1">
        <v>0.44689829065478126</v>
      </c>
      <c r="R127" s="1">
        <v>0.81935114284634347</v>
      </c>
    </row>
    <row r="128" spans="1:18" x14ac:dyDescent="0.35">
      <c r="A128" t="s">
        <v>1140</v>
      </c>
      <c r="B128" s="2">
        <v>45508</v>
      </c>
      <c r="C128">
        <f t="shared" si="7"/>
        <v>330</v>
      </c>
      <c r="D128">
        <f t="shared" si="8"/>
        <v>2552</v>
      </c>
      <c r="E128">
        <f t="shared" si="9"/>
        <v>13</v>
      </c>
      <c r="F128">
        <f t="shared" si="10"/>
        <v>2</v>
      </c>
      <c r="G128">
        <f t="shared" si="11"/>
        <v>4</v>
      </c>
      <c r="H128">
        <f t="shared" si="12"/>
        <v>4</v>
      </c>
      <c r="I128" s="9" t="str">
        <f t="shared" si="13"/>
        <v>244</v>
      </c>
      <c r="Q128" s="1">
        <v>0.47813460252961115</v>
      </c>
      <c r="R128" s="1">
        <v>0.79062152630453908</v>
      </c>
    </row>
    <row r="129" spans="1:18" x14ac:dyDescent="0.35">
      <c r="A129" t="s">
        <v>1141</v>
      </c>
      <c r="B129" s="2">
        <v>45611</v>
      </c>
      <c r="C129">
        <f t="shared" si="7"/>
        <v>227</v>
      </c>
      <c r="D129">
        <f t="shared" si="8"/>
        <v>1727</v>
      </c>
      <c r="E129">
        <f t="shared" si="9"/>
        <v>9</v>
      </c>
      <c r="F129">
        <f t="shared" si="10"/>
        <v>4</v>
      </c>
      <c r="G129">
        <f t="shared" si="11"/>
        <v>2</v>
      </c>
      <c r="H129">
        <f t="shared" si="12"/>
        <v>2</v>
      </c>
      <c r="I129" s="9" t="str">
        <f t="shared" si="13"/>
        <v>422</v>
      </c>
      <c r="Q129" s="1">
        <v>0.24340427526368469</v>
      </c>
      <c r="R129" s="1">
        <v>0.60845183170770434</v>
      </c>
    </row>
    <row r="130" spans="1:18" x14ac:dyDescent="0.35">
      <c r="A130" t="s">
        <v>1142</v>
      </c>
      <c r="B130" s="2">
        <v>45489</v>
      </c>
      <c r="C130">
        <f t="shared" si="7"/>
        <v>349</v>
      </c>
      <c r="D130">
        <f t="shared" si="8"/>
        <v>3150</v>
      </c>
      <c r="E130">
        <f t="shared" si="9"/>
        <v>16</v>
      </c>
      <c r="F130">
        <f t="shared" si="10"/>
        <v>2</v>
      </c>
      <c r="G130">
        <f t="shared" si="11"/>
        <v>5</v>
      </c>
      <c r="H130">
        <f t="shared" si="12"/>
        <v>5</v>
      </c>
      <c r="I130" s="9" t="str">
        <f t="shared" si="13"/>
        <v>255</v>
      </c>
      <c r="Q130" s="1">
        <v>0.57505538199210393</v>
      </c>
      <c r="R130" s="1">
        <v>0.99565345636396008</v>
      </c>
    </row>
    <row r="131" spans="1:18" x14ac:dyDescent="0.35">
      <c r="A131" t="s">
        <v>1143</v>
      </c>
      <c r="B131" s="2">
        <v>45551</v>
      </c>
      <c r="C131">
        <f t="shared" ref="C131:C194" si="14">45838-B131</f>
        <v>287</v>
      </c>
      <c r="D131">
        <f t="shared" ref="D131:D194" si="15">ROUND((R131*0.5+0.5*Q131)*(4000-40)+40,0)</f>
        <v>2663</v>
      </c>
      <c r="E131">
        <f t="shared" ref="E131:E194" si="16">ROUND((R131*0.5+Q131*0.5)*(20-1)+1,0)</f>
        <v>14</v>
      </c>
      <c r="F131">
        <f t="shared" ref="F131:F194" si="17">IF(C131&lt;=$M$4,5,IF(C131&lt;=$M$5,4,IF(C131&lt;=$M$9,3,IF(C131&lt;=$M$6,2,1))))</f>
        <v>2</v>
      </c>
      <c r="G131">
        <f t="shared" ref="G131:G194" si="18">IF(E131&lt;=$M$14,1,IF(E131&lt;=$M$19,2,IF(E131&lt;=$M$15,3,IF(E131&lt;=$M$16,4,5))))</f>
        <v>5</v>
      </c>
      <c r="H131">
        <f t="shared" ref="H131:H194" si="19">IF(D131&lt;=$M$24,1,IF(D131&lt;=$M$29,2,IF(D131&lt;=$M$25,3,IF(D131&lt;=$M$26,4,5))))</f>
        <v>5</v>
      </c>
      <c r="I131" s="9" t="str">
        <f t="shared" ref="I131:I194" si="20">CONCATENATE(F131,G131,H131)</f>
        <v>255</v>
      </c>
      <c r="Q131" s="1">
        <v>0.95094330685054307</v>
      </c>
      <c r="R131" s="1">
        <v>0.37366334560410275</v>
      </c>
    </row>
    <row r="132" spans="1:18" x14ac:dyDescent="0.35">
      <c r="A132" t="s">
        <v>1144</v>
      </c>
      <c r="B132" s="2">
        <v>45714</v>
      </c>
      <c r="C132">
        <f t="shared" si="14"/>
        <v>124</v>
      </c>
      <c r="D132">
        <f t="shared" si="15"/>
        <v>2218</v>
      </c>
      <c r="E132">
        <f t="shared" si="16"/>
        <v>11</v>
      </c>
      <c r="F132">
        <f t="shared" si="17"/>
        <v>5</v>
      </c>
      <c r="G132">
        <f t="shared" si="18"/>
        <v>3</v>
      </c>
      <c r="H132">
        <f t="shared" si="19"/>
        <v>4</v>
      </c>
      <c r="I132" s="9" t="str">
        <f t="shared" si="20"/>
        <v>534</v>
      </c>
      <c r="Q132" s="1">
        <v>0.48212811230349106</v>
      </c>
      <c r="R132" s="1">
        <v>0.61784031826682073</v>
      </c>
    </row>
    <row r="133" spans="1:18" x14ac:dyDescent="0.35">
      <c r="A133" t="s">
        <v>1145</v>
      </c>
      <c r="B133" s="2">
        <v>45737</v>
      </c>
      <c r="C133">
        <f t="shared" si="14"/>
        <v>101</v>
      </c>
      <c r="D133">
        <f t="shared" si="15"/>
        <v>2272</v>
      </c>
      <c r="E133">
        <f t="shared" si="16"/>
        <v>12</v>
      </c>
      <c r="F133">
        <f t="shared" si="17"/>
        <v>5</v>
      </c>
      <c r="G133">
        <f t="shared" si="18"/>
        <v>4</v>
      </c>
      <c r="H133">
        <f t="shared" si="19"/>
        <v>4</v>
      </c>
      <c r="I133" s="9" t="str">
        <f t="shared" si="20"/>
        <v>544</v>
      </c>
      <c r="Q133" s="1">
        <v>0.8331442034805463</v>
      </c>
      <c r="R133" s="1">
        <v>0.29437035764754294</v>
      </c>
    </row>
    <row r="134" spans="1:18" x14ac:dyDescent="0.35">
      <c r="A134" t="s">
        <v>1146</v>
      </c>
      <c r="B134" s="2">
        <v>45410</v>
      </c>
      <c r="C134">
        <f t="shared" si="14"/>
        <v>428</v>
      </c>
      <c r="D134">
        <f t="shared" si="15"/>
        <v>3329</v>
      </c>
      <c r="E134">
        <f t="shared" si="16"/>
        <v>17</v>
      </c>
      <c r="F134">
        <f t="shared" si="17"/>
        <v>1</v>
      </c>
      <c r="G134">
        <f t="shared" si="18"/>
        <v>5</v>
      </c>
      <c r="H134">
        <f t="shared" si="19"/>
        <v>5</v>
      </c>
      <c r="I134" s="9" t="str">
        <f t="shared" si="20"/>
        <v>155</v>
      </c>
      <c r="Q134" s="1">
        <v>0.83093690466481951</v>
      </c>
      <c r="R134" s="1">
        <v>0.83041565667287776</v>
      </c>
    </row>
    <row r="135" spans="1:18" x14ac:dyDescent="0.35">
      <c r="A135" t="s">
        <v>1147</v>
      </c>
      <c r="B135" s="2">
        <v>45776</v>
      </c>
      <c r="C135">
        <f t="shared" si="14"/>
        <v>62</v>
      </c>
      <c r="D135">
        <f t="shared" si="15"/>
        <v>2713</v>
      </c>
      <c r="E135">
        <f t="shared" si="16"/>
        <v>14</v>
      </c>
      <c r="F135">
        <f t="shared" si="17"/>
        <v>5</v>
      </c>
      <c r="G135">
        <f t="shared" si="18"/>
        <v>5</v>
      </c>
      <c r="H135">
        <f t="shared" si="19"/>
        <v>5</v>
      </c>
      <c r="I135" s="9" t="str">
        <f t="shared" si="20"/>
        <v>555</v>
      </c>
      <c r="Q135" s="1">
        <v>0.94370886456900327</v>
      </c>
      <c r="R135" s="1">
        <v>0.40632345095420486</v>
      </c>
    </row>
    <row r="136" spans="1:18" x14ac:dyDescent="0.35">
      <c r="A136" t="s">
        <v>1148</v>
      </c>
      <c r="B136" s="2">
        <v>45393</v>
      </c>
      <c r="C136">
        <f t="shared" si="14"/>
        <v>445</v>
      </c>
      <c r="D136">
        <f t="shared" si="15"/>
        <v>1341</v>
      </c>
      <c r="E136">
        <f t="shared" si="16"/>
        <v>7</v>
      </c>
      <c r="F136">
        <f t="shared" si="17"/>
        <v>1</v>
      </c>
      <c r="G136">
        <f t="shared" si="18"/>
        <v>1</v>
      </c>
      <c r="H136">
        <f t="shared" si="19"/>
        <v>1</v>
      </c>
      <c r="I136" s="9" t="str">
        <f t="shared" si="20"/>
        <v>111</v>
      </c>
      <c r="Q136" s="1">
        <v>0.47580364980985901</v>
      </c>
      <c r="R136" s="1">
        <v>0.1812627324047269</v>
      </c>
    </row>
    <row r="137" spans="1:18" x14ac:dyDescent="0.35">
      <c r="A137" t="s">
        <v>1149</v>
      </c>
      <c r="B137" s="2">
        <v>45307</v>
      </c>
      <c r="C137">
        <f t="shared" si="14"/>
        <v>531</v>
      </c>
      <c r="D137">
        <f t="shared" si="15"/>
        <v>1540</v>
      </c>
      <c r="E137">
        <f t="shared" si="16"/>
        <v>8</v>
      </c>
      <c r="F137">
        <f t="shared" si="17"/>
        <v>1</v>
      </c>
      <c r="G137">
        <f t="shared" si="18"/>
        <v>1</v>
      </c>
      <c r="H137">
        <f t="shared" si="19"/>
        <v>2</v>
      </c>
      <c r="I137" s="9" t="str">
        <f t="shared" si="20"/>
        <v>112</v>
      </c>
      <c r="Q137" s="1">
        <v>0.75081364447944499</v>
      </c>
      <c r="R137" s="1">
        <v>6.6632840100762092E-3</v>
      </c>
    </row>
    <row r="138" spans="1:18" x14ac:dyDescent="0.35">
      <c r="A138" t="s">
        <v>1150</v>
      </c>
      <c r="B138" s="2">
        <v>45618</v>
      </c>
      <c r="C138">
        <f t="shared" si="14"/>
        <v>220</v>
      </c>
      <c r="D138">
        <f t="shared" si="15"/>
        <v>2761</v>
      </c>
      <c r="E138">
        <f t="shared" si="16"/>
        <v>14</v>
      </c>
      <c r="F138">
        <f t="shared" si="17"/>
        <v>4</v>
      </c>
      <c r="G138">
        <f t="shared" si="18"/>
        <v>5</v>
      </c>
      <c r="H138">
        <f t="shared" si="19"/>
        <v>5</v>
      </c>
      <c r="I138" s="9" t="str">
        <f t="shared" si="20"/>
        <v>455</v>
      </c>
      <c r="Q138" s="1">
        <v>0.4106915220449171</v>
      </c>
      <c r="R138" s="1">
        <v>0.96362327386500113</v>
      </c>
    </row>
    <row r="139" spans="1:18" x14ac:dyDescent="0.35">
      <c r="A139" t="s">
        <v>1151</v>
      </c>
      <c r="B139" s="2">
        <v>45595</v>
      </c>
      <c r="C139">
        <f t="shared" si="14"/>
        <v>243</v>
      </c>
      <c r="D139">
        <f t="shared" si="15"/>
        <v>1090</v>
      </c>
      <c r="E139">
        <f t="shared" si="16"/>
        <v>6</v>
      </c>
      <c r="F139">
        <f t="shared" si="17"/>
        <v>4</v>
      </c>
      <c r="G139">
        <f t="shared" si="18"/>
        <v>1</v>
      </c>
      <c r="H139">
        <f t="shared" si="19"/>
        <v>1</v>
      </c>
      <c r="I139" s="9" t="str">
        <f t="shared" si="20"/>
        <v>411</v>
      </c>
      <c r="Q139" s="1">
        <v>0.28175285464587885</v>
      </c>
      <c r="R139" s="1">
        <v>0.24839834040914521</v>
      </c>
    </row>
    <row r="140" spans="1:18" x14ac:dyDescent="0.35">
      <c r="A140" t="s">
        <v>1152</v>
      </c>
      <c r="B140" s="2">
        <v>45444</v>
      </c>
      <c r="C140">
        <f t="shared" si="14"/>
        <v>394</v>
      </c>
      <c r="D140">
        <f t="shared" si="15"/>
        <v>1247</v>
      </c>
      <c r="E140">
        <f t="shared" si="16"/>
        <v>7</v>
      </c>
      <c r="F140">
        <f t="shared" si="17"/>
        <v>2</v>
      </c>
      <c r="G140">
        <f t="shared" si="18"/>
        <v>1</v>
      </c>
      <c r="H140">
        <f t="shared" si="19"/>
        <v>1</v>
      </c>
      <c r="I140" s="9" t="str">
        <f t="shared" si="20"/>
        <v>211</v>
      </c>
      <c r="Q140" s="1">
        <v>0.30277892345466939</v>
      </c>
      <c r="R140" s="1">
        <v>0.30702984824191371</v>
      </c>
    </row>
    <row r="141" spans="1:18" x14ac:dyDescent="0.35">
      <c r="A141" t="s">
        <v>1153</v>
      </c>
      <c r="B141" s="2">
        <v>45778</v>
      </c>
      <c r="C141">
        <f t="shared" si="14"/>
        <v>60</v>
      </c>
      <c r="D141">
        <f t="shared" si="15"/>
        <v>135</v>
      </c>
      <c r="E141">
        <f t="shared" si="16"/>
        <v>1</v>
      </c>
      <c r="F141">
        <f t="shared" si="17"/>
        <v>5</v>
      </c>
      <c r="G141">
        <f t="shared" si="18"/>
        <v>1</v>
      </c>
      <c r="H141">
        <f t="shared" si="19"/>
        <v>1</v>
      </c>
      <c r="I141" s="9" t="str">
        <f t="shared" si="20"/>
        <v>511</v>
      </c>
      <c r="Q141" s="1">
        <v>7.2698866134746076E-3</v>
      </c>
      <c r="R141" s="1">
        <v>4.0610610140938919E-2</v>
      </c>
    </row>
    <row r="142" spans="1:18" x14ac:dyDescent="0.35">
      <c r="A142" t="s">
        <v>1154</v>
      </c>
      <c r="B142" s="2">
        <v>45321</v>
      </c>
      <c r="C142">
        <f t="shared" si="14"/>
        <v>517</v>
      </c>
      <c r="D142">
        <f t="shared" si="15"/>
        <v>2497</v>
      </c>
      <c r="E142">
        <f t="shared" si="16"/>
        <v>13</v>
      </c>
      <c r="F142">
        <f t="shared" si="17"/>
        <v>1</v>
      </c>
      <c r="G142">
        <f t="shared" si="18"/>
        <v>4</v>
      </c>
      <c r="H142">
        <f t="shared" si="19"/>
        <v>4</v>
      </c>
      <c r="I142" s="9" t="str">
        <f t="shared" si="20"/>
        <v>144</v>
      </c>
      <c r="Q142" s="1">
        <v>0.25471910989329172</v>
      </c>
      <c r="R142" s="1">
        <v>0.98612099346311999</v>
      </c>
    </row>
    <row r="143" spans="1:18" x14ac:dyDescent="0.35">
      <c r="A143" t="s">
        <v>1155</v>
      </c>
      <c r="B143" s="2">
        <v>45356</v>
      </c>
      <c r="C143">
        <f t="shared" si="14"/>
        <v>482</v>
      </c>
      <c r="D143">
        <f t="shared" si="15"/>
        <v>2313</v>
      </c>
      <c r="E143">
        <f t="shared" si="16"/>
        <v>12</v>
      </c>
      <c r="F143">
        <f t="shared" si="17"/>
        <v>1</v>
      </c>
      <c r="G143">
        <f t="shared" si="18"/>
        <v>4</v>
      </c>
      <c r="H143">
        <f t="shared" si="19"/>
        <v>4</v>
      </c>
      <c r="I143" s="9" t="str">
        <f t="shared" si="20"/>
        <v>144</v>
      </c>
      <c r="Q143" s="1">
        <v>0.39781525258600126</v>
      </c>
      <c r="R143" s="1">
        <v>0.75028970553930741</v>
      </c>
    </row>
    <row r="144" spans="1:18" x14ac:dyDescent="0.35">
      <c r="A144" t="s">
        <v>1156</v>
      </c>
      <c r="B144" s="2">
        <v>45565</v>
      </c>
      <c r="C144">
        <f t="shared" si="14"/>
        <v>273</v>
      </c>
      <c r="D144">
        <f t="shared" si="15"/>
        <v>2151</v>
      </c>
      <c r="E144">
        <f t="shared" si="16"/>
        <v>11</v>
      </c>
      <c r="F144">
        <f t="shared" si="17"/>
        <v>2</v>
      </c>
      <c r="G144">
        <f t="shared" si="18"/>
        <v>3</v>
      </c>
      <c r="H144">
        <f t="shared" si="19"/>
        <v>4</v>
      </c>
      <c r="I144" s="9" t="str">
        <f t="shared" si="20"/>
        <v>234</v>
      </c>
      <c r="Q144" s="1">
        <v>0.98882264035212641</v>
      </c>
      <c r="R144" s="1">
        <v>7.7276303661902634E-2</v>
      </c>
    </row>
    <row r="145" spans="1:18" x14ac:dyDescent="0.35">
      <c r="A145" t="s">
        <v>1157</v>
      </c>
      <c r="B145" s="2">
        <v>45683</v>
      </c>
      <c r="C145">
        <f t="shared" si="14"/>
        <v>155</v>
      </c>
      <c r="D145">
        <f t="shared" si="15"/>
        <v>2184</v>
      </c>
      <c r="E145">
        <f t="shared" si="16"/>
        <v>11</v>
      </c>
      <c r="F145">
        <f t="shared" si="17"/>
        <v>4</v>
      </c>
      <c r="G145">
        <f t="shared" si="18"/>
        <v>3</v>
      </c>
      <c r="H145">
        <f t="shared" si="19"/>
        <v>4</v>
      </c>
      <c r="I145" s="9" t="str">
        <f t="shared" si="20"/>
        <v>434</v>
      </c>
      <c r="Q145" s="1">
        <v>0.80517665449751419</v>
      </c>
      <c r="R145" s="1">
        <v>0.2775497842465432</v>
      </c>
    </row>
    <row r="146" spans="1:18" x14ac:dyDescent="0.35">
      <c r="A146" t="s">
        <v>1158</v>
      </c>
      <c r="B146" s="2">
        <v>45506</v>
      </c>
      <c r="C146">
        <f t="shared" si="14"/>
        <v>332</v>
      </c>
      <c r="D146">
        <f t="shared" si="15"/>
        <v>2432</v>
      </c>
      <c r="E146">
        <f t="shared" si="16"/>
        <v>12</v>
      </c>
      <c r="F146">
        <f t="shared" si="17"/>
        <v>2</v>
      </c>
      <c r="G146">
        <f t="shared" si="18"/>
        <v>4</v>
      </c>
      <c r="H146">
        <f t="shared" si="19"/>
        <v>4</v>
      </c>
      <c r="I146" s="9" t="str">
        <f t="shared" si="20"/>
        <v>244</v>
      </c>
      <c r="Q146" s="1">
        <v>0.25793598823362096</v>
      </c>
      <c r="R146" s="1">
        <v>0.95022328624593888</v>
      </c>
    </row>
    <row r="147" spans="1:18" x14ac:dyDescent="0.35">
      <c r="A147" t="s">
        <v>1159</v>
      </c>
      <c r="B147" s="2">
        <v>45354</v>
      </c>
      <c r="C147">
        <f t="shared" si="14"/>
        <v>484</v>
      </c>
      <c r="D147">
        <f t="shared" si="15"/>
        <v>2355</v>
      </c>
      <c r="E147">
        <f t="shared" si="16"/>
        <v>12</v>
      </c>
      <c r="F147">
        <f t="shared" si="17"/>
        <v>1</v>
      </c>
      <c r="G147">
        <f t="shared" si="18"/>
        <v>4</v>
      </c>
      <c r="H147">
        <f t="shared" si="19"/>
        <v>4</v>
      </c>
      <c r="I147" s="9" t="str">
        <f t="shared" si="20"/>
        <v>144</v>
      </c>
      <c r="Q147" s="1">
        <v>0.24089889789102692</v>
      </c>
      <c r="R147" s="1">
        <v>0.92815866741904407</v>
      </c>
    </row>
    <row r="148" spans="1:18" x14ac:dyDescent="0.35">
      <c r="A148" t="s">
        <v>1160</v>
      </c>
      <c r="B148" s="2">
        <v>45309</v>
      </c>
      <c r="C148">
        <f t="shared" si="14"/>
        <v>529</v>
      </c>
      <c r="D148">
        <f t="shared" si="15"/>
        <v>2367</v>
      </c>
      <c r="E148">
        <f t="shared" si="16"/>
        <v>12</v>
      </c>
      <c r="F148">
        <f t="shared" si="17"/>
        <v>1</v>
      </c>
      <c r="G148">
        <f t="shared" si="18"/>
        <v>4</v>
      </c>
      <c r="H148">
        <f t="shared" si="19"/>
        <v>4</v>
      </c>
      <c r="I148" s="9" t="str">
        <f t="shared" si="20"/>
        <v>144</v>
      </c>
      <c r="Q148" s="1">
        <v>0.69160875236094188</v>
      </c>
      <c r="R148" s="1">
        <v>0.48387645400359303</v>
      </c>
    </row>
    <row r="149" spans="1:18" x14ac:dyDescent="0.35">
      <c r="A149" t="s">
        <v>1161</v>
      </c>
      <c r="B149" s="2">
        <v>45388</v>
      </c>
      <c r="C149">
        <f t="shared" si="14"/>
        <v>450</v>
      </c>
      <c r="D149">
        <f t="shared" si="15"/>
        <v>3358</v>
      </c>
      <c r="E149">
        <f t="shared" si="16"/>
        <v>17</v>
      </c>
      <c r="F149">
        <f t="shared" si="17"/>
        <v>1</v>
      </c>
      <c r="G149">
        <f t="shared" si="18"/>
        <v>5</v>
      </c>
      <c r="H149">
        <f t="shared" si="19"/>
        <v>5</v>
      </c>
      <c r="I149" s="9" t="str">
        <f t="shared" si="20"/>
        <v>155</v>
      </c>
      <c r="Q149" s="1">
        <v>0.77487617512377094</v>
      </c>
      <c r="R149" s="1">
        <v>0.90069044777541973</v>
      </c>
    </row>
    <row r="150" spans="1:18" x14ac:dyDescent="0.35">
      <c r="A150" t="s">
        <v>1162</v>
      </c>
      <c r="B150" s="2">
        <v>45507</v>
      </c>
      <c r="C150">
        <f t="shared" si="14"/>
        <v>331</v>
      </c>
      <c r="D150">
        <f t="shared" si="15"/>
        <v>1233</v>
      </c>
      <c r="E150">
        <f t="shared" si="16"/>
        <v>7</v>
      </c>
      <c r="F150">
        <f t="shared" si="17"/>
        <v>2</v>
      </c>
      <c r="G150">
        <f t="shared" si="18"/>
        <v>1</v>
      </c>
      <c r="H150">
        <f t="shared" si="19"/>
        <v>1</v>
      </c>
      <c r="I150" s="9" t="str">
        <f t="shared" si="20"/>
        <v>211</v>
      </c>
      <c r="Q150" s="1">
        <v>0.40387683400089081</v>
      </c>
      <c r="R150" s="1">
        <v>0.19849241747765489</v>
      </c>
    </row>
    <row r="151" spans="1:18" x14ac:dyDescent="0.35">
      <c r="A151" t="s">
        <v>1163</v>
      </c>
      <c r="B151" s="2">
        <v>45746</v>
      </c>
      <c r="C151">
        <f t="shared" si="14"/>
        <v>92</v>
      </c>
      <c r="D151">
        <f t="shared" si="15"/>
        <v>2712</v>
      </c>
      <c r="E151">
        <f t="shared" si="16"/>
        <v>14</v>
      </c>
      <c r="F151">
        <f t="shared" si="17"/>
        <v>5</v>
      </c>
      <c r="G151">
        <f t="shared" si="18"/>
        <v>5</v>
      </c>
      <c r="H151">
        <f t="shared" si="19"/>
        <v>5</v>
      </c>
      <c r="I151" s="9" t="str">
        <f t="shared" si="20"/>
        <v>555</v>
      </c>
      <c r="Q151" s="1">
        <v>0.55864839509025255</v>
      </c>
      <c r="R151" s="1">
        <v>0.79061126876864396</v>
      </c>
    </row>
    <row r="152" spans="1:18" x14ac:dyDescent="0.35">
      <c r="A152" t="s">
        <v>1164</v>
      </c>
      <c r="B152" s="2">
        <v>45706</v>
      </c>
      <c r="C152">
        <f t="shared" si="14"/>
        <v>132</v>
      </c>
      <c r="D152">
        <f t="shared" si="15"/>
        <v>1465</v>
      </c>
      <c r="E152">
        <f t="shared" si="16"/>
        <v>8</v>
      </c>
      <c r="F152">
        <f t="shared" si="17"/>
        <v>5</v>
      </c>
      <c r="G152">
        <f t="shared" si="18"/>
        <v>1</v>
      </c>
      <c r="H152">
        <f t="shared" si="19"/>
        <v>2</v>
      </c>
      <c r="I152" s="9" t="str">
        <f t="shared" si="20"/>
        <v>512</v>
      </c>
      <c r="Q152" s="1">
        <v>0.13308255542573544</v>
      </c>
      <c r="R152" s="1">
        <v>0.586555493188884</v>
      </c>
    </row>
    <row r="153" spans="1:18" x14ac:dyDescent="0.35">
      <c r="A153" t="s">
        <v>1165</v>
      </c>
      <c r="B153" s="2">
        <v>45471</v>
      </c>
      <c r="C153">
        <f t="shared" si="14"/>
        <v>367</v>
      </c>
      <c r="D153">
        <f t="shared" si="15"/>
        <v>3271</v>
      </c>
      <c r="E153">
        <f t="shared" si="16"/>
        <v>17</v>
      </c>
      <c r="F153">
        <f t="shared" si="17"/>
        <v>2</v>
      </c>
      <c r="G153">
        <f t="shared" si="18"/>
        <v>5</v>
      </c>
      <c r="H153">
        <f t="shared" si="19"/>
        <v>5</v>
      </c>
      <c r="I153" s="9" t="str">
        <f t="shared" si="20"/>
        <v>255</v>
      </c>
      <c r="Q153" s="1">
        <v>0.69847842669234161</v>
      </c>
      <c r="R153" s="1">
        <v>0.93346348825236591</v>
      </c>
    </row>
    <row r="154" spans="1:18" x14ac:dyDescent="0.35">
      <c r="A154" t="s">
        <v>1166</v>
      </c>
      <c r="B154" s="2">
        <v>45406</v>
      </c>
      <c r="C154">
        <f t="shared" si="14"/>
        <v>432</v>
      </c>
      <c r="D154">
        <f t="shared" si="15"/>
        <v>1870</v>
      </c>
      <c r="E154">
        <f t="shared" si="16"/>
        <v>10</v>
      </c>
      <c r="F154">
        <f t="shared" si="17"/>
        <v>1</v>
      </c>
      <c r="G154">
        <f t="shared" si="18"/>
        <v>2</v>
      </c>
      <c r="H154">
        <f t="shared" si="19"/>
        <v>2</v>
      </c>
      <c r="I154" s="9" t="str">
        <f t="shared" si="20"/>
        <v>122</v>
      </c>
      <c r="Q154" s="1">
        <v>0.75278070189279567</v>
      </c>
      <c r="R154" s="1">
        <v>0.17166236736318985</v>
      </c>
    </row>
    <row r="155" spans="1:18" x14ac:dyDescent="0.35">
      <c r="A155" t="s">
        <v>1167</v>
      </c>
      <c r="B155" s="2">
        <v>45294</v>
      </c>
      <c r="C155">
        <f t="shared" si="14"/>
        <v>544</v>
      </c>
      <c r="D155">
        <f t="shared" si="15"/>
        <v>2388</v>
      </c>
      <c r="E155">
        <f t="shared" si="16"/>
        <v>12</v>
      </c>
      <c r="F155">
        <f t="shared" si="17"/>
        <v>1</v>
      </c>
      <c r="G155">
        <f t="shared" si="18"/>
        <v>4</v>
      </c>
      <c r="H155">
        <f t="shared" si="19"/>
        <v>4</v>
      </c>
      <c r="I155" s="9" t="str">
        <f t="shared" si="20"/>
        <v>144</v>
      </c>
      <c r="Q155" s="1">
        <v>0.78924036792696517</v>
      </c>
      <c r="R155" s="1">
        <v>0.39644724905137185</v>
      </c>
    </row>
    <row r="156" spans="1:18" x14ac:dyDescent="0.35">
      <c r="A156" t="s">
        <v>1168</v>
      </c>
      <c r="B156" s="2">
        <v>45778</v>
      </c>
      <c r="C156">
        <f t="shared" si="14"/>
        <v>60</v>
      </c>
      <c r="D156">
        <f t="shared" si="15"/>
        <v>2558</v>
      </c>
      <c r="E156">
        <f t="shared" si="16"/>
        <v>13</v>
      </c>
      <c r="F156">
        <f t="shared" si="17"/>
        <v>5</v>
      </c>
      <c r="G156">
        <f t="shared" si="18"/>
        <v>4</v>
      </c>
      <c r="H156">
        <f t="shared" si="19"/>
        <v>4</v>
      </c>
      <c r="I156" s="9" t="str">
        <f t="shared" si="20"/>
        <v>544</v>
      </c>
      <c r="Q156" s="1">
        <v>0.61767732046538748</v>
      </c>
      <c r="R156" s="1">
        <v>0.65397280685720871</v>
      </c>
    </row>
    <row r="157" spans="1:18" x14ac:dyDescent="0.35">
      <c r="A157" t="s">
        <v>1169</v>
      </c>
      <c r="B157" s="2">
        <v>45497</v>
      </c>
      <c r="C157">
        <f t="shared" si="14"/>
        <v>341</v>
      </c>
      <c r="D157">
        <f t="shared" si="15"/>
        <v>1770</v>
      </c>
      <c r="E157">
        <f t="shared" si="16"/>
        <v>9</v>
      </c>
      <c r="F157">
        <f t="shared" si="17"/>
        <v>2</v>
      </c>
      <c r="G157">
        <f t="shared" si="18"/>
        <v>2</v>
      </c>
      <c r="H157">
        <f t="shared" si="19"/>
        <v>2</v>
      </c>
      <c r="I157" s="9" t="str">
        <f t="shared" si="20"/>
        <v>222</v>
      </c>
      <c r="Q157" s="1">
        <v>0.10304521190769678</v>
      </c>
      <c r="R157" s="1">
        <v>0.77092631368907472</v>
      </c>
    </row>
    <row r="158" spans="1:18" x14ac:dyDescent="0.35">
      <c r="A158" t="s">
        <v>1170</v>
      </c>
      <c r="B158" s="2">
        <v>45409</v>
      </c>
      <c r="C158">
        <f t="shared" si="14"/>
        <v>429</v>
      </c>
      <c r="D158">
        <f t="shared" si="15"/>
        <v>2382</v>
      </c>
      <c r="E158">
        <f t="shared" si="16"/>
        <v>12</v>
      </c>
      <c r="F158">
        <f t="shared" si="17"/>
        <v>1</v>
      </c>
      <c r="G158">
        <f t="shared" si="18"/>
        <v>4</v>
      </c>
      <c r="H158">
        <f t="shared" si="19"/>
        <v>4</v>
      </c>
      <c r="I158" s="9" t="str">
        <f t="shared" si="20"/>
        <v>144</v>
      </c>
      <c r="Q158" s="1">
        <v>0.93731979569213941</v>
      </c>
      <c r="R158" s="1">
        <v>0.24573081327051027</v>
      </c>
    </row>
    <row r="159" spans="1:18" x14ac:dyDescent="0.35">
      <c r="A159" t="s">
        <v>1171</v>
      </c>
      <c r="B159" s="2">
        <v>45832</v>
      </c>
      <c r="C159">
        <f t="shared" si="14"/>
        <v>6</v>
      </c>
      <c r="D159">
        <f t="shared" si="15"/>
        <v>2657</v>
      </c>
      <c r="E159">
        <f t="shared" si="16"/>
        <v>14</v>
      </c>
      <c r="F159">
        <f t="shared" si="17"/>
        <v>5</v>
      </c>
      <c r="G159">
        <f t="shared" si="18"/>
        <v>5</v>
      </c>
      <c r="H159">
        <f t="shared" si="19"/>
        <v>5</v>
      </c>
      <c r="I159" s="9" t="str">
        <f t="shared" si="20"/>
        <v>555</v>
      </c>
      <c r="Q159" s="1">
        <v>0.63537437496211679</v>
      </c>
      <c r="R159" s="1">
        <v>0.68641737593031427</v>
      </c>
    </row>
    <row r="160" spans="1:18" x14ac:dyDescent="0.35">
      <c r="A160" t="s">
        <v>1172</v>
      </c>
      <c r="B160" s="2">
        <v>45481</v>
      </c>
      <c r="C160">
        <f t="shared" si="14"/>
        <v>357</v>
      </c>
      <c r="D160">
        <f t="shared" si="15"/>
        <v>1757</v>
      </c>
      <c r="E160">
        <f t="shared" si="16"/>
        <v>9</v>
      </c>
      <c r="F160">
        <f t="shared" si="17"/>
        <v>2</v>
      </c>
      <c r="G160">
        <f t="shared" si="18"/>
        <v>2</v>
      </c>
      <c r="H160">
        <f t="shared" si="19"/>
        <v>2</v>
      </c>
      <c r="I160" s="9" t="str">
        <f t="shared" si="20"/>
        <v>222</v>
      </c>
      <c r="Q160" s="1">
        <v>0.79007116266917554</v>
      </c>
      <c r="R160" s="1">
        <v>7.7243557363200543E-2</v>
      </c>
    </row>
    <row r="161" spans="1:18" x14ac:dyDescent="0.35">
      <c r="A161" t="s">
        <v>1173</v>
      </c>
      <c r="B161" s="2">
        <v>45475</v>
      </c>
      <c r="C161">
        <f t="shared" si="14"/>
        <v>363</v>
      </c>
      <c r="D161">
        <f t="shared" si="15"/>
        <v>2526</v>
      </c>
      <c r="E161">
        <f t="shared" si="16"/>
        <v>13</v>
      </c>
      <c r="F161">
        <f t="shared" si="17"/>
        <v>2</v>
      </c>
      <c r="G161">
        <f t="shared" si="18"/>
        <v>4</v>
      </c>
      <c r="H161">
        <f t="shared" si="19"/>
        <v>4</v>
      </c>
      <c r="I161" s="9" t="str">
        <f t="shared" si="20"/>
        <v>244</v>
      </c>
      <c r="Q161" s="1">
        <v>0.63290259965888196</v>
      </c>
      <c r="R161" s="1">
        <v>0.62242077388493444</v>
      </c>
    </row>
    <row r="162" spans="1:18" x14ac:dyDescent="0.35">
      <c r="A162" t="s">
        <v>1174</v>
      </c>
      <c r="B162" s="2">
        <v>45561</v>
      </c>
      <c r="C162">
        <f t="shared" si="14"/>
        <v>277</v>
      </c>
      <c r="D162">
        <f t="shared" si="15"/>
        <v>2016</v>
      </c>
      <c r="E162">
        <f t="shared" si="16"/>
        <v>10</v>
      </c>
      <c r="F162">
        <f t="shared" si="17"/>
        <v>2</v>
      </c>
      <c r="G162">
        <f t="shared" si="18"/>
        <v>2</v>
      </c>
      <c r="H162">
        <f t="shared" si="19"/>
        <v>2</v>
      </c>
      <c r="I162" s="9" t="str">
        <f t="shared" si="20"/>
        <v>222</v>
      </c>
      <c r="Q162" s="1">
        <v>0.5489617306266561</v>
      </c>
      <c r="R162" s="1">
        <v>0.44891067587028588</v>
      </c>
    </row>
    <row r="163" spans="1:18" x14ac:dyDescent="0.35">
      <c r="A163" t="s">
        <v>1175</v>
      </c>
      <c r="B163" s="2">
        <v>45641</v>
      </c>
      <c r="C163">
        <f t="shared" si="14"/>
        <v>197</v>
      </c>
      <c r="D163">
        <f t="shared" si="15"/>
        <v>908</v>
      </c>
      <c r="E163">
        <f t="shared" si="16"/>
        <v>5</v>
      </c>
      <c r="F163">
        <f t="shared" si="17"/>
        <v>4</v>
      </c>
      <c r="G163">
        <f t="shared" si="18"/>
        <v>1</v>
      </c>
      <c r="H163">
        <f t="shared" si="19"/>
        <v>1</v>
      </c>
      <c r="I163" s="9" t="str">
        <f t="shared" si="20"/>
        <v>411</v>
      </c>
      <c r="Q163" s="1">
        <v>0.21543939586121152</v>
      </c>
      <c r="R163" s="1">
        <v>0.2229893422266459</v>
      </c>
    </row>
    <row r="164" spans="1:18" x14ac:dyDescent="0.35">
      <c r="A164" t="s">
        <v>1176</v>
      </c>
      <c r="B164" s="2">
        <v>45765</v>
      </c>
      <c r="C164">
        <f t="shared" si="14"/>
        <v>73</v>
      </c>
      <c r="D164">
        <f t="shared" si="15"/>
        <v>3444</v>
      </c>
      <c r="E164">
        <f t="shared" si="16"/>
        <v>17</v>
      </c>
      <c r="F164">
        <f t="shared" si="17"/>
        <v>5</v>
      </c>
      <c r="G164">
        <f t="shared" si="18"/>
        <v>5</v>
      </c>
      <c r="H164">
        <f t="shared" si="19"/>
        <v>5</v>
      </c>
      <c r="I164" s="9" t="str">
        <f t="shared" si="20"/>
        <v>555</v>
      </c>
      <c r="Q164" s="1">
        <v>0.91301981294710299</v>
      </c>
      <c r="R164" s="1">
        <v>0.80592301106158626</v>
      </c>
    </row>
    <row r="165" spans="1:18" x14ac:dyDescent="0.35">
      <c r="A165" t="s">
        <v>1177</v>
      </c>
      <c r="B165" s="2">
        <v>45481</v>
      </c>
      <c r="C165">
        <f t="shared" si="14"/>
        <v>357</v>
      </c>
      <c r="D165">
        <f t="shared" si="15"/>
        <v>1881</v>
      </c>
      <c r="E165">
        <f t="shared" si="16"/>
        <v>10</v>
      </c>
      <c r="F165">
        <f t="shared" si="17"/>
        <v>2</v>
      </c>
      <c r="G165">
        <f t="shared" si="18"/>
        <v>2</v>
      </c>
      <c r="H165">
        <f t="shared" si="19"/>
        <v>2</v>
      </c>
      <c r="I165" s="9" t="str">
        <f t="shared" si="20"/>
        <v>222</v>
      </c>
      <c r="Q165" s="1">
        <v>8.8010635515161861E-2</v>
      </c>
      <c r="R165" s="1">
        <v>0.84179193566221078</v>
      </c>
    </row>
    <row r="166" spans="1:18" x14ac:dyDescent="0.35">
      <c r="A166" t="s">
        <v>1178</v>
      </c>
      <c r="B166" s="2">
        <v>45646</v>
      </c>
      <c r="C166">
        <f t="shared" si="14"/>
        <v>192</v>
      </c>
      <c r="D166">
        <f t="shared" si="15"/>
        <v>2981</v>
      </c>
      <c r="E166">
        <f t="shared" si="16"/>
        <v>15</v>
      </c>
      <c r="F166">
        <f t="shared" si="17"/>
        <v>4</v>
      </c>
      <c r="G166">
        <f t="shared" si="18"/>
        <v>5</v>
      </c>
      <c r="H166">
        <f t="shared" si="19"/>
        <v>5</v>
      </c>
      <c r="I166" s="9" t="str">
        <f t="shared" si="20"/>
        <v>455</v>
      </c>
      <c r="Q166" s="1">
        <v>0.6823643331265149</v>
      </c>
      <c r="R166" s="1">
        <v>0.80317613677003385</v>
      </c>
    </row>
    <row r="167" spans="1:18" x14ac:dyDescent="0.35">
      <c r="A167" t="s">
        <v>1179</v>
      </c>
      <c r="B167" s="2">
        <v>45732</v>
      </c>
      <c r="C167">
        <f t="shared" si="14"/>
        <v>106</v>
      </c>
      <c r="D167">
        <f t="shared" si="15"/>
        <v>1384</v>
      </c>
      <c r="E167">
        <f t="shared" si="16"/>
        <v>7</v>
      </c>
      <c r="F167">
        <f t="shared" si="17"/>
        <v>5</v>
      </c>
      <c r="G167">
        <f t="shared" si="18"/>
        <v>1</v>
      </c>
      <c r="H167">
        <f t="shared" si="19"/>
        <v>1</v>
      </c>
      <c r="I167" s="9" t="str">
        <f t="shared" si="20"/>
        <v>511</v>
      </c>
      <c r="Q167" s="1">
        <v>0.5683587552590319</v>
      </c>
      <c r="R167" s="1">
        <v>0.11031077032122749</v>
      </c>
    </row>
    <row r="168" spans="1:18" x14ac:dyDescent="0.35">
      <c r="A168" t="s">
        <v>1180</v>
      </c>
      <c r="B168" s="2">
        <v>45800</v>
      </c>
      <c r="C168">
        <f t="shared" si="14"/>
        <v>38</v>
      </c>
      <c r="D168">
        <f t="shared" si="15"/>
        <v>1577</v>
      </c>
      <c r="E168">
        <f t="shared" si="16"/>
        <v>8</v>
      </c>
      <c r="F168">
        <f t="shared" si="17"/>
        <v>5</v>
      </c>
      <c r="G168">
        <f t="shared" si="18"/>
        <v>1</v>
      </c>
      <c r="H168">
        <f t="shared" si="19"/>
        <v>2</v>
      </c>
      <c r="I168" s="9" t="str">
        <f t="shared" si="20"/>
        <v>512</v>
      </c>
      <c r="Q168" s="1">
        <v>0.24338647893495569</v>
      </c>
      <c r="R168" s="1">
        <v>0.53271309586150228</v>
      </c>
    </row>
    <row r="169" spans="1:18" x14ac:dyDescent="0.35">
      <c r="A169" t="s">
        <v>1181</v>
      </c>
      <c r="B169" s="2">
        <v>45398</v>
      </c>
      <c r="C169">
        <f t="shared" si="14"/>
        <v>440</v>
      </c>
      <c r="D169">
        <f t="shared" si="15"/>
        <v>1373</v>
      </c>
      <c r="E169">
        <f t="shared" si="16"/>
        <v>7</v>
      </c>
      <c r="F169">
        <f t="shared" si="17"/>
        <v>1</v>
      </c>
      <c r="G169">
        <f t="shared" si="18"/>
        <v>1</v>
      </c>
      <c r="H169">
        <f t="shared" si="19"/>
        <v>1</v>
      </c>
      <c r="I169" s="9" t="str">
        <f t="shared" si="20"/>
        <v>111</v>
      </c>
      <c r="Q169" s="1">
        <v>0.14616966745362125</v>
      </c>
      <c r="R169" s="1">
        <v>0.52693980067927693</v>
      </c>
    </row>
    <row r="170" spans="1:18" x14ac:dyDescent="0.35">
      <c r="A170" t="s">
        <v>1182</v>
      </c>
      <c r="B170" s="2">
        <v>45463</v>
      </c>
      <c r="C170">
        <f t="shared" si="14"/>
        <v>375</v>
      </c>
      <c r="D170">
        <f t="shared" si="15"/>
        <v>2480</v>
      </c>
      <c r="E170">
        <f t="shared" si="16"/>
        <v>13</v>
      </c>
      <c r="F170">
        <f t="shared" si="17"/>
        <v>2</v>
      </c>
      <c r="G170">
        <f t="shared" si="18"/>
        <v>4</v>
      </c>
      <c r="H170">
        <f t="shared" si="19"/>
        <v>4</v>
      </c>
      <c r="I170" s="9" t="str">
        <f t="shared" si="20"/>
        <v>244</v>
      </c>
      <c r="Q170" s="1">
        <v>0.97613885383115739</v>
      </c>
      <c r="R170" s="1">
        <v>0.25610535015261748</v>
      </c>
    </row>
    <row r="171" spans="1:18" x14ac:dyDescent="0.35">
      <c r="A171" t="s">
        <v>1183</v>
      </c>
      <c r="B171" s="2">
        <v>45383</v>
      </c>
      <c r="C171">
        <f t="shared" si="14"/>
        <v>455</v>
      </c>
      <c r="D171">
        <f t="shared" si="15"/>
        <v>2450</v>
      </c>
      <c r="E171">
        <f t="shared" si="16"/>
        <v>13</v>
      </c>
      <c r="F171">
        <f t="shared" si="17"/>
        <v>1</v>
      </c>
      <c r="G171">
        <f t="shared" si="18"/>
        <v>4</v>
      </c>
      <c r="H171">
        <f t="shared" si="19"/>
        <v>4</v>
      </c>
      <c r="I171" s="9" t="str">
        <f t="shared" si="20"/>
        <v>144</v>
      </c>
      <c r="Q171" s="1">
        <v>0.65487931678966549</v>
      </c>
      <c r="R171" s="1">
        <v>0.56224841608981924</v>
      </c>
    </row>
    <row r="172" spans="1:18" x14ac:dyDescent="0.35">
      <c r="A172" t="s">
        <v>1184</v>
      </c>
      <c r="B172" s="2">
        <v>45691</v>
      </c>
      <c r="C172">
        <f t="shared" si="14"/>
        <v>147</v>
      </c>
      <c r="D172">
        <f t="shared" si="15"/>
        <v>1300</v>
      </c>
      <c r="E172">
        <f t="shared" si="16"/>
        <v>7</v>
      </c>
      <c r="F172">
        <f t="shared" si="17"/>
        <v>5</v>
      </c>
      <c r="G172">
        <f t="shared" si="18"/>
        <v>1</v>
      </c>
      <c r="H172">
        <f t="shared" si="19"/>
        <v>1</v>
      </c>
      <c r="I172" s="9" t="str">
        <f t="shared" si="20"/>
        <v>511</v>
      </c>
      <c r="Q172" s="1">
        <v>0.10214731731345128</v>
      </c>
      <c r="R172" s="1">
        <v>0.53405983003705948</v>
      </c>
    </row>
    <row r="173" spans="1:18" x14ac:dyDescent="0.35">
      <c r="A173" t="s">
        <v>1185</v>
      </c>
      <c r="B173" s="2">
        <v>45495</v>
      </c>
      <c r="C173">
        <f t="shared" si="14"/>
        <v>343</v>
      </c>
      <c r="D173">
        <f t="shared" si="15"/>
        <v>2242</v>
      </c>
      <c r="E173">
        <f t="shared" si="16"/>
        <v>12</v>
      </c>
      <c r="F173">
        <f t="shared" si="17"/>
        <v>2</v>
      </c>
      <c r="G173">
        <f t="shared" si="18"/>
        <v>4</v>
      </c>
      <c r="H173">
        <f t="shared" si="19"/>
        <v>4</v>
      </c>
      <c r="I173" s="9" t="str">
        <f t="shared" si="20"/>
        <v>244</v>
      </c>
      <c r="Q173" s="1">
        <v>0.63734863242221818</v>
      </c>
      <c r="R173" s="1">
        <v>0.47498221420611164</v>
      </c>
    </row>
    <row r="174" spans="1:18" x14ac:dyDescent="0.35">
      <c r="A174" t="s">
        <v>1186</v>
      </c>
      <c r="B174" s="2">
        <v>45508</v>
      </c>
      <c r="C174">
        <f t="shared" si="14"/>
        <v>330</v>
      </c>
      <c r="D174">
        <f t="shared" si="15"/>
        <v>1853</v>
      </c>
      <c r="E174">
        <f t="shared" si="16"/>
        <v>10</v>
      </c>
      <c r="F174">
        <f t="shared" si="17"/>
        <v>2</v>
      </c>
      <c r="G174">
        <f t="shared" si="18"/>
        <v>2</v>
      </c>
      <c r="H174">
        <f t="shared" si="19"/>
        <v>2</v>
      </c>
      <c r="I174" s="9" t="str">
        <f t="shared" si="20"/>
        <v>222</v>
      </c>
      <c r="Q174" s="1">
        <v>0.40424544498209369</v>
      </c>
      <c r="R174" s="1">
        <v>0.51138463390610756</v>
      </c>
    </row>
    <row r="175" spans="1:18" x14ac:dyDescent="0.35">
      <c r="A175" t="s">
        <v>1187</v>
      </c>
      <c r="B175" s="2">
        <v>45708</v>
      </c>
      <c r="C175">
        <f t="shared" si="14"/>
        <v>130</v>
      </c>
      <c r="D175">
        <f t="shared" si="15"/>
        <v>2850</v>
      </c>
      <c r="E175">
        <f t="shared" si="16"/>
        <v>14</v>
      </c>
      <c r="F175">
        <f t="shared" si="17"/>
        <v>5</v>
      </c>
      <c r="G175">
        <f t="shared" si="18"/>
        <v>5</v>
      </c>
      <c r="H175">
        <f t="shared" si="19"/>
        <v>5</v>
      </c>
      <c r="I175" s="9" t="str">
        <f t="shared" si="20"/>
        <v>555</v>
      </c>
      <c r="Q175" s="1">
        <v>0.69914203782970519</v>
      </c>
      <c r="R175" s="1">
        <v>0.72024265126640286</v>
      </c>
    </row>
    <row r="176" spans="1:18" x14ac:dyDescent="0.35">
      <c r="A176" t="s">
        <v>1188</v>
      </c>
      <c r="B176" s="2">
        <v>45656</v>
      </c>
      <c r="C176">
        <f t="shared" si="14"/>
        <v>182</v>
      </c>
      <c r="D176">
        <f t="shared" si="15"/>
        <v>2806</v>
      </c>
      <c r="E176">
        <f t="shared" si="16"/>
        <v>14</v>
      </c>
      <c r="F176">
        <f t="shared" si="17"/>
        <v>4</v>
      </c>
      <c r="G176">
        <f t="shared" si="18"/>
        <v>5</v>
      </c>
      <c r="H176">
        <f t="shared" si="19"/>
        <v>5</v>
      </c>
      <c r="I176" s="9" t="str">
        <f t="shared" si="20"/>
        <v>455</v>
      </c>
      <c r="Q176" s="1">
        <v>0.66031763166366642</v>
      </c>
      <c r="R176" s="1">
        <v>0.73669060089893446</v>
      </c>
    </row>
    <row r="177" spans="1:18" x14ac:dyDescent="0.35">
      <c r="A177" t="s">
        <v>1189</v>
      </c>
      <c r="B177" s="2">
        <v>45450</v>
      </c>
      <c r="C177">
        <f t="shared" si="14"/>
        <v>388</v>
      </c>
      <c r="D177">
        <f t="shared" si="15"/>
        <v>1496</v>
      </c>
      <c r="E177">
        <f t="shared" si="16"/>
        <v>8</v>
      </c>
      <c r="F177">
        <f t="shared" si="17"/>
        <v>2</v>
      </c>
      <c r="G177">
        <f t="shared" si="18"/>
        <v>1</v>
      </c>
      <c r="H177">
        <f t="shared" si="19"/>
        <v>2</v>
      </c>
      <c r="I177" s="9" t="str">
        <f t="shared" si="20"/>
        <v>212</v>
      </c>
      <c r="Q177" s="1">
        <v>2.3652854502130838E-3</v>
      </c>
      <c r="R177" s="1">
        <v>0.73319135161555449</v>
      </c>
    </row>
    <row r="178" spans="1:18" x14ac:dyDescent="0.35">
      <c r="A178" t="s">
        <v>1190</v>
      </c>
      <c r="B178" s="2">
        <v>45546</v>
      </c>
      <c r="C178">
        <f t="shared" si="14"/>
        <v>292</v>
      </c>
      <c r="D178">
        <f t="shared" si="15"/>
        <v>1539</v>
      </c>
      <c r="E178">
        <f t="shared" si="16"/>
        <v>8</v>
      </c>
      <c r="F178">
        <f t="shared" si="17"/>
        <v>2</v>
      </c>
      <c r="G178">
        <f t="shared" si="18"/>
        <v>1</v>
      </c>
      <c r="H178">
        <f t="shared" si="19"/>
        <v>2</v>
      </c>
      <c r="I178" s="9" t="str">
        <f t="shared" si="20"/>
        <v>212</v>
      </c>
      <c r="Q178" s="1">
        <v>0.49872407668401797</v>
      </c>
      <c r="R178" s="1">
        <v>0.25851816983784048</v>
      </c>
    </row>
    <row r="179" spans="1:18" x14ac:dyDescent="0.35">
      <c r="A179" t="s">
        <v>1191</v>
      </c>
      <c r="B179" s="2">
        <v>45836</v>
      </c>
      <c r="C179">
        <f t="shared" si="14"/>
        <v>2</v>
      </c>
      <c r="D179">
        <f t="shared" si="15"/>
        <v>2043</v>
      </c>
      <c r="E179">
        <f t="shared" si="16"/>
        <v>11</v>
      </c>
      <c r="F179">
        <f t="shared" si="17"/>
        <v>5</v>
      </c>
      <c r="G179">
        <f t="shared" si="18"/>
        <v>3</v>
      </c>
      <c r="H179">
        <f t="shared" si="19"/>
        <v>3</v>
      </c>
      <c r="I179" s="9" t="str">
        <f t="shared" si="20"/>
        <v>533</v>
      </c>
      <c r="Q179" s="1">
        <v>0.72852132204761511</v>
      </c>
      <c r="R179" s="1">
        <v>0.28331231562308157</v>
      </c>
    </row>
    <row r="180" spans="1:18" x14ac:dyDescent="0.35">
      <c r="A180" t="s">
        <v>1192</v>
      </c>
      <c r="B180" s="2">
        <v>45718</v>
      </c>
      <c r="C180">
        <f t="shared" si="14"/>
        <v>120</v>
      </c>
      <c r="D180">
        <f t="shared" si="15"/>
        <v>314</v>
      </c>
      <c r="E180">
        <f t="shared" si="16"/>
        <v>2</v>
      </c>
      <c r="F180">
        <f t="shared" si="17"/>
        <v>5</v>
      </c>
      <c r="G180">
        <f t="shared" si="18"/>
        <v>1</v>
      </c>
      <c r="H180">
        <f t="shared" si="19"/>
        <v>1</v>
      </c>
      <c r="I180" s="9" t="str">
        <f t="shared" si="20"/>
        <v>511</v>
      </c>
      <c r="Q180" s="1">
        <v>0.13267023438861292</v>
      </c>
      <c r="R180" s="1">
        <v>5.780719045888727E-3</v>
      </c>
    </row>
    <row r="181" spans="1:18" x14ac:dyDescent="0.35">
      <c r="A181" t="s">
        <v>1193</v>
      </c>
      <c r="B181" s="2">
        <v>45767</v>
      </c>
      <c r="C181">
        <f t="shared" si="14"/>
        <v>71</v>
      </c>
      <c r="D181">
        <f t="shared" si="15"/>
        <v>372</v>
      </c>
      <c r="E181">
        <f t="shared" si="16"/>
        <v>3</v>
      </c>
      <c r="F181">
        <f t="shared" si="17"/>
        <v>5</v>
      </c>
      <c r="G181">
        <f t="shared" si="18"/>
        <v>1</v>
      </c>
      <c r="H181">
        <f t="shared" si="19"/>
        <v>1</v>
      </c>
      <c r="I181" s="9" t="str">
        <f t="shared" si="20"/>
        <v>511</v>
      </c>
      <c r="Q181" s="1">
        <v>6.8419401928826118E-2</v>
      </c>
      <c r="R181" s="1">
        <v>9.9153290098264901E-2</v>
      </c>
    </row>
    <row r="182" spans="1:18" x14ac:dyDescent="0.35">
      <c r="A182" t="s">
        <v>1194</v>
      </c>
      <c r="B182" s="2">
        <v>45554</v>
      </c>
      <c r="C182">
        <f t="shared" si="14"/>
        <v>284</v>
      </c>
      <c r="D182">
        <f t="shared" si="15"/>
        <v>2270</v>
      </c>
      <c r="E182">
        <f t="shared" si="16"/>
        <v>12</v>
      </c>
      <c r="F182">
        <f t="shared" si="17"/>
        <v>2</v>
      </c>
      <c r="G182">
        <f t="shared" si="18"/>
        <v>4</v>
      </c>
      <c r="H182">
        <f t="shared" si="19"/>
        <v>4</v>
      </c>
      <c r="I182" s="9" t="str">
        <f t="shared" si="20"/>
        <v>244</v>
      </c>
      <c r="Q182" s="1">
        <v>0.13785498926740192</v>
      </c>
      <c r="R182" s="1">
        <v>0.98824171644035796</v>
      </c>
    </row>
    <row r="183" spans="1:18" x14ac:dyDescent="0.35">
      <c r="A183" t="s">
        <v>1195</v>
      </c>
      <c r="B183" s="2">
        <v>45414</v>
      </c>
      <c r="C183">
        <f t="shared" si="14"/>
        <v>424</v>
      </c>
      <c r="D183">
        <f t="shared" si="15"/>
        <v>1495</v>
      </c>
      <c r="E183">
        <f t="shared" si="16"/>
        <v>8</v>
      </c>
      <c r="F183">
        <f t="shared" si="17"/>
        <v>1</v>
      </c>
      <c r="G183">
        <f t="shared" si="18"/>
        <v>1</v>
      </c>
      <c r="H183">
        <f t="shared" si="19"/>
        <v>2</v>
      </c>
      <c r="I183" s="9" t="str">
        <f t="shared" si="20"/>
        <v>112</v>
      </c>
      <c r="Q183" s="1">
        <v>0.62707810952868537</v>
      </c>
      <c r="R183" s="1">
        <v>0.10781530119555893</v>
      </c>
    </row>
    <row r="184" spans="1:18" x14ac:dyDescent="0.35">
      <c r="A184" t="s">
        <v>1196</v>
      </c>
      <c r="B184" s="2">
        <v>45557</v>
      </c>
      <c r="C184">
        <f t="shared" si="14"/>
        <v>281</v>
      </c>
      <c r="D184">
        <f t="shared" si="15"/>
        <v>372</v>
      </c>
      <c r="E184">
        <f t="shared" si="16"/>
        <v>3</v>
      </c>
      <c r="F184">
        <f t="shared" si="17"/>
        <v>2</v>
      </c>
      <c r="G184">
        <f t="shared" si="18"/>
        <v>1</v>
      </c>
      <c r="H184">
        <f t="shared" si="19"/>
        <v>1</v>
      </c>
      <c r="I184" s="9" t="str">
        <f t="shared" si="20"/>
        <v>211</v>
      </c>
      <c r="Q184" s="1">
        <v>0.13331322710050653</v>
      </c>
      <c r="R184" s="1">
        <v>3.4306294470352827E-2</v>
      </c>
    </row>
    <row r="185" spans="1:18" x14ac:dyDescent="0.35">
      <c r="A185" t="s">
        <v>1197</v>
      </c>
      <c r="B185" s="2">
        <v>45658</v>
      </c>
      <c r="C185">
        <f t="shared" si="14"/>
        <v>180</v>
      </c>
      <c r="D185">
        <f t="shared" si="15"/>
        <v>665</v>
      </c>
      <c r="E185">
        <f t="shared" si="16"/>
        <v>4</v>
      </c>
      <c r="F185">
        <f t="shared" si="17"/>
        <v>4</v>
      </c>
      <c r="G185">
        <f t="shared" si="18"/>
        <v>1</v>
      </c>
      <c r="H185">
        <f t="shared" si="19"/>
        <v>1</v>
      </c>
      <c r="I185" s="9" t="str">
        <f t="shared" si="20"/>
        <v>411</v>
      </c>
      <c r="Q185" s="1">
        <v>0.27794907158751714</v>
      </c>
      <c r="R185" s="1">
        <v>3.7473906719588168E-2</v>
      </c>
    </row>
    <row r="186" spans="1:18" x14ac:dyDescent="0.35">
      <c r="A186" t="s">
        <v>1198</v>
      </c>
      <c r="B186" s="2">
        <v>45831</v>
      </c>
      <c r="C186">
        <f t="shared" si="14"/>
        <v>7</v>
      </c>
      <c r="D186">
        <f t="shared" si="15"/>
        <v>2149</v>
      </c>
      <c r="E186">
        <f t="shared" si="16"/>
        <v>11</v>
      </c>
      <c r="F186">
        <f t="shared" si="17"/>
        <v>5</v>
      </c>
      <c r="G186">
        <f t="shared" si="18"/>
        <v>3</v>
      </c>
      <c r="H186">
        <f t="shared" si="19"/>
        <v>4</v>
      </c>
      <c r="I186" s="9" t="str">
        <f t="shared" si="20"/>
        <v>534</v>
      </c>
      <c r="Q186" s="1">
        <v>0.98728455806200888</v>
      </c>
      <c r="R186" s="1">
        <v>7.807766848679587E-2</v>
      </c>
    </row>
    <row r="187" spans="1:18" x14ac:dyDescent="0.35">
      <c r="A187" t="s">
        <v>1199</v>
      </c>
      <c r="B187" s="2">
        <v>45392</v>
      </c>
      <c r="C187">
        <f t="shared" si="14"/>
        <v>446</v>
      </c>
      <c r="D187">
        <f t="shared" si="15"/>
        <v>3064</v>
      </c>
      <c r="E187">
        <f t="shared" si="16"/>
        <v>16</v>
      </c>
      <c r="F187">
        <f t="shared" si="17"/>
        <v>1</v>
      </c>
      <c r="G187">
        <f t="shared" si="18"/>
        <v>5</v>
      </c>
      <c r="H187">
        <f t="shared" si="19"/>
        <v>5</v>
      </c>
      <c r="I187" s="9" t="str">
        <f t="shared" si="20"/>
        <v>155</v>
      </c>
      <c r="Q187" s="1">
        <v>0.76217000707738758</v>
      </c>
      <c r="R187" s="1">
        <v>0.76530624967798333</v>
      </c>
    </row>
    <row r="188" spans="1:18" x14ac:dyDescent="0.35">
      <c r="A188" t="s">
        <v>1200</v>
      </c>
      <c r="B188" s="2">
        <v>45462</v>
      </c>
      <c r="C188">
        <f t="shared" si="14"/>
        <v>376</v>
      </c>
      <c r="D188">
        <f t="shared" si="15"/>
        <v>2455</v>
      </c>
      <c r="E188">
        <f t="shared" si="16"/>
        <v>13</v>
      </c>
      <c r="F188">
        <f t="shared" si="17"/>
        <v>2</v>
      </c>
      <c r="G188">
        <f t="shared" si="18"/>
        <v>4</v>
      </c>
      <c r="H188">
        <f t="shared" si="19"/>
        <v>4</v>
      </c>
      <c r="I188" s="9" t="str">
        <f t="shared" si="20"/>
        <v>244</v>
      </c>
      <c r="Q188" s="1">
        <v>0.37079241232697357</v>
      </c>
      <c r="R188" s="1">
        <v>0.84894016514807946</v>
      </c>
    </row>
    <row r="189" spans="1:18" x14ac:dyDescent="0.35">
      <c r="A189" t="s">
        <v>1201</v>
      </c>
      <c r="B189" s="2">
        <v>45492</v>
      </c>
      <c r="C189">
        <f t="shared" si="14"/>
        <v>346</v>
      </c>
      <c r="D189">
        <f t="shared" si="15"/>
        <v>2765</v>
      </c>
      <c r="E189">
        <f t="shared" si="16"/>
        <v>14</v>
      </c>
      <c r="F189">
        <f t="shared" si="17"/>
        <v>2</v>
      </c>
      <c r="G189">
        <f t="shared" si="18"/>
        <v>5</v>
      </c>
      <c r="H189">
        <f t="shared" si="19"/>
        <v>5</v>
      </c>
      <c r="I189" s="9" t="str">
        <f t="shared" si="20"/>
        <v>255</v>
      </c>
      <c r="Q189" s="1">
        <v>0.38432385248375878</v>
      </c>
      <c r="R189" s="1">
        <v>0.9920930816664717</v>
      </c>
    </row>
    <row r="190" spans="1:18" x14ac:dyDescent="0.35">
      <c r="A190" t="s">
        <v>1202</v>
      </c>
      <c r="B190" s="2">
        <v>45369</v>
      </c>
      <c r="C190">
        <f t="shared" si="14"/>
        <v>469</v>
      </c>
      <c r="D190">
        <f t="shared" si="15"/>
        <v>1418</v>
      </c>
      <c r="E190">
        <f t="shared" si="16"/>
        <v>8</v>
      </c>
      <c r="F190">
        <f t="shared" si="17"/>
        <v>1</v>
      </c>
      <c r="G190">
        <f t="shared" si="18"/>
        <v>1</v>
      </c>
      <c r="H190">
        <f t="shared" si="19"/>
        <v>1</v>
      </c>
      <c r="I190" s="9" t="str">
        <f t="shared" si="20"/>
        <v>111</v>
      </c>
      <c r="Q190" s="1">
        <v>0.10262417237563626</v>
      </c>
      <c r="R190" s="1">
        <v>0.59321203927170019</v>
      </c>
    </row>
    <row r="191" spans="1:18" x14ac:dyDescent="0.35">
      <c r="A191" t="s">
        <v>1203</v>
      </c>
      <c r="B191" s="2">
        <v>45357</v>
      </c>
      <c r="C191">
        <f t="shared" si="14"/>
        <v>481</v>
      </c>
      <c r="D191">
        <f t="shared" si="15"/>
        <v>2853</v>
      </c>
      <c r="E191">
        <f t="shared" si="16"/>
        <v>14</v>
      </c>
      <c r="F191">
        <f t="shared" si="17"/>
        <v>1</v>
      </c>
      <c r="G191">
        <f t="shared" si="18"/>
        <v>5</v>
      </c>
      <c r="H191">
        <f t="shared" si="19"/>
        <v>5</v>
      </c>
      <c r="I191" s="9" t="str">
        <f t="shared" si="20"/>
        <v>155</v>
      </c>
      <c r="Q191" s="1">
        <v>0.92258262219916021</v>
      </c>
      <c r="R191" s="1">
        <v>0.49834668607451493</v>
      </c>
    </row>
    <row r="192" spans="1:18" x14ac:dyDescent="0.35">
      <c r="A192" t="s">
        <v>1204</v>
      </c>
      <c r="B192" s="2">
        <v>45589</v>
      </c>
      <c r="C192">
        <f t="shared" si="14"/>
        <v>249</v>
      </c>
      <c r="D192">
        <f t="shared" si="15"/>
        <v>2277</v>
      </c>
      <c r="E192">
        <f t="shared" si="16"/>
        <v>12</v>
      </c>
      <c r="F192">
        <f t="shared" si="17"/>
        <v>4</v>
      </c>
      <c r="G192">
        <f t="shared" si="18"/>
        <v>4</v>
      </c>
      <c r="H192">
        <f t="shared" si="19"/>
        <v>4</v>
      </c>
      <c r="I192" s="9" t="str">
        <f t="shared" si="20"/>
        <v>444</v>
      </c>
      <c r="Q192" s="1">
        <v>0.67637547229393091</v>
      </c>
      <c r="R192" s="1">
        <v>0.45354724321235318</v>
      </c>
    </row>
    <row r="193" spans="1:18" x14ac:dyDescent="0.35">
      <c r="A193" t="s">
        <v>1205</v>
      </c>
      <c r="B193" s="2">
        <v>45378</v>
      </c>
      <c r="C193">
        <f t="shared" si="14"/>
        <v>460</v>
      </c>
      <c r="D193">
        <f t="shared" si="15"/>
        <v>2182</v>
      </c>
      <c r="E193">
        <f t="shared" si="16"/>
        <v>11</v>
      </c>
      <c r="F193">
        <f t="shared" si="17"/>
        <v>1</v>
      </c>
      <c r="G193">
        <f t="shared" si="18"/>
        <v>3</v>
      </c>
      <c r="H193">
        <f t="shared" si="19"/>
        <v>4</v>
      </c>
      <c r="I193" s="9" t="str">
        <f t="shared" si="20"/>
        <v>134</v>
      </c>
      <c r="Q193" s="1">
        <v>0.23808602336124951</v>
      </c>
      <c r="R193" s="1">
        <v>0.84350101579747294</v>
      </c>
    </row>
    <row r="194" spans="1:18" x14ac:dyDescent="0.35">
      <c r="A194" t="s">
        <v>1206</v>
      </c>
      <c r="B194" s="2">
        <v>45339</v>
      </c>
      <c r="C194">
        <f t="shared" si="14"/>
        <v>499</v>
      </c>
      <c r="D194">
        <f t="shared" si="15"/>
        <v>1551</v>
      </c>
      <c r="E194">
        <f t="shared" si="16"/>
        <v>8</v>
      </c>
      <c r="F194">
        <f t="shared" si="17"/>
        <v>1</v>
      </c>
      <c r="G194">
        <f t="shared" si="18"/>
        <v>1</v>
      </c>
      <c r="H194">
        <f t="shared" si="19"/>
        <v>2</v>
      </c>
      <c r="I194" s="9" t="str">
        <f t="shared" si="20"/>
        <v>112</v>
      </c>
      <c r="Q194" s="1">
        <v>0.27577146994832036</v>
      </c>
      <c r="R194" s="1">
        <v>0.48753472979631718</v>
      </c>
    </row>
    <row r="195" spans="1:18" x14ac:dyDescent="0.35">
      <c r="A195" t="s">
        <v>1207</v>
      </c>
      <c r="B195" s="2">
        <v>45789</v>
      </c>
      <c r="C195">
        <f t="shared" ref="C195:C258" si="21">45838-B195</f>
        <v>49</v>
      </c>
      <c r="D195">
        <f t="shared" ref="D195:D258" si="22">ROUND((R195*0.5+0.5*Q195)*(4000-40)+40,0)</f>
        <v>1368</v>
      </c>
      <c r="E195">
        <f t="shared" ref="E195:E258" si="23">ROUND((R195*0.5+Q195*0.5)*(20-1)+1,0)</f>
        <v>7</v>
      </c>
      <c r="F195">
        <f t="shared" ref="F195:F258" si="24">IF(C195&lt;=$M$4,5,IF(C195&lt;=$M$5,4,IF(C195&lt;=$M$9,3,IF(C195&lt;=$M$6,2,1))))</f>
        <v>5</v>
      </c>
      <c r="G195">
        <f t="shared" ref="G195:G258" si="25">IF(E195&lt;=$M$14,1,IF(E195&lt;=$M$19,2,IF(E195&lt;=$M$15,3,IF(E195&lt;=$M$16,4,5))))</f>
        <v>1</v>
      </c>
      <c r="H195">
        <f t="shared" ref="H195:H258" si="26">IF(D195&lt;=$M$24,1,IF(D195&lt;=$M$29,2,IF(D195&lt;=$M$25,3,IF(D195&lt;=$M$26,4,5))))</f>
        <v>1</v>
      </c>
      <c r="I195" s="9" t="str">
        <f t="shared" ref="I195:I258" si="27">CONCATENATE(F195,G195,H195)</f>
        <v>511</v>
      </c>
      <c r="Q195" s="1">
        <v>0.47552691871798181</v>
      </c>
      <c r="R195" s="1">
        <v>0.19527825069568616</v>
      </c>
    </row>
    <row r="196" spans="1:18" x14ac:dyDescent="0.35">
      <c r="A196" t="s">
        <v>1208</v>
      </c>
      <c r="B196" s="2">
        <v>45370</v>
      </c>
      <c r="C196">
        <f t="shared" si="21"/>
        <v>468</v>
      </c>
      <c r="D196">
        <f t="shared" si="22"/>
        <v>1138</v>
      </c>
      <c r="E196">
        <f t="shared" si="23"/>
        <v>6</v>
      </c>
      <c r="F196">
        <f t="shared" si="24"/>
        <v>1</v>
      </c>
      <c r="G196">
        <f t="shared" si="25"/>
        <v>1</v>
      </c>
      <c r="H196">
        <f t="shared" si="26"/>
        <v>1</v>
      </c>
      <c r="I196" s="9" t="str">
        <f t="shared" si="27"/>
        <v>111</v>
      </c>
      <c r="Q196" s="1">
        <v>0.33082881410319875</v>
      </c>
      <c r="R196" s="1">
        <v>0.22358892281152076</v>
      </c>
    </row>
    <row r="197" spans="1:18" x14ac:dyDescent="0.35">
      <c r="A197" t="s">
        <v>1209</v>
      </c>
      <c r="B197" s="2">
        <v>45684</v>
      </c>
      <c r="C197">
        <f t="shared" si="21"/>
        <v>154</v>
      </c>
      <c r="D197">
        <f t="shared" si="22"/>
        <v>2781</v>
      </c>
      <c r="E197">
        <f t="shared" si="23"/>
        <v>14</v>
      </c>
      <c r="F197">
        <f t="shared" si="24"/>
        <v>4</v>
      </c>
      <c r="G197">
        <f t="shared" si="25"/>
        <v>5</v>
      </c>
      <c r="H197">
        <f t="shared" si="26"/>
        <v>5</v>
      </c>
      <c r="I197" s="9" t="str">
        <f t="shared" si="27"/>
        <v>455</v>
      </c>
      <c r="Q197" s="1">
        <v>0.51963907076224403</v>
      </c>
      <c r="R197" s="1">
        <v>0.86470520881597923</v>
      </c>
    </row>
    <row r="198" spans="1:18" x14ac:dyDescent="0.35">
      <c r="A198" t="s">
        <v>1210</v>
      </c>
      <c r="B198" s="2">
        <v>45522</v>
      </c>
      <c r="C198">
        <f t="shared" si="21"/>
        <v>316</v>
      </c>
      <c r="D198">
        <f t="shared" si="22"/>
        <v>1277</v>
      </c>
      <c r="E198">
        <f t="shared" si="23"/>
        <v>7</v>
      </c>
      <c r="F198">
        <f t="shared" si="24"/>
        <v>2</v>
      </c>
      <c r="G198">
        <f t="shared" si="25"/>
        <v>1</v>
      </c>
      <c r="H198">
        <f t="shared" si="26"/>
        <v>1</v>
      </c>
      <c r="I198" s="9" t="str">
        <f t="shared" si="27"/>
        <v>211</v>
      </c>
      <c r="Q198" s="1">
        <v>0.20066694312951894</v>
      </c>
      <c r="R198" s="1">
        <v>0.42420905855102009</v>
      </c>
    </row>
    <row r="199" spans="1:18" x14ac:dyDescent="0.35">
      <c r="A199" t="s">
        <v>1211</v>
      </c>
      <c r="B199" s="2">
        <v>45510</v>
      </c>
      <c r="C199">
        <f t="shared" si="21"/>
        <v>328</v>
      </c>
      <c r="D199">
        <f t="shared" si="22"/>
        <v>1731</v>
      </c>
      <c r="E199">
        <f t="shared" si="23"/>
        <v>9</v>
      </c>
      <c r="F199">
        <f t="shared" si="24"/>
        <v>2</v>
      </c>
      <c r="G199">
        <f t="shared" si="25"/>
        <v>2</v>
      </c>
      <c r="H199">
        <f t="shared" si="26"/>
        <v>2</v>
      </c>
      <c r="I199" s="9" t="str">
        <f t="shared" si="27"/>
        <v>222</v>
      </c>
      <c r="Q199" s="1">
        <v>0.64712351982014027</v>
      </c>
      <c r="R199" s="1">
        <v>0.20684589469515557</v>
      </c>
    </row>
    <row r="200" spans="1:18" x14ac:dyDescent="0.35">
      <c r="A200" t="s">
        <v>1212</v>
      </c>
      <c r="B200" s="2">
        <v>45607</v>
      </c>
      <c r="C200">
        <f t="shared" si="21"/>
        <v>231</v>
      </c>
      <c r="D200">
        <f t="shared" si="22"/>
        <v>1687</v>
      </c>
      <c r="E200">
        <f t="shared" si="23"/>
        <v>9</v>
      </c>
      <c r="F200">
        <f t="shared" si="24"/>
        <v>4</v>
      </c>
      <c r="G200">
        <f t="shared" si="25"/>
        <v>2</v>
      </c>
      <c r="H200">
        <f t="shared" si="26"/>
        <v>2</v>
      </c>
      <c r="I200" s="9" t="str">
        <f t="shared" si="27"/>
        <v>422</v>
      </c>
      <c r="Q200" s="1">
        <v>0.79940156926395201</v>
      </c>
      <c r="R200" s="1">
        <v>3.2171879678863369E-2</v>
      </c>
    </row>
    <row r="201" spans="1:18" x14ac:dyDescent="0.35">
      <c r="A201" t="s">
        <v>1213</v>
      </c>
      <c r="B201" s="2">
        <v>45820</v>
      </c>
      <c r="C201">
        <f t="shared" si="21"/>
        <v>18</v>
      </c>
      <c r="D201">
        <f t="shared" si="22"/>
        <v>2283</v>
      </c>
      <c r="E201">
        <f t="shared" si="23"/>
        <v>12</v>
      </c>
      <c r="F201">
        <f t="shared" si="24"/>
        <v>5</v>
      </c>
      <c r="G201">
        <f t="shared" si="25"/>
        <v>4</v>
      </c>
      <c r="H201">
        <f t="shared" si="26"/>
        <v>4</v>
      </c>
      <c r="I201" s="9" t="str">
        <f t="shared" si="27"/>
        <v>544</v>
      </c>
      <c r="Q201" s="1">
        <v>0.34037589661576273</v>
      </c>
      <c r="R201" s="1">
        <v>0.7926494985632222</v>
      </c>
    </row>
    <row r="202" spans="1:18" x14ac:dyDescent="0.35">
      <c r="A202" t="s">
        <v>1214</v>
      </c>
      <c r="B202" s="2">
        <v>45400</v>
      </c>
      <c r="C202">
        <f t="shared" si="21"/>
        <v>438</v>
      </c>
      <c r="D202">
        <f t="shared" si="22"/>
        <v>1221</v>
      </c>
      <c r="E202">
        <f t="shared" si="23"/>
        <v>7</v>
      </c>
      <c r="F202">
        <f t="shared" si="24"/>
        <v>1</v>
      </c>
      <c r="G202">
        <f t="shared" si="25"/>
        <v>1</v>
      </c>
      <c r="H202">
        <f t="shared" si="26"/>
        <v>1</v>
      </c>
      <c r="I202" s="9" t="str">
        <f t="shared" si="27"/>
        <v>111</v>
      </c>
      <c r="Q202" s="1">
        <v>0.29098630573696516</v>
      </c>
      <c r="R202" s="1">
        <v>0.30536739304479088</v>
      </c>
    </row>
    <row r="203" spans="1:18" x14ac:dyDescent="0.35">
      <c r="A203" t="s">
        <v>1215</v>
      </c>
      <c r="B203" s="2">
        <v>45711</v>
      </c>
      <c r="C203">
        <f t="shared" si="21"/>
        <v>127</v>
      </c>
      <c r="D203">
        <f t="shared" si="22"/>
        <v>1272</v>
      </c>
      <c r="E203">
        <f t="shared" si="23"/>
        <v>7</v>
      </c>
      <c r="F203">
        <f t="shared" si="24"/>
        <v>5</v>
      </c>
      <c r="G203">
        <f t="shared" si="25"/>
        <v>1</v>
      </c>
      <c r="H203">
        <f t="shared" si="26"/>
        <v>1</v>
      </c>
      <c r="I203" s="9" t="str">
        <f t="shared" si="27"/>
        <v>511</v>
      </c>
      <c r="Q203" s="1">
        <v>0.55877039436248577</v>
      </c>
      <c r="R203" s="1">
        <v>6.3317062216846742E-2</v>
      </c>
    </row>
    <row r="204" spans="1:18" x14ac:dyDescent="0.35">
      <c r="A204" t="s">
        <v>1216</v>
      </c>
      <c r="B204" s="2">
        <v>45403</v>
      </c>
      <c r="C204">
        <f t="shared" si="21"/>
        <v>435</v>
      </c>
      <c r="D204">
        <f t="shared" si="22"/>
        <v>2192</v>
      </c>
      <c r="E204">
        <f t="shared" si="23"/>
        <v>11</v>
      </c>
      <c r="F204">
        <f t="shared" si="24"/>
        <v>1</v>
      </c>
      <c r="G204">
        <f t="shared" si="25"/>
        <v>3</v>
      </c>
      <c r="H204">
        <f t="shared" si="26"/>
        <v>4</v>
      </c>
      <c r="I204" s="9" t="str">
        <f t="shared" si="27"/>
        <v>134</v>
      </c>
      <c r="Q204" s="1">
        <v>0.11840446278863281</v>
      </c>
      <c r="R204" s="1">
        <v>0.96828123249137399</v>
      </c>
    </row>
    <row r="205" spans="1:18" x14ac:dyDescent="0.35">
      <c r="A205" t="s">
        <v>1217</v>
      </c>
      <c r="B205" s="2">
        <v>45452</v>
      </c>
      <c r="C205">
        <f t="shared" si="21"/>
        <v>386</v>
      </c>
      <c r="D205">
        <f t="shared" si="22"/>
        <v>2081</v>
      </c>
      <c r="E205">
        <f t="shared" si="23"/>
        <v>11</v>
      </c>
      <c r="F205">
        <f t="shared" si="24"/>
        <v>2</v>
      </c>
      <c r="G205">
        <f t="shared" si="25"/>
        <v>3</v>
      </c>
      <c r="H205">
        <f t="shared" si="26"/>
        <v>4</v>
      </c>
      <c r="I205" s="9" t="str">
        <f t="shared" si="27"/>
        <v>234</v>
      </c>
      <c r="Q205" s="1">
        <v>0.52539997440231223</v>
      </c>
      <c r="R205" s="1">
        <v>0.50518894177078877</v>
      </c>
    </row>
    <row r="206" spans="1:18" x14ac:dyDescent="0.35">
      <c r="A206" t="s">
        <v>1218</v>
      </c>
      <c r="B206" s="2">
        <v>45484</v>
      </c>
      <c r="C206">
        <f t="shared" si="21"/>
        <v>354</v>
      </c>
      <c r="D206">
        <f t="shared" si="22"/>
        <v>2694</v>
      </c>
      <c r="E206">
        <f t="shared" si="23"/>
        <v>14</v>
      </c>
      <c r="F206">
        <f t="shared" si="24"/>
        <v>2</v>
      </c>
      <c r="G206">
        <f t="shared" si="25"/>
        <v>5</v>
      </c>
      <c r="H206">
        <f t="shared" si="26"/>
        <v>5</v>
      </c>
      <c r="I206" s="9" t="str">
        <f t="shared" si="27"/>
        <v>255</v>
      </c>
      <c r="Q206" s="1">
        <v>0.74051151919717328</v>
      </c>
      <c r="R206" s="1">
        <v>0.60005514511914204</v>
      </c>
    </row>
    <row r="207" spans="1:18" x14ac:dyDescent="0.35">
      <c r="A207" t="s">
        <v>1219</v>
      </c>
      <c r="B207" s="2">
        <v>45679</v>
      </c>
      <c r="C207">
        <f t="shared" si="21"/>
        <v>159</v>
      </c>
      <c r="D207">
        <f t="shared" si="22"/>
        <v>1998</v>
      </c>
      <c r="E207">
        <f t="shared" si="23"/>
        <v>10</v>
      </c>
      <c r="F207">
        <f t="shared" si="24"/>
        <v>4</v>
      </c>
      <c r="G207">
        <f t="shared" si="25"/>
        <v>2</v>
      </c>
      <c r="H207">
        <f t="shared" si="26"/>
        <v>2</v>
      </c>
      <c r="I207" s="9" t="str">
        <f t="shared" si="27"/>
        <v>422</v>
      </c>
      <c r="Q207" s="1">
        <v>0.48064977314884494</v>
      </c>
      <c r="R207" s="1">
        <v>0.50810474992813592</v>
      </c>
    </row>
    <row r="208" spans="1:18" x14ac:dyDescent="0.35">
      <c r="A208" t="s">
        <v>1220</v>
      </c>
      <c r="B208" s="2">
        <v>45446</v>
      </c>
      <c r="C208">
        <f t="shared" si="21"/>
        <v>392</v>
      </c>
      <c r="D208">
        <f t="shared" si="22"/>
        <v>1621</v>
      </c>
      <c r="E208">
        <f t="shared" si="23"/>
        <v>9</v>
      </c>
      <c r="F208">
        <f t="shared" si="24"/>
        <v>2</v>
      </c>
      <c r="G208">
        <f t="shared" si="25"/>
        <v>2</v>
      </c>
      <c r="H208">
        <f t="shared" si="26"/>
        <v>2</v>
      </c>
      <c r="I208" s="9" t="str">
        <f t="shared" si="27"/>
        <v>222</v>
      </c>
      <c r="Q208" s="1">
        <v>0.52252513391492317</v>
      </c>
      <c r="R208" s="1">
        <v>0.2757196839693542</v>
      </c>
    </row>
    <row r="209" spans="1:18" x14ac:dyDescent="0.35">
      <c r="A209" t="s">
        <v>1221</v>
      </c>
      <c r="B209" s="2">
        <v>45368</v>
      </c>
      <c r="C209">
        <f t="shared" si="21"/>
        <v>470</v>
      </c>
      <c r="D209">
        <f t="shared" si="22"/>
        <v>3467</v>
      </c>
      <c r="E209">
        <f t="shared" si="23"/>
        <v>17</v>
      </c>
      <c r="F209">
        <f t="shared" si="24"/>
        <v>1</v>
      </c>
      <c r="G209">
        <f t="shared" si="25"/>
        <v>5</v>
      </c>
      <c r="H209">
        <f t="shared" si="26"/>
        <v>5</v>
      </c>
      <c r="I209" s="9" t="str">
        <f t="shared" si="27"/>
        <v>155</v>
      </c>
      <c r="Q209" s="1">
        <v>0.90519799019818237</v>
      </c>
      <c r="R209" s="1">
        <v>0.82562372989523702</v>
      </c>
    </row>
    <row r="210" spans="1:18" x14ac:dyDescent="0.35">
      <c r="A210" t="s">
        <v>1222</v>
      </c>
      <c r="B210" s="2">
        <v>45766</v>
      </c>
      <c r="C210">
        <f t="shared" si="21"/>
        <v>72</v>
      </c>
      <c r="D210">
        <f t="shared" si="22"/>
        <v>2740</v>
      </c>
      <c r="E210">
        <f t="shared" si="23"/>
        <v>14</v>
      </c>
      <c r="F210">
        <f t="shared" si="24"/>
        <v>5</v>
      </c>
      <c r="G210">
        <f t="shared" si="25"/>
        <v>5</v>
      </c>
      <c r="H210">
        <f t="shared" si="26"/>
        <v>5</v>
      </c>
      <c r="I210" s="9" t="str">
        <f t="shared" si="27"/>
        <v>555</v>
      </c>
      <c r="Q210" s="1">
        <v>0.95049031505464976</v>
      </c>
      <c r="R210" s="1">
        <v>0.41318625751526306</v>
      </c>
    </row>
    <row r="211" spans="1:18" x14ac:dyDescent="0.35">
      <c r="A211" t="s">
        <v>1223</v>
      </c>
      <c r="B211" s="2">
        <v>45564</v>
      </c>
      <c r="C211">
        <f t="shared" si="21"/>
        <v>274</v>
      </c>
      <c r="D211">
        <f t="shared" si="22"/>
        <v>3074</v>
      </c>
      <c r="E211">
        <f t="shared" si="23"/>
        <v>16</v>
      </c>
      <c r="F211">
        <f t="shared" si="24"/>
        <v>2</v>
      </c>
      <c r="G211">
        <f t="shared" si="25"/>
        <v>5</v>
      </c>
      <c r="H211">
        <f t="shared" si="26"/>
        <v>5</v>
      </c>
      <c r="I211" s="9" t="str">
        <f t="shared" si="27"/>
        <v>255</v>
      </c>
      <c r="Q211" s="1">
        <v>0.81017918953671819</v>
      </c>
      <c r="R211" s="1">
        <v>0.72203002587335718</v>
      </c>
    </row>
    <row r="212" spans="1:18" x14ac:dyDescent="0.35">
      <c r="A212" t="s">
        <v>1224</v>
      </c>
      <c r="B212" s="2">
        <v>45771</v>
      </c>
      <c r="C212">
        <f t="shared" si="21"/>
        <v>67</v>
      </c>
      <c r="D212">
        <f t="shared" si="22"/>
        <v>1048</v>
      </c>
      <c r="E212">
        <f t="shared" si="23"/>
        <v>6</v>
      </c>
      <c r="F212">
        <f t="shared" si="24"/>
        <v>5</v>
      </c>
      <c r="G212">
        <f t="shared" si="25"/>
        <v>1</v>
      </c>
      <c r="H212">
        <f t="shared" si="26"/>
        <v>1</v>
      </c>
      <c r="I212" s="9" t="str">
        <f t="shared" si="27"/>
        <v>511</v>
      </c>
      <c r="Q212" s="1">
        <v>0.38570238434976012</v>
      </c>
      <c r="R212" s="1">
        <v>0.12352139829623787</v>
      </c>
    </row>
    <row r="213" spans="1:18" x14ac:dyDescent="0.35">
      <c r="A213" t="s">
        <v>1225</v>
      </c>
      <c r="B213" s="2">
        <v>45503</v>
      </c>
      <c r="C213">
        <f t="shared" si="21"/>
        <v>335</v>
      </c>
      <c r="D213">
        <f t="shared" si="22"/>
        <v>3080</v>
      </c>
      <c r="E213">
        <f t="shared" si="23"/>
        <v>16</v>
      </c>
      <c r="F213">
        <f t="shared" si="24"/>
        <v>2</v>
      </c>
      <c r="G213">
        <f t="shared" si="25"/>
        <v>5</v>
      </c>
      <c r="H213">
        <f t="shared" si="26"/>
        <v>5</v>
      </c>
      <c r="I213" s="9" t="str">
        <f t="shared" si="27"/>
        <v>255</v>
      </c>
      <c r="Q213" s="1">
        <v>0.60573590458290438</v>
      </c>
      <c r="R213" s="1">
        <v>0.92953872145878758</v>
      </c>
    </row>
    <row r="214" spans="1:18" x14ac:dyDescent="0.35">
      <c r="A214" t="s">
        <v>1226</v>
      </c>
      <c r="B214" s="2">
        <v>45565</v>
      </c>
      <c r="C214">
        <f t="shared" si="21"/>
        <v>273</v>
      </c>
      <c r="D214">
        <f t="shared" si="22"/>
        <v>1546</v>
      </c>
      <c r="E214">
        <f t="shared" si="23"/>
        <v>8</v>
      </c>
      <c r="F214">
        <f t="shared" si="24"/>
        <v>2</v>
      </c>
      <c r="G214">
        <f t="shared" si="25"/>
        <v>1</v>
      </c>
      <c r="H214">
        <f t="shared" si="26"/>
        <v>2</v>
      </c>
      <c r="I214" s="9" t="str">
        <f t="shared" si="27"/>
        <v>212</v>
      </c>
      <c r="Q214" s="1">
        <v>6.1160494901171369E-2</v>
      </c>
      <c r="R214" s="1">
        <v>0.69943872513717653</v>
      </c>
    </row>
    <row r="215" spans="1:18" x14ac:dyDescent="0.35">
      <c r="A215" t="s">
        <v>1227</v>
      </c>
      <c r="B215" s="2">
        <v>45437</v>
      </c>
      <c r="C215">
        <f t="shared" si="21"/>
        <v>401</v>
      </c>
      <c r="D215">
        <f t="shared" si="22"/>
        <v>3238</v>
      </c>
      <c r="E215">
        <f t="shared" si="23"/>
        <v>16</v>
      </c>
      <c r="F215">
        <f t="shared" si="24"/>
        <v>2</v>
      </c>
      <c r="G215">
        <f t="shared" si="25"/>
        <v>5</v>
      </c>
      <c r="H215">
        <f t="shared" si="26"/>
        <v>5</v>
      </c>
      <c r="I215" s="9" t="str">
        <f t="shared" si="27"/>
        <v>255</v>
      </c>
      <c r="Q215" s="1">
        <v>0.62231291065801186</v>
      </c>
      <c r="R215" s="1">
        <v>0.99270131144217599</v>
      </c>
    </row>
    <row r="216" spans="1:18" x14ac:dyDescent="0.35">
      <c r="A216" t="s">
        <v>1228</v>
      </c>
      <c r="B216" s="2">
        <v>45538</v>
      </c>
      <c r="C216">
        <f t="shared" si="21"/>
        <v>300</v>
      </c>
      <c r="D216">
        <f t="shared" si="22"/>
        <v>2529</v>
      </c>
      <c r="E216">
        <f t="shared" si="23"/>
        <v>13</v>
      </c>
      <c r="F216">
        <f t="shared" si="24"/>
        <v>2</v>
      </c>
      <c r="G216">
        <f t="shared" si="25"/>
        <v>4</v>
      </c>
      <c r="H216">
        <f t="shared" si="26"/>
        <v>4</v>
      </c>
      <c r="I216" s="9" t="str">
        <f t="shared" si="27"/>
        <v>244</v>
      </c>
      <c r="Q216" s="1">
        <v>0.83512209427718176</v>
      </c>
      <c r="R216" s="1">
        <v>0.42218443266257455</v>
      </c>
    </row>
    <row r="217" spans="1:18" x14ac:dyDescent="0.35">
      <c r="A217" t="s">
        <v>1229</v>
      </c>
      <c r="B217" s="2">
        <v>45533</v>
      </c>
      <c r="C217">
        <f t="shared" si="21"/>
        <v>305</v>
      </c>
      <c r="D217">
        <f t="shared" si="22"/>
        <v>2901</v>
      </c>
      <c r="E217">
        <f t="shared" si="23"/>
        <v>15</v>
      </c>
      <c r="F217">
        <f t="shared" si="24"/>
        <v>2</v>
      </c>
      <c r="G217">
        <f t="shared" si="25"/>
        <v>5</v>
      </c>
      <c r="H217">
        <f t="shared" si="26"/>
        <v>5</v>
      </c>
      <c r="I217" s="9" t="str">
        <f t="shared" si="27"/>
        <v>255</v>
      </c>
      <c r="Q217" s="1">
        <v>0.48310833757266125</v>
      </c>
      <c r="R217" s="1">
        <v>0.96196783784802831</v>
      </c>
    </row>
    <row r="218" spans="1:18" x14ac:dyDescent="0.35">
      <c r="A218" t="s">
        <v>1230</v>
      </c>
      <c r="B218" s="2">
        <v>45363</v>
      </c>
      <c r="C218">
        <f t="shared" si="21"/>
        <v>475</v>
      </c>
      <c r="D218">
        <f t="shared" si="22"/>
        <v>1489</v>
      </c>
      <c r="E218">
        <f t="shared" si="23"/>
        <v>8</v>
      </c>
      <c r="F218">
        <f t="shared" si="24"/>
        <v>1</v>
      </c>
      <c r="G218">
        <f t="shared" si="25"/>
        <v>1</v>
      </c>
      <c r="H218">
        <f t="shared" si="26"/>
        <v>2</v>
      </c>
      <c r="I218" s="9" t="str">
        <f t="shared" si="27"/>
        <v>112</v>
      </c>
      <c r="Q218" s="1">
        <v>0.45553905277516615</v>
      </c>
      <c r="R218" s="1">
        <v>0.27621168560232279</v>
      </c>
    </row>
    <row r="219" spans="1:18" x14ac:dyDescent="0.35">
      <c r="A219" t="s">
        <v>1231</v>
      </c>
      <c r="B219" s="2">
        <v>45442</v>
      </c>
      <c r="C219">
        <f t="shared" si="21"/>
        <v>396</v>
      </c>
      <c r="D219">
        <f t="shared" si="22"/>
        <v>2064</v>
      </c>
      <c r="E219">
        <f t="shared" si="23"/>
        <v>11</v>
      </c>
      <c r="F219">
        <f t="shared" si="24"/>
        <v>2</v>
      </c>
      <c r="G219">
        <f t="shared" si="25"/>
        <v>3</v>
      </c>
      <c r="H219">
        <f t="shared" si="26"/>
        <v>4</v>
      </c>
      <c r="I219" s="9" t="str">
        <f t="shared" si="27"/>
        <v>234</v>
      </c>
      <c r="Q219" s="1">
        <v>0.69783979654926032</v>
      </c>
      <c r="R219" s="1">
        <v>0.32427254304729969</v>
      </c>
    </row>
    <row r="220" spans="1:18" x14ac:dyDescent="0.35">
      <c r="A220" t="s">
        <v>1232</v>
      </c>
      <c r="B220" s="2">
        <v>45768</v>
      </c>
      <c r="C220">
        <f t="shared" si="21"/>
        <v>70</v>
      </c>
      <c r="D220">
        <f t="shared" si="22"/>
        <v>1294</v>
      </c>
      <c r="E220">
        <f t="shared" si="23"/>
        <v>7</v>
      </c>
      <c r="F220">
        <f t="shared" si="24"/>
        <v>5</v>
      </c>
      <c r="G220">
        <f t="shared" si="25"/>
        <v>1</v>
      </c>
      <c r="H220">
        <f t="shared" si="26"/>
        <v>1</v>
      </c>
      <c r="I220" s="9" t="str">
        <f t="shared" si="27"/>
        <v>511</v>
      </c>
      <c r="Q220" s="1">
        <v>0.45413436277278141</v>
      </c>
      <c r="R220" s="1">
        <v>0.17917818973386945</v>
      </c>
    </row>
    <row r="221" spans="1:18" x14ac:dyDescent="0.35">
      <c r="A221" t="s">
        <v>1233</v>
      </c>
      <c r="B221" s="2">
        <v>45754</v>
      </c>
      <c r="C221">
        <f t="shared" si="21"/>
        <v>84</v>
      </c>
      <c r="D221">
        <f t="shared" si="22"/>
        <v>2317</v>
      </c>
      <c r="E221">
        <f t="shared" si="23"/>
        <v>12</v>
      </c>
      <c r="F221">
        <f t="shared" si="24"/>
        <v>5</v>
      </c>
      <c r="G221">
        <f t="shared" si="25"/>
        <v>4</v>
      </c>
      <c r="H221">
        <f t="shared" si="26"/>
        <v>4</v>
      </c>
      <c r="I221" s="9" t="str">
        <f t="shared" si="27"/>
        <v>544</v>
      </c>
      <c r="Q221" s="1">
        <v>0.66607699135341258</v>
      </c>
      <c r="R221" s="1">
        <v>0.48411945121052657</v>
      </c>
    </row>
    <row r="222" spans="1:18" x14ac:dyDescent="0.35">
      <c r="A222" t="s">
        <v>1234</v>
      </c>
      <c r="B222" s="2">
        <v>45690</v>
      </c>
      <c r="C222">
        <f t="shared" si="21"/>
        <v>148</v>
      </c>
      <c r="D222">
        <f t="shared" si="22"/>
        <v>2454</v>
      </c>
      <c r="E222">
        <f t="shared" si="23"/>
        <v>13</v>
      </c>
      <c r="F222">
        <f t="shared" si="24"/>
        <v>4</v>
      </c>
      <c r="G222">
        <f t="shared" si="25"/>
        <v>4</v>
      </c>
      <c r="H222">
        <f t="shared" si="26"/>
        <v>4</v>
      </c>
      <c r="I222" s="9" t="str">
        <f t="shared" si="27"/>
        <v>444</v>
      </c>
      <c r="Q222" s="1">
        <v>0.76870188095141334</v>
      </c>
      <c r="R222" s="1">
        <v>0.45060657528435244</v>
      </c>
    </row>
    <row r="223" spans="1:18" x14ac:dyDescent="0.35">
      <c r="A223" t="s">
        <v>1235</v>
      </c>
      <c r="B223" s="2">
        <v>45782</v>
      </c>
      <c r="C223">
        <f t="shared" si="21"/>
        <v>56</v>
      </c>
      <c r="D223">
        <f t="shared" si="22"/>
        <v>1767</v>
      </c>
      <c r="E223">
        <f t="shared" si="23"/>
        <v>9</v>
      </c>
      <c r="F223">
        <f t="shared" si="24"/>
        <v>5</v>
      </c>
      <c r="G223">
        <f t="shared" si="25"/>
        <v>2</v>
      </c>
      <c r="H223">
        <f t="shared" si="26"/>
        <v>2</v>
      </c>
      <c r="I223" s="9" t="str">
        <f t="shared" si="27"/>
        <v>522</v>
      </c>
      <c r="Q223" s="1">
        <v>0.63576112294483744</v>
      </c>
      <c r="R223" s="1">
        <v>0.23640127036398473</v>
      </c>
    </row>
    <row r="224" spans="1:18" x14ac:dyDescent="0.35">
      <c r="A224" t="s">
        <v>1236</v>
      </c>
      <c r="B224" s="2">
        <v>45633</v>
      </c>
      <c r="C224">
        <f t="shared" si="21"/>
        <v>205</v>
      </c>
      <c r="D224">
        <f t="shared" si="22"/>
        <v>2201</v>
      </c>
      <c r="E224">
        <f t="shared" si="23"/>
        <v>11</v>
      </c>
      <c r="F224">
        <f t="shared" si="24"/>
        <v>4</v>
      </c>
      <c r="G224">
        <f t="shared" si="25"/>
        <v>3</v>
      </c>
      <c r="H224">
        <f t="shared" si="26"/>
        <v>4</v>
      </c>
      <c r="I224" s="9" t="str">
        <f t="shared" si="27"/>
        <v>434</v>
      </c>
      <c r="Q224" s="1">
        <v>0.11484473974462672</v>
      </c>
      <c r="R224" s="1">
        <v>0.97675556547988518</v>
      </c>
    </row>
    <row r="225" spans="1:18" x14ac:dyDescent="0.35">
      <c r="A225" t="s">
        <v>1237</v>
      </c>
      <c r="B225" s="2">
        <v>45538</v>
      </c>
      <c r="C225">
        <f t="shared" si="21"/>
        <v>300</v>
      </c>
      <c r="D225">
        <f t="shared" si="22"/>
        <v>557</v>
      </c>
      <c r="E225">
        <f t="shared" si="23"/>
        <v>3</v>
      </c>
      <c r="F225">
        <f t="shared" si="24"/>
        <v>2</v>
      </c>
      <c r="G225">
        <f t="shared" si="25"/>
        <v>1</v>
      </c>
      <c r="H225">
        <f t="shared" si="26"/>
        <v>1</v>
      </c>
      <c r="I225" s="9" t="str">
        <f t="shared" si="27"/>
        <v>211</v>
      </c>
      <c r="Q225" s="1">
        <v>0.12818322386300363</v>
      </c>
      <c r="R225" s="1">
        <v>0.13290228921572655</v>
      </c>
    </row>
    <row r="226" spans="1:18" x14ac:dyDescent="0.35">
      <c r="A226" t="s">
        <v>1238</v>
      </c>
      <c r="B226" s="2">
        <v>45439</v>
      </c>
      <c r="C226">
        <f t="shared" si="21"/>
        <v>399</v>
      </c>
      <c r="D226">
        <f t="shared" si="22"/>
        <v>1838</v>
      </c>
      <c r="E226">
        <f t="shared" si="23"/>
        <v>10</v>
      </c>
      <c r="F226">
        <f t="shared" si="24"/>
        <v>2</v>
      </c>
      <c r="G226">
        <f t="shared" si="25"/>
        <v>2</v>
      </c>
      <c r="H226">
        <f t="shared" si="26"/>
        <v>2</v>
      </c>
      <c r="I226" s="9" t="str">
        <f t="shared" si="27"/>
        <v>222</v>
      </c>
      <c r="Q226" s="1">
        <v>0.88352432723544605</v>
      </c>
      <c r="R226" s="1">
        <v>2.4678499301041379E-2</v>
      </c>
    </row>
    <row r="227" spans="1:18" x14ac:dyDescent="0.35">
      <c r="A227" t="s">
        <v>1239</v>
      </c>
      <c r="B227" s="2">
        <v>45646</v>
      </c>
      <c r="C227">
        <f t="shared" si="21"/>
        <v>192</v>
      </c>
      <c r="D227">
        <f t="shared" si="22"/>
        <v>2653</v>
      </c>
      <c r="E227">
        <f t="shared" si="23"/>
        <v>14</v>
      </c>
      <c r="F227">
        <f t="shared" si="24"/>
        <v>4</v>
      </c>
      <c r="G227">
        <f t="shared" si="25"/>
        <v>5</v>
      </c>
      <c r="H227">
        <f t="shared" si="26"/>
        <v>5</v>
      </c>
      <c r="I227" s="9" t="str">
        <f t="shared" si="27"/>
        <v>455</v>
      </c>
      <c r="Q227" s="1">
        <v>0.76236391996743558</v>
      </c>
      <c r="R227" s="1">
        <v>0.55726446135201979</v>
      </c>
    </row>
    <row r="228" spans="1:18" x14ac:dyDescent="0.35">
      <c r="A228" t="s">
        <v>1240</v>
      </c>
      <c r="B228" s="2">
        <v>45569</v>
      </c>
      <c r="C228">
        <f t="shared" si="21"/>
        <v>269</v>
      </c>
      <c r="D228">
        <f t="shared" si="22"/>
        <v>2687</v>
      </c>
      <c r="E228">
        <f t="shared" si="23"/>
        <v>14</v>
      </c>
      <c r="F228">
        <f t="shared" si="24"/>
        <v>3</v>
      </c>
      <c r="G228">
        <f t="shared" si="25"/>
        <v>5</v>
      </c>
      <c r="H228">
        <f t="shared" si="26"/>
        <v>5</v>
      </c>
      <c r="I228" s="9" t="str">
        <f t="shared" si="27"/>
        <v>355</v>
      </c>
      <c r="Q228" s="1">
        <v>0.54721332905968378</v>
      </c>
      <c r="R228" s="1">
        <v>0.78973046968603799</v>
      </c>
    </row>
    <row r="229" spans="1:18" x14ac:dyDescent="0.35">
      <c r="A229" t="s">
        <v>1241</v>
      </c>
      <c r="B229" s="2">
        <v>45538</v>
      </c>
      <c r="C229">
        <f t="shared" si="21"/>
        <v>300</v>
      </c>
      <c r="D229">
        <f t="shared" si="22"/>
        <v>1381</v>
      </c>
      <c r="E229">
        <f t="shared" si="23"/>
        <v>7</v>
      </c>
      <c r="F229">
        <f t="shared" si="24"/>
        <v>2</v>
      </c>
      <c r="G229">
        <f t="shared" si="25"/>
        <v>1</v>
      </c>
      <c r="H229">
        <f t="shared" si="26"/>
        <v>1</v>
      </c>
      <c r="I229" s="9" t="str">
        <f t="shared" si="27"/>
        <v>211</v>
      </c>
      <c r="Q229" s="1">
        <v>0.47685119095477935</v>
      </c>
      <c r="R229" s="1">
        <v>0.2005444288229481</v>
      </c>
    </row>
    <row r="230" spans="1:18" x14ac:dyDescent="0.35">
      <c r="A230" t="s">
        <v>1242</v>
      </c>
      <c r="B230" s="2">
        <v>45625</v>
      </c>
      <c r="C230">
        <f t="shared" si="21"/>
        <v>213</v>
      </c>
      <c r="D230">
        <f t="shared" si="22"/>
        <v>2930</v>
      </c>
      <c r="E230">
        <f t="shared" si="23"/>
        <v>15</v>
      </c>
      <c r="F230">
        <f t="shared" si="24"/>
        <v>4</v>
      </c>
      <c r="G230">
        <f t="shared" si="25"/>
        <v>5</v>
      </c>
      <c r="H230">
        <f t="shared" si="26"/>
        <v>5</v>
      </c>
      <c r="I230" s="9" t="str">
        <f t="shared" si="27"/>
        <v>455</v>
      </c>
      <c r="Q230" s="1">
        <v>0.58838333265869946</v>
      </c>
      <c r="R230" s="1">
        <v>0.87111768471264683</v>
      </c>
    </row>
    <row r="231" spans="1:18" x14ac:dyDescent="0.35">
      <c r="A231" t="s">
        <v>1243</v>
      </c>
      <c r="B231" s="2">
        <v>45338</v>
      </c>
      <c r="C231">
        <f t="shared" si="21"/>
        <v>500</v>
      </c>
      <c r="D231">
        <f t="shared" si="22"/>
        <v>1447</v>
      </c>
      <c r="E231">
        <f t="shared" si="23"/>
        <v>8</v>
      </c>
      <c r="F231">
        <f t="shared" si="24"/>
        <v>1</v>
      </c>
      <c r="G231">
        <f t="shared" si="25"/>
        <v>1</v>
      </c>
      <c r="H231">
        <f t="shared" si="26"/>
        <v>1</v>
      </c>
      <c r="I231" s="9" t="str">
        <f t="shared" si="27"/>
        <v>111</v>
      </c>
      <c r="Q231" s="1">
        <v>0.30783808784952171</v>
      </c>
      <c r="R231" s="1">
        <v>0.4027849563611634</v>
      </c>
    </row>
    <row r="232" spans="1:18" x14ac:dyDescent="0.35">
      <c r="A232" t="s">
        <v>1244</v>
      </c>
      <c r="B232" s="2">
        <v>45745</v>
      </c>
      <c r="C232">
        <f t="shared" si="21"/>
        <v>93</v>
      </c>
      <c r="D232">
        <f t="shared" si="22"/>
        <v>2657</v>
      </c>
      <c r="E232">
        <f t="shared" si="23"/>
        <v>14</v>
      </c>
      <c r="F232">
        <f t="shared" si="24"/>
        <v>5</v>
      </c>
      <c r="G232">
        <f t="shared" si="25"/>
        <v>5</v>
      </c>
      <c r="H232">
        <f t="shared" si="26"/>
        <v>5</v>
      </c>
      <c r="I232" s="9" t="str">
        <f t="shared" si="27"/>
        <v>555</v>
      </c>
      <c r="Q232" s="1">
        <v>0.90110426145105726</v>
      </c>
      <c r="R232" s="1">
        <v>0.42063359710133585</v>
      </c>
    </row>
    <row r="233" spans="1:18" x14ac:dyDescent="0.35">
      <c r="A233" t="s">
        <v>1245</v>
      </c>
      <c r="B233" s="2">
        <v>45668</v>
      </c>
      <c r="C233">
        <f t="shared" si="21"/>
        <v>170</v>
      </c>
      <c r="D233">
        <f t="shared" si="22"/>
        <v>2714</v>
      </c>
      <c r="E233">
        <f t="shared" si="23"/>
        <v>14</v>
      </c>
      <c r="F233">
        <f t="shared" si="24"/>
        <v>4</v>
      </c>
      <c r="G233">
        <f t="shared" si="25"/>
        <v>5</v>
      </c>
      <c r="H233">
        <f t="shared" si="26"/>
        <v>5</v>
      </c>
      <c r="I233" s="9" t="str">
        <f t="shared" si="27"/>
        <v>455</v>
      </c>
      <c r="Q233" s="1">
        <v>0.53931366420886839</v>
      </c>
      <c r="R233" s="1">
        <v>0.81131699476272479</v>
      </c>
    </row>
    <row r="234" spans="1:18" x14ac:dyDescent="0.35">
      <c r="A234" t="s">
        <v>1246</v>
      </c>
      <c r="B234" s="2">
        <v>45672</v>
      </c>
      <c r="C234">
        <f t="shared" si="21"/>
        <v>166</v>
      </c>
      <c r="D234">
        <f t="shared" si="22"/>
        <v>1567</v>
      </c>
      <c r="E234">
        <f t="shared" si="23"/>
        <v>8</v>
      </c>
      <c r="F234">
        <f t="shared" si="24"/>
        <v>4</v>
      </c>
      <c r="G234">
        <f t="shared" si="25"/>
        <v>1</v>
      </c>
      <c r="H234">
        <f t="shared" si="26"/>
        <v>2</v>
      </c>
      <c r="I234" s="9" t="str">
        <f t="shared" si="27"/>
        <v>412</v>
      </c>
      <c r="Q234" s="1">
        <v>0.26461037885065963</v>
      </c>
      <c r="R234" s="1">
        <v>0.50684356008538978</v>
      </c>
    </row>
    <row r="235" spans="1:18" x14ac:dyDescent="0.35">
      <c r="A235" t="s">
        <v>1247</v>
      </c>
      <c r="B235" s="2">
        <v>45772</v>
      </c>
      <c r="C235">
        <f t="shared" si="21"/>
        <v>66</v>
      </c>
      <c r="D235">
        <f t="shared" si="22"/>
        <v>2463</v>
      </c>
      <c r="E235">
        <f t="shared" si="23"/>
        <v>13</v>
      </c>
      <c r="F235">
        <f t="shared" si="24"/>
        <v>5</v>
      </c>
      <c r="G235">
        <f t="shared" si="25"/>
        <v>4</v>
      </c>
      <c r="H235">
        <f t="shared" si="26"/>
        <v>4</v>
      </c>
      <c r="I235" s="9" t="str">
        <f t="shared" si="27"/>
        <v>544</v>
      </c>
      <c r="Q235" s="1">
        <v>0.80987324688384232</v>
      </c>
      <c r="R235" s="1">
        <v>0.41402877223165746</v>
      </c>
    </row>
    <row r="236" spans="1:18" x14ac:dyDescent="0.35">
      <c r="A236" t="s">
        <v>1248</v>
      </c>
      <c r="B236" s="2">
        <v>45465</v>
      </c>
      <c r="C236">
        <f t="shared" si="21"/>
        <v>373</v>
      </c>
      <c r="D236">
        <f t="shared" si="22"/>
        <v>3121</v>
      </c>
      <c r="E236">
        <f t="shared" si="23"/>
        <v>16</v>
      </c>
      <c r="F236">
        <f t="shared" si="24"/>
        <v>2</v>
      </c>
      <c r="G236">
        <f t="shared" si="25"/>
        <v>5</v>
      </c>
      <c r="H236">
        <f t="shared" si="26"/>
        <v>5</v>
      </c>
      <c r="I236" s="9" t="str">
        <f t="shared" si="27"/>
        <v>255</v>
      </c>
      <c r="Q236" s="1">
        <v>0.90504951786221144</v>
      </c>
      <c r="R236" s="1">
        <v>0.6509038817783549</v>
      </c>
    </row>
    <row r="237" spans="1:18" x14ac:dyDescent="0.35">
      <c r="A237" t="s">
        <v>1249</v>
      </c>
      <c r="B237" s="2">
        <v>45328</v>
      </c>
      <c r="C237">
        <f t="shared" si="21"/>
        <v>510</v>
      </c>
      <c r="D237">
        <f t="shared" si="22"/>
        <v>1788</v>
      </c>
      <c r="E237">
        <f t="shared" si="23"/>
        <v>9</v>
      </c>
      <c r="F237">
        <f t="shared" si="24"/>
        <v>1</v>
      </c>
      <c r="G237">
        <f t="shared" si="25"/>
        <v>2</v>
      </c>
      <c r="H237">
        <f t="shared" si="26"/>
        <v>2</v>
      </c>
      <c r="I237" s="9" t="str">
        <f t="shared" si="27"/>
        <v>122</v>
      </c>
      <c r="Q237" s="1">
        <v>0.27390785640306059</v>
      </c>
      <c r="R237" s="1">
        <v>0.60894596338599694</v>
      </c>
    </row>
    <row r="238" spans="1:18" x14ac:dyDescent="0.35">
      <c r="A238" t="s">
        <v>1250</v>
      </c>
      <c r="B238" s="2">
        <v>45612</v>
      </c>
      <c r="C238">
        <f t="shared" si="21"/>
        <v>226</v>
      </c>
      <c r="D238">
        <f t="shared" si="22"/>
        <v>2027</v>
      </c>
      <c r="E238">
        <f t="shared" si="23"/>
        <v>11</v>
      </c>
      <c r="F238">
        <f t="shared" si="24"/>
        <v>4</v>
      </c>
      <c r="G238">
        <f t="shared" si="25"/>
        <v>3</v>
      </c>
      <c r="H238">
        <f t="shared" si="26"/>
        <v>2</v>
      </c>
      <c r="I238" s="9" t="str">
        <f t="shared" si="27"/>
        <v>432</v>
      </c>
      <c r="Q238" s="1">
        <v>0.32405677288438683</v>
      </c>
      <c r="R238" s="1">
        <v>0.6796926662068189</v>
      </c>
    </row>
    <row r="239" spans="1:18" x14ac:dyDescent="0.35">
      <c r="A239" t="s">
        <v>1251</v>
      </c>
      <c r="B239" s="2">
        <v>45674</v>
      </c>
      <c r="C239">
        <f t="shared" si="21"/>
        <v>164</v>
      </c>
      <c r="D239">
        <f t="shared" si="22"/>
        <v>2435</v>
      </c>
      <c r="E239">
        <f t="shared" si="23"/>
        <v>12</v>
      </c>
      <c r="F239">
        <f t="shared" si="24"/>
        <v>4</v>
      </c>
      <c r="G239">
        <f t="shared" si="25"/>
        <v>4</v>
      </c>
      <c r="H239">
        <f t="shared" si="26"/>
        <v>4</v>
      </c>
      <c r="I239" s="9" t="str">
        <f t="shared" si="27"/>
        <v>444</v>
      </c>
      <c r="Q239" s="1">
        <v>0.9166180452189413</v>
      </c>
      <c r="R239" s="1">
        <v>0.29293422840452688</v>
      </c>
    </row>
    <row r="240" spans="1:18" x14ac:dyDescent="0.35">
      <c r="A240" t="s">
        <v>1252</v>
      </c>
      <c r="B240" s="2">
        <v>45630</v>
      </c>
      <c r="C240">
        <f t="shared" si="21"/>
        <v>208</v>
      </c>
      <c r="D240">
        <f t="shared" si="22"/>
        <v>2355</v>
      </c>
      <c r="E240">
        <f t="shared" si="23"/>
        <v>12</v>
      </c>
      <c r="F240">
        <f t="shared" si="24"/>
        <v>4</v>
      </c>
      <c r="G240">
        <f t="shared" si="25"/>
        <v>4</v>
      </c>
      <c r="H240">
        <f t="shared" si="26"/>
        <v>4</v>
      </c>
      <c r="I240" s="9" t="str">
        <f t="shared" si="27"/>
        <v>444</v>
      </c>
      <c r="Q240" s="1">
        <v>0.66804678175745091</v>
      </c>
      <c r="R240" s="1">
        <v>0.50119710838816445</v>
      </c>
    </row>
    <row r="241" spans="1:18" x14ac:dyDescent="0.35">
      <c r="A241" t="s">
        <v>1253</v>
      </c>
      <c r="B241" s="2">
        <v>45364</v>
      </c>
      <c r="C241">
        <f t="shared" si="21"/>
        <v>474</v>
      </c>
      <c r="D241">
        <f t="shared" si="22"/>
        <v>2091</v>
      </c>
      <c r="E241">
        <f t="shared" si="23"/>
        <v>11</v>
      </c>
      <c r="F241">
        <f t="shared" si="24"/>
        <v>1</v>
      </c>
      <c r="G241">
        <f t="shared" si="25"/>
        <v>3</v>
      </c>
      <c r="H241">
        <f t="shared" si="26"/>
        <v>4</v>
      </c>
      <c r="I241" s="9" t="str">
        <f t="shared" si="27"/>
        <v>134</v>
      </c>
      <c r="Q241" s="1">
        <v>0.88424110861217886</v>
      </c>
      <c r="R241" s="1">
        <v>0.15178608973409191</v>
      </c>
    </row>
    <row r="242" spans="1:18" x14ac:dyDescent="0.35">
      <c r="A242" t="s">
        <v>1254</v>
      </c>
      <c r="B242" s="2">
        <v>45546</v>
      </c>
      <c r="C242">
        <f t="shared" si="21"/>
        <v>292</v>
      </c>
      <c r="D242">
        <f t="shared" si="22"/>
        <v>3270</v>
      </c>
      <c r="E242">
        <f t="shared" si="23"/>
        <v>16</v>
      </c>
      <c r="F242">
        <f t="shared" si="24"/>
        <v>2</v>
      </c>
      <c r="G242">
        <f t="shared" si="25"/>
        <v>5</v>
      </c>
      <c r="H242">
        <f t="shared" si="26"/>
        <v>5</v>
      </c>
      <c r="I242" s="9" t="str">
        <f t="shared" si="27"/>
        <v>255</v>
      </c>
      <c r="Q242" s="1">
        <v>0.9359850596813537</v>
      </c>
      <c r="R242" s="1">
        <v>0.69535805953255025</v>
      </c>
    </row>
    <row r="243" spans="1:18" x14ac:dyDescent="0.35">
      <c r="A243" t="s">
        <v>1255</v>
      </c>
      <c r="B243" s="2">
        <v>45427</v>
      </c>
      <c r="C243">
        <f t="shared" si="21"/>
        <v>411</v>
      </c>
      <c r="D243">
        <f t="shared" si="22"/>
        <v>433</v>
      </c>
      <c r="E243">
        <f t="shared" si="23"/>
        <v>3</v>
      </c>
      <c r="F243">
        <f t="shared" si="24"/>
        <v>2</v>
      </c>
      <c r="G243">
        <f t="shared" si="25"/>
        <v>1</v>
      </c>
      <c r="H243">
        <f t="shared" si="26"/>
        <v>1</v>
      </c>
      <c r="I243" s="9" t="str">
        <f t="shared" si="27"/>
        <v>211</v>
      </c>
      <c r="Q243" s="1">
        <v>0.11523674889329072</v>
      </c>
      <c r="R243" s="1">
        <v>8.3213995202088387E-2</v>
      </c>
    </row>
    <row r="244" spans="1:18" x14ac:dyDescent="0.35">
      <c r="A244" t="s">
        <v>1256</v>
      </c>
      <c r="B244" s="2">
        <v>45677</v>
      </c>
      <c r="C244">
        <f t="shared" si="21"/>
        <v>161</v>
      </c>
      <c r="D244">
        <f t="shared" si="22"/>
        <v>1638</v>
      </c>
      <c r="E244">
        <f t="shared" si="23"/>
        <v>9</v>
      </c>
      <c r="F244">
        <f t="shared" si="24"/>
        <v>4</v>
      </c>
      <c r="G244">
        <f t="shared" si="25"/>
        <v>2</v>
      </c>
      <c r="H244">
        <f t="shared" si="26"/>
        <v>2</v>
      </c>
      <c r="I244" s="9" t="str">
        <f t="shared" si="27"/>
        <v>422</v>
      </c>
      <c r="Q244" s="1">
        <v>0.31367035927349152</v>
      </c>
      <c r="R244" s="1">
        <v>0.4934494374962034</v>
      </c>
    </row>
    <row r="245" spans="1:18" x14ac:dyDescent="0.35">
      <c r="A245" t="s">
        <v>1257</v>
      </c>
      <c r="B245" s="2">
        <v>45440</v>
      </c>
      <c r="C245">
        <f t="shared" si="21"/>
        <v>398</v>
      </c>
      <c r="D245">
        <f t="shared" si="22"/>
        <v>1253</v>
      </c>
      <c r="E245">
        <f t="shared" si="23"/>
        <v>7</v>
      </c>
      <c r="F245">
        <f t="shared" si="24"/>
        <v>2</v>
      </c>
      <c r="G245">
        <f t="shared" si="25"/>
        <v>1</v>
      </c>
      <c r="H245">
        <f t="shared" si="26"/>
        <v>1</v>
      </c>
      <c r="I245" s="9" t="str">
        <f t="shared" si="27"/>
        <v>211</v>
      </c>
      <c r="Q245" s="1">
        <v>0.23066453262107833</v>
      </c>
      <c r="R245" s="1">
        <v>0.38221290397310781</v>
      </c>
    </row>
    <row r="246" spans="1:18" x14ac:dyDescent="0.35">
      <c r="A246" t="s">
        <v>1258</v>
      </c>
      <c r="B246" s="2">
        <v>45376</v>
      </c>
      <c r="C246">
        <f t="shared" si="21"/>
        <v>462</v>
      </c>
      <c r="D246">
        <f t="shared" si="22"/>
        <v>2452</v>
      </c>
      <c r="E246">
        <f t="shared" si="23"/>
        <v>13</v>
      </c>
      <c r="F246">
        <f t="shared" si="24"/>
        <v>1</v>
      </c>
      <c r="G246">
        <f t="shared" si="25"/>
        <v>4</v>
      </c>
      <c r="H246">
        <f t="shared" si="26"/>
        <v>4</v>
      </c>
      <c r="I246" s="9" t="str">
        <f t="shared" si="27"/>
        <v>144</v>
      </c>
      <c r="Q246" s="1">
        <v>0.35541577848368577</v>
      </c>
      <c r="R246" s="1">
        <v>0.86294522177576294</v>
      </c>
    </row>
    <row r="247" spans="1:18" x14ac:dyDescent="0.35">
      <c r="A247" t="s">
        <v>1259</v>
      </c>
      <c r="B247" s="2">
        <v>45647</v>
      </c>
      <c r="C247">
        <f t="shared" si="21"/>
        <v>191</v>
      </c>
      <c r="D247">
        <f t="shared" si="22"/>
        <v>1676</v>
      </c>
      <c r="E247">
        <f t="shared" si="23"/>
        <v>9</v>
      </c>
      <c r="F247">
        <f t="shared" si="24"/>
        <v>4</v>
      </c>
      <c r="G247">
        <f t="shared" si="25"/>
        <v>2</v>
      </c>
      <c r="H247">
        <f t="shared" si="26"/>
        <v>2</v>
      </c>
      <c r="I247" s="9" t="str">
        <f t="shared" si="27"/>
        <v>422</v>
      </c>
      <c r="Q247" s="1">
        <v>5.2186147810594607E-2</v>
      </c>
      <c r="R247" s="1">
        <v>0.77413241814625178</v>
      </c>
    </row>
    <row r="248" spans="1:18" x14ac:dyDescent="0.35">
      <c r="A248" t="s">
        <v>1260</v>
      </c>
      <c r="B248" s="2">
        <v>45311</v>
      </c>
      <c r="C248">
        <f t="shared" si="21"/>
        <v>527</v>
      </c>
      <c r="D248">
        <f t="shared" si="22"/>
        <v>965</v>
      </c>
      <c r="E248">
        <f t="shared" si="23"/>
        <v>5</v>
      </c>
      <c r="F248">
        <f t="shared" si="24"/>
        <v>1</v>
      </c>
      <c r="G248">
        <f t="shared" si="25"/>
        <v>1</v>
      </c>
      <c r="H248">
        <f t="shared" si="26"/>
        <v>1</v>
      </c>
      <c r="I248" s="9" t="str">
        <f t="shared" si="27"/>
        <v>111</v>
      </c>
      <c r="Q248" s="1">
        <v>0.32030647564846471</v>
      </c>
      <c r="R248" s="1">
        <v>0.1470874022008396</v>
      </c>
    </row>
    <row r="249" spans="1:18" x14ac:dyDescent="0.35">
      <c r="A249" t="s">
        <v>1261</v>
      </c>
      <c r="B249" s="2">
        <v>45477</v>
      </c>
      <c r="C249">
        <f t="shared" si="21"/>
        <v>361</v>
      </c>
      <c r="D249">
        <f t="shared" si="22"/>
        <v>2885</v>
      </c>
      <c r="E249">
        <f t="shared" si="23"/>
        <v>15</v>
      </c>
      <c r="F249">
        <f t="shared" si="24"/>
        <v>2</v>
      </c>
      <c r="G249">
        <f t="shared" si="25"/>
        <v>5</v>
      </c>
      <c r="H249">
        <f t="shared" si="26"/>
        <v>5</v>
      </c>
      <c r="I249" s="9" t="str">
        <f t="shared" si="27"/>
        <v>255</v>
      </c>
      <c r="Q249" s="1">
        <v>0.85128332502200399</v>
      </c>
      <c r="R249" s="1">
        <v>0.58547085826751277</v>
      </c>
    </row>
    <row r="250" spans="1:18" x14ac:dyDescent="0.35">
      <c r="A250" t="s">
        <v>1262</v>
      </c>
      <c r="B250" s="2">
        <v>45394</v>
      </c>
      <c r="C250">
        <f t="shared" si="21"/>
        <v>444</v>
      </c>
      <c r="D250">
        <f t="shared" si="22"/>
        <v>2055</v>
      </c>
      <c r="E250">
        <f t="shared" si="23"/>
        <v>11</v>
      </c>
      <c r="F250">
        <f t="shared" si="24"/>
        <v>1</v>
      </c>
      <c r="G250">
        <f t="shared" si="25"/>
        <v>3</v>
      </c>
      <c r="H250">
        <f t="shared" si="26"/>
        <v>4</v>
      </c>
      <c r="I250" s="9" t="str">
        <f t="shared" si="27"/>
        <v>134</v>
      </c>
      <c r="Q250" s="1">
        <v>0.20311487609228718</v>
      </c>
      <c r="R250" s="1">
        <v>0.81450837359062656</v>
      </c>
    </row>
    <row r="251" spans="1:18" x14ac:dyDescent="0.35">
      <c r="A251" t="s">
        <v>1263</v>
      </c>
      <c r="B251" s="2">
        <v>45788</v>
      </c>
      <c r="C251">
        <f t="shared" si="21"/>
        <v>50</v>
      </c>
      <c r="D251">
        <f t="shared" si="22"/>
        <v>2372</v>
      </c>
      <c r="E251">
        <f t="shared" si="23"/>
        <v>12</v>
      </c>
      <c r="F251">
        <f t="shared" si="24"/>
        <v>5</v>
      </c>
      <c r="G251">
        <f t="shared" si="25"/>
        <v>4</v>
      </c>
      <c r="H251">
        <f t="shared" si="26"/>
        <v>4</v>
      </c>
      <c r="I251" s="9" t="str">
        <f t="shared" si="27"/>
        <v>544</v>
      </c>
      <c r="Q251" s="1">
        <v>0.56379394480153378</v>
      </c>
      <c r="R251" s="1">
        <v>0.6139865530847991</v>
      </c>
    </row>
    <row r="252" spans="1:18" x14ac:dyDescent="0.35">
      <c r="A252" t="s">
        <v>1264</v>
      </c>
      <c r="B252" s="2">
        <v>45602</v>
      </c>
      <c r="C252">
        <f t="shared" si="21"/>
        <v>236</v>
      </c>
      <c r="D252">
        <f t="shared" si="22"/>
        <v>1508</v>
      </c>
      <c r="E252">
        <f t="shared" si="23"/>
        <v>8</v>
      </c>
      <c r="F252">
        <f t="shared" si="24"/>
        <v>4</v>
      </c>
      <c r="G252">
        <f t="shared" si="25"/>
        <v>1</v>
      </c>
      <c r="H252">
        <f t="shared" si="26"/>
        <v>2</v>
      </c>
      <c r="I252" s="9" t="str">
        <f t="shared" si="27"/>
        <v>412</v>
      </c>
      <c r="Q252" s="1">
        <v>0.11610745840854209</v>
      </c>
      <c r="R252" s="1">
        <v>0.62514357396633591</v>
      </c>
    </row>
    <row r="253" spans="1:18" x14ac:dyDescent="0.35">
      <c r="A253" t="s">
        <v>1265</v>
      </c>
      <c r="B253" s="2">
        <v>45623</v>
      </c>
      <c r="C253">
        <f t="shared" si="21"/>
        <v>215</v>
      </c>
      <c r="D253">
        <f t="shared" si="22"/>
        <v>2061</v>
      </c>
      <c r="E253">
        <f t="shared" si="23"/>
        <v>11</v>
      </c>
      <c r="F253">
        <f t="shared" si="24"/>
        <v>4</v>
      </c>
      <c r="G253">
        <f t="shared" si="25"/>
        <v>3</v>
      </c>
      <c r="H253">
        <f t="shared" si="26"/>
        <v>4</v>
      </c>
      <c r="I253" s="9" t="str">
        <f t="shared" si="27"/>
        <v>434</v>
      </c>
      <c r="Q253" s="1">
        <v>0.94849674998327616</v>
      </c>
      <c r="R253" s="1">
        <v>7.2082804814257662E-2</v>
      </c>
    </row>
    <row r="254" spans="1:18" x14ac:dyDescent="0.35">
      <c r="A254" t="s">
        <v>1266</v>
      </c>
      <c r="B254" s="2">
        <v>45617</v>
      </c>
      <c r="C254">
        <f t="shared" si="21"/>
        <v>221</v>
      </c>
      <c r="D254">
        <f t="shared" si="22"/>
        <v>2353</v>
      </c>
      <c r="E254">
        <f t="shared" si="23"/>
        <v>12</v>
      </c>
      <c r="F254">
        <f t="shared" si="24"/>
        <v>4</v>
      </c>
      <c r="G254">
        <f t="shared" si="25"/>
        <v>4</v>
      </c>
      <c r="H254">
        <f t="shared" si="26"/>
        <v>4</v>
      </c>
      <c r="I254" s="9" t="str">
        <f t="shared" si="27"/>
        <v>444</v>
      </c>
      <c r="Q254" s="1">
        <v>0.32718521389193855</v>
      </c>
      <c r="R254" s="1">
        <v>0.84083354620938733</v>
      </c>
    </row>
    <row r="255" spans="1:18" x14ac:dyDescent="0.35">
      <c r="A255" t="s">
        <v>1267</v>
      </c>
      <c r="B255" s="2">
        <v>45324</v>
      </c>
      <c r="C255">
        <f t="shared" si="21"/>
        <v>514</v>
      </c>
      <c r="D255">
        <f t="shared" si="22"/>
        <v>2765</v>
      </c>
      <c r="E255">
        <f t="shared" si="23"/>
        <v>14</v>
      </c>
      <c r="F255">
        <f t="shared" si="24"/>
        <v>1</v>
      </c>
      <c r="G255">
        <f t="shared" si="25"/>
        <v>5</v>
      </c>
      <c r="H255">
        <f t="shared" si="26"/>
        <v>5</v>
      </c>
      <c r="I255" s="9" t="str">
        <f t="shared" si="27"/>
        <v>155</v>
      </c>
      <c r="Q255" s="1">
        <v>0.97838473471336196</v>
      </c>
      <c r="R255" s="1">
        <v>0.39766144516430113</v>
      </c>
    </row>
    <row r="256" spans="1:18" x14ac:dyDescent="0.35">
      <c r="A256" t="s">
        <v>1268</v>
      </c>
      <c r="B256" s="2">
        <v>45654</v>
      </c>
      <c r="C256">
        <f t="shared" si="21"/>
        <v>184</v>
      </c>
      <c r="D256">
        <f t="shared" si="22"/>
        <v>2364</v>
      </c>
      <c r="E256">
        <f t="shared" si="23"/>
        <v>12</v>
      </c>
      <c r="F256">
        <f t="shared" si="24"/>
        <v>4</v>
      </c>
      <c r="G256">
        <f t="shared" si="25"/>
        <v>4</v>
      </c>
      <c r="H256">
        <f t="shared" si="26"/>
        <v>4</v>
      </c>
      <c r="I256" s="9" t="str">
        <f t="shared" si="27"/>
        <v>444</v>
      </c>
      <c r="Q256" s="1">
        <v>0.55995465543775158</v>
      </c>
      <c r="R256" s="1">
        <v>0.61396167133037649</v>
      </c>
    </row>
    <row r="257" spans="1:18" x14ac:dyDescent="0.35">
      <c r="A257" t="s">
        <v>1269</v>
      </c>
      <c r="B257" s="2">
        <v>45341</v>
      </c>
      <c r="C257">
        <f t="shared" si="21"/>
        <v>497</v>
      </c>
      <c r="D257">
        <f t="shared" si="22"/>
        <v>1706</v>
      </c>
      <c r="E257">
        <f t="shared" si="23"/>
        <v>9</v>
      </c>
      <c r="F257">
        <f t="shared" si="24"/>
        <v>1</v>
      </c>
      <c r="G257">
        <f t="shared" si="25"/>
        <v>2</v>
      </c>
      <c r="H257">
        <f t="shared" si="26"/>
        <v>2</v>
      </c>
      <c r="I257" s="9" t="str">
        <f t="shared" si="27"/>
        <v>122</v>
      </c>
      <c r="Q257" s="1">
        <v>9.0757938056483467E-2</v>
      </c>
      <c r="R257" s="1">
        <v>0.75050330540716403</v>
      </c>
    </row>
    <row r="258" spans="1:18" x14ac:dyDescent="0.35">
      <c r="A258" t="s">
        <v>1270</v>
      </c>
      <c r="B258" s="2">
        <v>45557</v>
      </c>
      <c r="C258">
        <f t="shared" si="21"/>
        <v>281</v>
      </c>
      <c r="D258">
        <f t="shared" si="22"/>
        <v>570</v>
      </c>
      <c r="E258">
        <f t="shared" si="23"/>
        <v>4</v>
      </c>
      <c r="F258">
        <f t="shared" si="24"/>
        <v>2</v>
      </c>
      <c r="G258">
        <f t="shared" si="25"/>
        <v>1</v>
      </c>
      <c r="H258">
        <f t="shared" si="26"/>
        <v>1</v>
      </c>
      <c r="I258" s="9" t="str">
        <f t="shared" si="27"/>
        <v>211</v>
      </c>
      <c r="Q258" s="1">
        <v>0.25173821803555285</v>
      </c>
      <c r="R258" s="1">
        <v>1.5818364963531506E-2</v>
      </c>
    </row>
    <row r="259" spans="1:18" x14ac:dyDescent="0.35">
      <c r="A259" t="s">
        <v>1271</v>
      </c>
      <c r="B259" s="2">
        <v>45403</v>
      </c>
      <c r="C259">
        <f t="shared" ref="C259:C322" si="28">45838-B259</f>
        <v>435</v>
      </c>
      <c r="D259">
        <f t="shared" ref="D259:D322" si="29">ROUND((R259*0.5+0.5*Q259)*(4000-40)+40,0)</f>
        <v>2019</v>
      </c>
      <c r="E259">
        <f t="shared" ref="E259:E322" si="30">ROUND((R259*0.5+Q259*0.5)*(20-1)+1,0)</f>
        <v>10</v>
      </c>
      <c r="F259">
        <f t="shared" ref="F259:F322" si="31">IF(C259&lt;=$M$4,5,IF(C259&lt;=$M$5,4,IF(C259&lt;=$M$9,3,IF(C259&lt;=$M$6,2,1))))</f>
        <v>1</v>
      </c>
      <c r="G259">
        <f t="shared" ref="G259:G322" si="32">IF(E259&lt;=$M$14,1,IF(E259&lt;=$M$19,2,IF(E259&lt;=$M$15,3,IF(E259&lt;=$M$16,4,5))))</f>
        <v>2</v>
      </c>
      <c r="H259">
        <f t="shared" ref="H259:H322" si="33">IF(D259&lt;=$M$24,1,IF(D259&lt;=$M$29,2,IF(D259&lt;=$M$25,3,IF(D259&lt;=$M$26,4,5))))</f>
        <v>2</v>
      </c>
      <c r="I259" s="9" t="str">
        <f t="shared" ref="I259:I322" si="34">CONCATENATE(F259,G259,H259)</f>
        <v>122</v>
      </c>
      <c r="Q259" s="1">
        <v>0.96498834601941663</v>
      </c>
      <c r="R259" s="1">
        <v>3.4759057990003672E-2</v>
      </c>
    </row>
    <row r="260" spans="1:18" x14ac:dyDescent="0.35">
      <c r="A260" t="s">
        <v>1272</v>
      </c>
      <c r="B260" s="2">
        <v>45497</v>
      </c>
      <c r="C260">
        <f t="shared" si="28"/>
        <v>341</v>
      </c>
      <c r="D260">
        <f t="shared" si="29"/>
        <v>2567</v>
      </c>
      <c r="E260">
        <f t="shared" si="30"/>
        <v>13</v>
      </c>
      <c r="F260">
        <f t="shared" si="31"/>
        <v>2</v>
      </c>
      <c r="G260">
        <f t="shared" si="32"/>
        <v>4</v>
      </c>
      <c r="H260">
        <f t="shared" si="33"/>
        <v>4</v>
      </c>
      <c r="I260" s="9" t="str">
        <f t="shared" si="34"/>
        <v>244</v>
      </c>
      <c r="Q260" s="1">
        <v>0.69746405791530441</v>
      </c>
      <c r="R260" s="1">
        <v>0.57900364943808558</v>
      </c>
    </row>
    <row r="261" spans="1:18" x14ac:dyDescent="0.35">
      <c r="A261" t="s">
        <v>1273</v>
      </c>
      <c r="B261" s="2">
        <v>45697</v>
      </c>
      <c r="C261">
        <f t="shared" si="28"/>
        <v>141</v>
      </c>
      <c r="D261">
        <f t="shared" si="29"/>
        <v>2804</v>
      </c>
      <c r="E261">
        <f t="shared" si="30"/>
        <v>14</v>
      </c>
      <c r="F261">
        <f t="shared" si="31"/>
        <v>5</v>
      </c>
      <c r="G261">
        <f t="shared" si="32"/>
        <v>5</v>
      </c>
      <c r="H261">
        <f t="shared" si="33"/>
        <v>5</v>
      </c>
      <c r="I261" s="9" t="str">
        <f t="shared" si="34"/>
        <v>555</v>
      </c>
      <c r="Q261" s="1">
        <v>0.8946258095914168</v>
      </c>
      <c r="R261" s="1">
        <v>0.50112030347950065</v>
      </c>
    </row>
    <row r="262" spans="1:18" x14ac:dyDescent="0.35">
      <c r="A262" t="s">
        <v>1274</v>
      </c>
      <c r="B262" s="2">
        <v>45355</v>
      </c>
      <c r="C262">
        <f t="shared" si="28"/>
        <v>483</v>
      </c>
      <c r="D262">
        <f t="shared" si="29"/>
        <v>2363</v>
      </c>
      <c r="E262">
        <f t="shared" si="30"/>
        <v>12</v>
      </c>
      <c r="F262">
        <f t="shared" si="31"/>
        <v>1</v>
      </c>
      <c r="G262">
        <f t="shared" si="32"/>
        <v>4</v>
      </c>
      <c r="H262">
        <f t="shared" si="33"/>
        <v>4</v>
      </c>
      <c r="I262" s="9" t="str">
        <f t="shared" si="34"/>
        <v>144</v>
      </c>
      <c r="Q262" s="1">
        <v>0.52896769002751554</v>
      </c>
      <c r="R262" s="1">
        <v>0.64416260496738809</v>
      </c>
    </row>
    <row r="263" spans="1:18" x14ac:dyDescent="0.35">
      <c r="A263" t="s">
        <v>1275</v>
      </c>
      <c r="B263" s="2">
        <v>45736</v>
      </c>
      <c r="C263">
        <f t="shared" si="28"/>
        <v>102</v>
      </c>
      <c r="D263">
        <f t="shared" si="29"/>
        <v>3160</v>
      </c>
      <c r="E263">
        <f t="shared" si="30"/>
        <v>16</v>
      </c>
      <c r="F263">
        <f t="shared" si="31"/>
        <v>5</v>
      </c>
      <c r="G263">
        <f t="shared" si="32"/>
        <v>5</v>
      </c>
      <c r="H263">
        <f t="shared" si="33"/>
        <v>5</v>
      </c>
      <c r="I263" s="9" t="str">
        <f t="shared" si="34"/>
        <v>555</v>
      </c>
      <c r="Q263" s="1">
        <v>0.91863522907945105</v>
      </c>
      <c r="R263" s="1">
        <v>0.65729566616140211</v>
      </c>
    </row>
    <row r="264" spans="1:18" x14ac:dyDescent="0.35">
      <c r="A264" t="s">
        <v>1276</v>
      </c>
      <c r="B264" s="2">
        <v>45624</v>
      </c>
      <c r="C264">
        <f t="shared" si="28"/>
        <v>214</v>
      </c>
      <c r="D264">
        <f t="shared" si="29"/>
        <v>1236</v>
      </c>
      <c r="E264">
        <f t="shared" si="30"/>
        <v>7</v>
      </c>
      <c r="F264">
        <f t="shared" si="31"/>
        <v>4</v>
      </c>
      <c r="G264">
        <f t="shared" si="32"/>
        <v>1</v>
      </c>
      <c r="H264">
        <f t="shared" si="33"/>
        <v>1</v>
      </c>
      <c r="I264" s="9" t="str">
        <f t="shared" si="34"/>
        <v>411</v>
      </c>
      <c r="Q264" s="1">
        <v>0.5719325828246451</v>
      </c>
      <c r="R264" s="1">
        <v>3.1916015951149901E-2</v>
      </c>
    </row>
    <row r="265" spans="1:18" x14ac:dyDescent="0.35">
      <c r="A265" t="s">
        <v>1277</v>
      </c>
      <c r="B265" s="2">
        <v>45557</v>
      </c>
      <c r="C265">
        <f t="shared" si="28"/>
        <v>281</v>
      </c>
      <c r="D265">
        <f t="shared" si="29"/>
        <v>2378</v>
      </c>
      <c r="E265">
        <f t="shared" si="30"/>
        <v>12</v>
      </c>
      <c r="F265">
        <f t="shared" si="31"/>
        <v>2</v>
      </c>
      <c r="G265">
        <f t="shared" si="32"/>
        <v>4</v>
      </c>
      <c r="H265">
        <f t="shared" si="33"/>
        <v>4</v>
      </c>
      <c r="I265" s="9" t="str">
        <f t="shared" si="34"/>
        <v>244</v>
      </c>
      <c r="Q265" s="1">
        <v>0.23403618709487239</v>
      </c>
      <c r="R265" s="1">
        <v>0.94662204085233326</v>
      </c>
    </row>
    <row r="266" spans="1:18" x14ac:dyDescent="0.35">
      <c r="A266" t="s">
        <v>1278</v>
      </c>
      <c r="B266" s="2">
        <v>45809</v>
      </c>
      <c r="C266">
        <f t="shared" si="28"/>
        <v>29</v>
      </c>
      <c r="D266">
        <f t="shared" si="29"/>
        <v>2482</v>
      </c>
      <c r="E266">
        <f t="shared" si="30"/>
        <v>13</v>
      </c>
      <c r="F266">
        <f t="shared" si="31"/>
        <v>5</v>
      </c>
      <c r="G266">
        <f t="shared" si="32"/>
        <v>4</v>
      </c>
      <c r="H266">
        <f t="shared" si="33"/>
        <v>4</v>
      </c>
      <c r="I266" s="9" t="str">
        <f t="shared" si="34"/>
        <v>544</v>
      </c>
      <c r="Q266" s="1">
        <v>0.39502786043318006</v>
      </c>
      <c r="R266" s="1">
        <v>0.8381991719802937</v>
      </c>
    </row>
    <row r="267" spans="1:18" x14ac:dyDescent="0.35">
      <c r="A267" t="s">
        <v>1279</v>
      </c>
      <c r="B267" s="2">
        <v>45601</v>
      </c>
      <c r="C267">
        <f t="shared" si="28"/>
        <v>237</v>
      </c>
      <c r="D267">
        <f t="shared" si="29"/>
        <v>2068</v>
      </c>
      <c r="E267">
        <f t="shared" si="30"/>
        <v>11</v>
      </c>
      <c r="F267">
        <f t="shared" si="31"/>
        <v>4</v>
      </c>
      <c r="G267">
        <f t="shared" si="32"/>
        <v>3</v>
      </c>
      <c r="H267">
        <f t="shared" si="33"/>
        <v>4</v>
      </c>
      <c r="I267" s="9" t="str">
        <f t="shared" si="34"/>
        <v>434</v>
      </c>
      <c r="Q267" s="1">
        <v>0.83795334623605355</v>
      </c>
      <c r="R267" s="1">
        <v>0.18607009139420216</v>
      </c>
    </row>
    <row r="268" spans="1:18" x14ac:dyDescent="0.35">
      <c r="A268" t="s">
        <v>1280</v>
      </c>
      <c r="B268" s="2">
        <v>45295</v>
      </c>
      <c r="C268">
        <f t="shared" si="28"/>
        <v>543</v>
      </c>
      <c r="D268">
        <f t="shared" si="29"/>
        <v>1799</v>
      </c>
      <c r="E268">
        <f t="shared" si="30"/>
        <v>9</v>
      </c>
      <c r="F268">
        <f t="shared" si="31"/>
        <v>1</v>
      </c>
      <c r="G268">
        <f t="shared" si="32"/>
        <v>2</v>
      </c>
      <c r="H268">
        <f t="shared" si="33"/>
        <v>2</v>
      </c>
      <c r="I268" s="9" t="str">
        <f t="shared" si="34"/>
        <v>122</v>
      </c>
      <c r="Q268" s="1">
        <v>0.48279887129940569</v>
      </c>
      <c r="R268" s="1">
        <v>0.40554635216189217</v>
      </c>
    </row>
    <row r="269" spans="1:18" x14ac:dyDescent="0.35">
      <c r="A269" t="s">
        <v>1281</v>
      </c>
      <c r="B269" s="2">
        <v>45670</v>
      </c>
      <c r="C269">
        <f t="shared" si="28"/>
        <v>168</v>
      </c>
      <c r="D269">
        <f t="shared" si="29"/>
        <v>2820</v>
      </c>
      <c r="E269">
        <f t="shared" si="30"/>
        <v>14</v>
      </c>
      <c r="F269">
        <f t="shared" si="31"/>
        <v>4</v>
      </c>
      <c r="G269">
        <f t="shared" si="32"/>
        <v>5</v>
      </c>
      <c r="H269">
        <f t="shared" si="33"/>
        <v>5</v>
      </c>
      <c r="I269" s="9" t="str">
        <f t="shared" si="34"/>
        <v>455</v>
      </c>
      <c r="Q269" s="1">
        <v>0.44751688639185616</v>
      </c>
      <c r="R269" s="1">
        <v>0.95659356185615463</v>
      </c>
    </row>
    <row r="270" spans="1:18" x14ac:dyDescent="0.35">
      <c r="A270" t="s">
        <v>1282</v>
      </c>
      <c r="B270" s="2">
        <v>45796</v>
      </c>
      <c r="C270">
        <f t="shared" si="28"/>
        <v>42</v>
      </c>
      <c r="D270">
        <f t="shared" si="29"/>
        <v>564</v>
      </c>
      <c r="E270">
        <f t="shared" si="30"/>
        <v>4</v>
      </c>
      <c r="F270">
        <f t="shared" si="31"/>
        <v>5</v>
      </c>
      <c r="G270">
        <f t="shared" si="32"/>
        <v>1</v>
      </c>
      <c r="H270">
        <f t="shared" si="33"/>
        <v>1</v>
      </c>
      <c r="I270" s="9" t="str">
        <f t="shared" si="34"/>
        <v>511</v>
      </c>
      <c r="Q270" s="1">
        <v>6.6094508587770773E-2</v>
      </c>
      <c r="R270" s="1">
        <v>0.19863494078747879</v>
      </c>
    </row>
    <row r="271" spans="1:18" x14ac:dyDescent="0.35">
      <c r="A271" t="s">
        <v>1283</v>
      </c>
      <c r="B271" s="2">
        <v>45829</v>
      </c>
      <c r="C271">
        <f t="shared" si="28"/>
        <v>9</v>
      </c>
      <c r="D271">
        <f t="shared" si="29"/>
        <v>2800</v>
      </c>
      <c r="E271">
        <f t="shared" si="30"/>
        <v>14</v>
      </c>
      <c r="F271">
        <f t="shared" si="31"/>
        <v>5</v>
      </c>
      <c r="G271">
        <f t="shared" si="32"/>
        <v>5</v>
      </c>
      <c r="H271">
        <f t="shared" si="33"/>
        <v>5</v>
      </c>
      <c r="I271" s="9" t="str">
        <f t="shared" si="34"/>
        <v>555</v>
      </c>
      <c r="Q271" s="1">
        <v>0.54942548692441562</v>
      </c>
      <c r="R271" s="1">
        <v>0.84471488491098579</v>
      </c>
    </row>
    <row r="272" spans="1:18" x14ac:dyDescent="0.35">
      <c r="A272" t="s">
        <v>1284</v>
      </c>
      <c r="B272" s="2">
        <v>45511</v>
      </c>
      <c r="C272">
        <f t="shared" si="28"/>
        <v>327</v>
      </c>
      <c r="D272">
        <f t="shared" si="29"/>
        <v>2189</v>
      </c>
      <c r="E272">
        <f t="shared" si="30"/>
        <v>11</v>
      </c>
      <c r="F272">
        <f t="shared" si="31"/>
        <v>2</v>
      </c>
      <c r="G272">
        <f t="shared" si="32"/>
        <v>3</v>
      </c>
      <c r="H272">
        <f t="shared" si="33"/>
        <v>4</v>
      </c>
      <c r="I272" s="9" t="str">
        <f t="shared" si="34"/>
        <v>234</v>
      </c>
      <c r="Q272" s="1">
        <v>0.69622325402821661</v>
      </c>
      <c r="R272" s="1">
        <v>0.388974006704214</v>
      </c>
    </row>
    <row r="273" spans="1:18" x14ac:dyDescent="0.35">
      <c r="A273" t="s">
        <v>1285</v>
      </c>
      <c r="B273" s="2">
        <v>45392</v>
      </c>
      <c r="C273">
        <f t="shared" si="28"/>
        <v>446</v>
      </c>
      <c r="D273">
        <f t="shared" si="29"/>
        <v>965</v>
      </c>
      <c r="E273">
        <f t="shared" si="30"/>
        <v>5</v>
      </c>
      <c r="F273">
        <f t="shared" si="31"/>
        <v>1</v>
      </c>
      <c r="G273">
        <f t="shared" si="32"/>
        <v>1</v>
      </c>
      <c r="H273">
        <f t="shared" si="33"/>
        <v>1</v>
      </c>
      <c r="I273" s="9" t="str">
        <f t="shared" si="34"/>
        <v>111</v>
      </c>
      <c r="Q273" s="1">
        <v>0.10244527741067766</v>
      </c>
      <c r="R273" s="1">
        <v>0.36462188796149519</v>
      </c>
    </row>
    <row r="274" spans="1:18" x14ac:dyDescent="0.35">
      <c r="A274" t="s">
        <v>1286</v>
      </c>
      <c r="B274" s="2">
        <v>45589</v>
      </c>
      <c r="C274">
        <f t="shared" si="28"/>
        <v>249</v>
      </c>
      <c r="D274">
        <f t="shared" si="29"/>
        <v>2818</v>
      </c>
      <c r="E274">
        <f t="shared" si="30"/>
        <v>14</v>
      </c>
      <c r="F274">
        <f t="shared" si="31"/>
        <v>4</v>
      </c>
      <c r="G274">
        <f t="shared" si="32"/>
        <v>5</v>
      </c>
      <c r="H274">
        <f t="shared" si="33"/>
        <v>5</v>
      </c>
      <c r="I274" s="9" t="str">
        <f t="shared" si="34"/>
        <v>455</v>
      </c>
      <c r="Q274" s="1">
        <v>0.58148418334695628</v>
      </c>
      <c r="R274" s="1">
        <v>0.82140576453373937</v>
      </c>
    </row>
    <row r="275" spans="1:18" x14ac:dyDescent="0.35">
      <c r="A275" t="s">
        <v>1287</v>
      </c>
      <c r="B275" s="2">
        <v>45467</v>
      </c>
      <c r="C275">
        <f t="shared" si="28"/>
        <v>371</v>
      </c>
      <c r="D275">
        <f t="shared" si="29"/>
        <v>1904</v>
      </c>
      <c r="E275">
        <f t="shared" si="30"/>
        <v>10</v>
      </c>
      <c r="F275">
        <f t="shared" si="31"/>
        <v>2</v>
      </c>
      <c r="G275">
        <f t="shared" si="32"/>
        <v>2</v>
      </c>
      <c r="H275">
        <f t="shared" si="33"/>
        <v>2</v>
      </c>
      <c r="I275" s="9" t="str">
        <f t="shared" si="34"/>
        <v>222</v>
      </c>
      <c r="Q275" s="1">
        <v>0.62661982780908121</v>
      </c>
      <c r="R275" s="1">
        <v>0.31500936903155785</v>
      </c>
    </row>
    <row r="276" spans="1:18" x14ac:dyDescent="0.35">
      <c r="A276" t="s">
        <v>1288</v>
      </c>
      <c r="B276" s="2">
        <v>45454</v>
      </c>
      <c r="C276">
        <f t="shared" si="28"/>
        <v>384</v>
      </c>
      <c r="D276">
        <f t="shared" si="29"/>
        <v>3521</v>
      </c>
      <c r="E276">
        <f t="shared" si="30"/>
        <v>18</v>
      </c>
      <c r="F276">
        <f t="shared" si="31"/>
        <v>2</v>
      </c>
      <c r="G276">
        <f t="shared" si="32"/>
        <v>5</v>
      </c>
      <c r="H276">
        <f t="shared" si="33"/>
        <v>5</v>
      </c>
      <c r="I276" s="9" t="str">
        <f t="shared" si="34"/>
        <v>255</v>
      </c>
      <c r="Q276" s="1">
        <v>0.93781676446879136</v>
      </c>
      <c r="R276" s="1">
        <v>0.82031596857308309</v>
      </c>
    </row>
    <row r="277" spans="1:18" x14ac:dyDescent="0.35">
      <c r="A277" t="s">
        <v>1289</v>
      </c>
      <c r="B277" s="2">
        <v>45432</v>
      </c>
      <c r="C277">
        <f t="shared" si="28"/>
        <v>406</v>
      </c>
      <c r="D277">
        <f t="shared" si="29"/>
        <v>2380</v>
      </c>
      <c r="E277">
        <f t="shared" si="30"/>
        <v>12</v>
      </c>
      <c r="F277">
        <f t="shared" si="31"/>
        <v>2</v>
      </c>
      <c r="G277">
        <f t="shared" si="32"/>
        <v>4</v>
      </c>
      <c r="H277">
        <f t="shared" si="33"/>
        <v>4</v>
      </c>
      <c r="I277" s="9" t="str">
        <f t="shared" si="34"/>
        <v>244</v>
      </c>
      <c r="Q277" s="1">
        <v>0.90968106387463088</v>
      </c>
      <c r="R277" s="1">
        <v>0.27212195469079326</v>
      </c>
    </row>
    <row r="278" spans="1:18" x14ac:dyDescent="0.35">
      <c r="A278" t="s">
        <v>1290</v>
      </c>
      <c r="B278" s="2">
        <v>45397</v>
      </c>
      <c r="C278">
        <f t="shared" si="28"/>
        <v>441</v>
      </c>
      <c r="D278">
        <f t="shared" si="29"/>
        <v>2280</v>
      </c>
      <c r="E278">
        <f t="shared" si="30"/>
        <v>12</v>
      </c>
      <c r="F278">
        <f t="shared" si="31"/>
        <v>1</v>
      </c>
      <c r="G278">
        <f t="shared" si="32"/>
        <v>4</v>
      </c>
      <c r="H278">
        <f t="shared" si="33"/>
        <v>4</v>
      </c>
      <c r="I278" s="9" t="str">
        <f t="shared" si="34"/>
        <v>144</v>
      </c>
      <c r="Q278" s="1">
        <v>0.6491551712592537</v>
      </c>
      <c r="R278" s="1">
        <v>0.48240868225219091</v>
      </c>
    </row>
    <row r="279" spans="1:18" x14ac:dyDescent="0.35">
      <c r="A279" t="s">
        <v>1291</v>
      </c>
      <c r="B279" s="2">
        <v>45502</v>
      </c>
      <c r="C279">
        <f t="shared" si="28"/>
        <v>336</v>
      </c>
      <c r="D279">
        <f t="shared" si="29"/>
        <v>2484</v>
      </c>
      <c r="E279">
        <f t="shared" si="30"/>
        <v>13</v>
      </c>
      <c r="F279">
        <f t="shared" si="31"/>
        <v>2</v>
      </c>
      <c r="G279">
        <f t="shared" si="32"/>
        <v>4</v>
      </c>
      <c r="H279">
        <f t="shared" si="33"/>
        <v>4</v>
      </c>
      <c r="I279" s="9" t="str">
        <f t="shared" si="34"/>
        <v>244</v>
      </c>
      <c r="Q279" s="1">
        <v>0.48297610261247648</v>
      </c>
      <c r="R279" s="1">
        <v>0.75148787397811567</v>
      </c>
    </row>
    <row r="280" spans="1:18" x14ac:dyDescent="0.35">
      <c r="A280" t="s">
        <v>1292</v>
      </c>
      <c r="B280" s="2">
        <v>45576</v>
      </c>
      <c r="C280">
        <f t="shared" si="28"/>
        <v>262</v>
      </c>
      <c r="D280">
        <f t="shared" si="29"/>
        <v>1619</v>
      </c>
      <c r="E280">
        <f t="shared" si="30"/>
        <v>9</v>
      </c>
      <c r="F280">
        <f t="shared" si="31"/>
        <v>4</v>
      </c>
      <c r="G280">
        <f t="shared" si="32"/>
        <v>2</v>
      </c>
      <c r="H280">
        <f t="shared" si="33"/>
        <v>2</v>
      </c>
      <c r="I280" s="9" t="str">
        <f t="shared" si="34"/>
        <v>422</v>
      </c>
      <c r="Q280" s="1">
        <v>0.57618463211602222</v>
      </c>
      <c r="R280" s="1">
        <v>0.22141376552334691</v>
      </c>
    </row>
    <row r="281" spans="1:18" x14ac:dyDescent="0.35">
      <c r="A281" t="s">
        <v>1293</v>
      </c>
      <c r="B281" s="2">
        <v>45293</v>
      </c>
      <c r="C281">
        <f t="shared" si="28"/>
        <v>545</v>
      </c>
      <c r="D281">
        <f t="shared" si="29"/>
        <v>750</v>
      </c>
      <c r="E281">
        <f t="shared" si="30"/>
        <v>4</v>
      </c>
      <c r="F281">
        <f t="shared" si="31"/>
        <v>1</v>
      </c>
      <c r="G281">
        <f t="shared" si="32"/>
        <v>1</v>
      </c>
      <c r="H281">
        <f t="shared" si="33"/>
        <v>1</v>
      </c>
      <c r="I281" s="9" t="str">
        <f t="shared" si="34"/>
        <v>111</v>
      </c>
      <c r="Q281" s="1">
        <v>0.35701214084426836</v>
      </c>
      <c r="R281" s="1">
        <v>1.5331779967445724E-3</v>
      </c>
    </row>
    <row r="282" spans="1:18" x14ac:dyDescent="0.35">
      <c r="A282" t="s">
        <v>1294</v>
      </c>
      <c r="B282" s="2">
        <v>45548</v>
      </c>
      <c r="C282">
        <f t="shared" si="28"/>
        <v>290</v>
      </c>
      <c r="D282">
        <f t="shared" si="29"/>
        <v>751</v>
      </c>
      <c r="E282">
        <f t="shared" si="30"/>
        <v>4</v>
      </c>
      <c r="F282">
        <f t="shared" si="31"/>
        <v>2</v>
      </c>
      <c r="G282">
        <f t="shared" si="32"/>
        <v>1</v>
      </c>
      <c r="H282">
        <f t="shared" si="33"/>
        <v>1</v>
      </c>
      <c r="I282" s="9" t="str">
        <f t="shared" si="34"/>
        <v>211</v>
      </c>
      <c r="Q282" s="1">
        <v>0.13172067346843874</v>
      </c>
      <c r="R282" s="1">
        <v>0.22750789036656005</v>
      </c>
    </row>
    <row r="283" spans="1:18" x14ac:dyDescent="0.35">
      <c r="A283" t="s">
        <v>1295</v>
      </c>
      <c r="B283" s="2">
        <v>45787</v>
      </c>
      <c r="C283">
        <f t="shared" si="28"/>
        <v>51</v>
      </c>
      <c r="D283">
        <f t="shared" si="29"/>
        <v>1633</v>
      </c>
      <c r="E283">
        <f t="shared" si="30"/>
        <v>9</v>
      </c>
      <c r="F283">
        <f t="shared" si="31"/>
        <v>5</v>
      </c>
      <c r="G283">
        <f t="shared" si="32"/>
        <v>2</v>
      </c>
      <c r="H283">
        <f t="shared" si="33"/>
        <v>2</v>
      </c>
      <c r="I283" s="9" t="str">
        <f t="shared" si="34"/>
        <v>522</v>
      </c>
      <c r="Q283" s="1">
        <v>6.5011811977840672E-2</v>
      </c>
      <c r="R283" s="1">
        <v>0.7395462243726022</v>
      </c>
    </row>
    <row r="284" spans="1:18" x14ac:dyDescent="0.35">
      <c r="A284" t="s">
        <v>1296</v>
      </c>
      <c r="B284" s="2">
        <v>45405</v>
      </c>
      <c r="C284">
        <f t="shared" si="28"/>
        <v>433</v>
      </c>
      <c r="D284">
        <f t="shared" si="29"/>
        <v>883</v>
      </c>
      <c r="E284">
        <f t="shared" si="30"/>
        <v>5</v>
      </c>
      <c r="F284">
        <f t="shared" si="31"/>
        <v>1</v>
      </c>
      <c r="G284">
        <f t="shared" si="32"/>
        <v>1</v>
      </c>
      <c r="H284">
        <f t="shared" si="33"/>
        <v>1</v>
      </c>
      <c r="I284" s="9" t="str">
        <f t="shared" si="34"/>
        <v>111</v>
      </c>
      <c r="Q284" s="1">
        <v>0.31016281211899088</v>
      </c>
      <c r="R284" s="1">
        <v>0.11572654742947364</v>
      </c>
    </row>
    <row r="285" spans="1:18" x14ac:dyDescent="0.35">
      <c r="A285" t="s">
        <v>1297</v>
      </c>
      <c r="B285" s="2">
        <v>45532</v>
      </c>
      <c r="C285">
        <f t="shared" si="28"/>
        <v>306</v>
      </c>
      <c r="D285">
        <f t="shared" si="29"/>
        <v>1074</v>
      </c>
      <c r="E285">
        <f t="shared" si="30"/>
        <v>6</v>
      </c>
      <c r="F285">
        <f t="shared" si="31"/>
        <v>2</v>
      </c>
      <c r="G285">
        <f t="shared" si="32"/>
        <v>1</v>
      </c>
      <c r="H285">
        <f t="shared" si="33"/>
        <v>1</v>
      </c>
      <c r="I285" s="9" t="str">
        <f t="shared" si="34"/>
        <v>211</v>
      </c>
      <c r="Q285" s="1">
        <v>0.35805612599427705</v>
      </c>
      <c r="R285" s="1">
        <v>0.16440759756372192</v>
      </c>
    </row>
    <row r="286" spans="1:18" x14ac:dyDescent="0.35">
      <c r="A286" t="s">
        <v>1298</v>
      </c>
      <c r="B286" s="2">
        <v>45683</v>
      </c>
      <c r="C286">
        <f t="shared" si="28"/>
        <v>155</v>
      </c>
      <c r="D286">
        <f t="shared" si="29"/>
        <v>1445</v>
      </c>
      <c r="E286">
        <f t="shared" si="30"/>
        <v>8</v>
      </c>
      <c r="F286">
        <f t="shared" si="31"/>
        <v>4</v>
      </c>
      <c r="G286">
        <f t="shared" si="32"/>
        <v>1</v>
      </c>
      <c r="H286">
        <f t="shared" si="33"/>
        <v>1</v>
      </c>
      <c r="I286" s="9" t="str">
        <f t="shared" si="34"/>
        <v>411</v>
      </c>
      <c r="Q286" s="1">
        <v>0.66740172781358598</v>
      </c>
      <c r="R286" s="1">
        <v>4.2268910440433571E-2</v>
      </c>
    </row>
    <row r="287" spans="1:18" x14ac:dyDescent="0.35">
      <c r="A287" t="s">
        <v>1299</v>
      </c>
      <c r="B287" s="2">
        <v>45618</v>
      </c>
      <c r="C287">
        <f t="shared" si="28"/>
        <v>220</v>
      </c>
      <c r="D287">
        <f t="shared" si="29"/>
        <v>1822</v>
      </c>
      <c r="E287">
        <f t="shared" si="30"/>
        <v>10</v>
      </c>
      <c r="F287">
        <f t="shared" si="31"/>
        <v>4</v>
      </c>
      <c r="G287">
        <f t="shared" si="32"/>
        <v>2</v>
      </c>
      <c r="H287">
        <f t="shared" si="33"/>
        <v>2</v>
      </c>
      <c r="I287" s="9" t="str">
        <f t="shared" si="34"/>
        <v>422</v>
      </c>
      <c r="Q287" s="1">
        <v>0.88829073535495984</v>
      </c>
      <c r="R287" s="1">
        <v>1.1949754880174912E-2</v>
      </c>
    </row>
    <row r="288" spans="1:18" x14ac:dyDescent="0.35">
      <c r="A288" t="s">
        <v>1300</v>
      </c>
      <c r="B288" s="2">
        <v>45785</v>
      </c>
      <c r="C288">
        <f t="shared" si="28"/>
        <v>53</v>
      </c>
      <c r="D288">
        <f t="shared" si="29"/>
        <v>2597</v>
      </c>
      <c r="E288">
        <f t="shared" si="30"/>
        <v>13</v>
      </c>
      <c r="F288">
        <f t="shared" si="31"/>
        <v>5</v>
      </c>
      <c r="G288">
        <f t="shared" si="32"/>
        <v>4</v>
      </c>
      <c r="H288">
        <f t="shared" si="33"/>
        <v>5</v>
      </c>
      <c r="I288" s="9" t="str">
        <f t="shared" si="34"/>
        <v>545</v>
      </c>
      <c r="Q288" s="1">
        <v>0.88592287360478872</v>
      </c>
      <c r="R288" s="1">
        <v>0.40549360941134283</v>
      </c>
    </row>
    <row r="289" spans="1:18" x14ac:dyDescent="0.35">
      <c r="A289" t="s">
        <v>1301</v>
      </c>
      <c r="B289" s="2">
        <v>45835</v>
      </c>
      <c r="C289">
        <f t="shared" si="28"/>
        <v>3</v>
      </c>
      <c r="D289">
        <f t="shared" si="29"/>
        <v>2727</v>
      </c>
      <c r="E289">
        <f t="shared" si="30"/>
        <v>14</v>
      </c>
      <c r="F289">
        <f t="shared" si="31"/>
        <v>5</v>
      </c>
      <c r="G289">
        <f t="shared" si="32"/>
        <v>5</v>
      </c>
      <c r="H289">
        <f t="shared" si="33"/>
        <v>5</v>
      </c>
      <c r="I289" s="9" t="str">
        <f t="shared" si="34"/>
        <v>555</v>
      </c>
      <c r="Q289" s="1">
        <v>0.90474293049633447</v>
      </c>
      <c r="R289" s="1">
        <v>0.45231501140439856</v>
      </c>
    </row>
    <row r="290" spans="1:18" x14ac:dyDescent="0.35">
      <c r="A290" t="s">
        <v>1302</v>
      </c>
      <c r="B290" s="2">
        <v>45496</v>
      </c>
      <c r="C290">
        <f t="shared" si="28"/>
        <v>342</v>
      </c>
      <c r="D290">
        <f t="shared" si="29"/>
        <v>2387</v>
      </c>
      <c r="E290">
        <f t="shared" si="30"/>
        <v>12</v>
      </c>
      <c r="F290">
        <f t="shared" si="31"/>
        <v>2</v>
      </c>
      <c r="G290">
        <f t="shared" si="32"/>
        <v>4</v>
      </c>
      <c r="H290">
        <f t="shared" si="33"/>
        <v>4</v>
      </c>
      <c r="I290" s="9" t="str">
        <f t="shared" si="34"/>
        <v>244</v>
      </c>
      <c r="Q290" s="1">
        <v>0.85665824307081362</v>
      </c>
      <c r="R290" s="1">
        <v>0.3288605471865389</v>
      </c>
    </row>
    <row r="291" spans="1:18" x14ac:dyDescent="0.35">
      <c r="A291" t="s">
        <v>1303</v>
      </c>
      <c r="B291" s="2">
        <v>45669</v>
      </c>
      <c r="C291">
        <f t="shared" si="28"/>
        <v>169</v>
      </c>
      <c r="D291">
        <f t="shared" si="29"/>
        <v>1210</v>
      </c>
      <c r="E291">
        <f t="shared" si="30"/>
        <v>7</v>
      </c>
      <c r="F291">
        <f t="shared" si="31"/>
        <v>4</v>
      </c>
      <c r="G291">
        <f t="shared" si="32"/>
        <v>1</v>
      </c>
      <c r="H291">
        <f t="shared" si="33"/>
        <v>1</v>
      </c>
      <c r="I291" s="9" t="str">
        <f t="shared" si="34"/>
        <v>411</v>
      </c>
      <c r="Q291" s="1">
        <v>0.31230398454401986</v>
      </c>
      <c r="R291" s="1">
        <v>0.27882734338764947</v>
      </c>
    </row>
    <row r="292" spans="1:18" x14ac:dyDescent="0.35">
      <c r="A292" t="s">
        <v>1304</v>
      </c>
      <c r="B292" s="2">
        <v>45371</v>
      </c>
      <c r="C292">
        <f t="shared" si="28"/>
        <v>467</v>
      </c>
      <c r="D292">
        <f t="shared" si="29"/>
        <v>2251</v>
      </c>
      <c r="E292">
        <f t="shared" si="30"/>
        <v>12</v>
      </c>
      <c r="F292">
        <f t="shared" si="31"/>
        <v>1</v>
      </c>
      <c r="G292">
        <f t="shared" si="32"/>
        <v>4</v>
      </c>
      <c r="H292">
        <f t="shared" si="33"/>
        <v>4</v>
      </c>
      <c r="I292" s="9" t="str">
        <f t="shared" si="34"/>
        <v>144</v>
      </c>
      <c r="Q292" s="1">
        <v>0.58939365631013174</v>
      </c>
      <c r="R292" s="1">
        <v>0.52719223625579481</v>
      </c>
    </row>
    <row r="293" spans="1:18" x14ac:dyDescent="0.35">
      <c r="A293" t="s">
        <v>1305</v>
      </c>
      <c r="B293" s="2">
        <v>45526</v>
      </c>
      <c r="C293">
        <f t="shared" si="28"/>
        <v>312</v>
      </c>
      <c r="D293">
        <f t="shared" si="29"/>
        <v>3699</v>
      </c>
      <c r="E293">
        <f t="shared" si="30"/>
        <v>19</v>
      </c>
      <c r="F293">
        <f t="shared" si="31"/>
        <v>2</v>
      </c>
      <c r="G293">
        <f t="shared" si="32"/>
        <v>5</v>
      </c>
      <c r="H293">
        <f t="shared" si="33"/>
        <v>5</v>
      </c>
      <c r="I293" s="9" t="str">
        <f t="shared" si="34"/>
        <v>255</v>
      </c>
      <c r="Q293" s="1">
        <v>0.99365259643801074</v>
      </c>
      <c r="R293" s="1">
        <v>0.85428681679836971</v>
      </c>
    </row>
    <row r="294" spans="1:18" x14ac:dyDescent="0.35">
      <c r="A294" t="s">
        <v>1306</v>
      </c>
      <c r="B294" s="2">
        <v>45330</v>
      </c>
      <c r="C294">
        <f t="shared" si="28"/>
        <v>508</v>
      </c>
      <c r="D294">
        <f t="shared" si="29"/>
        <v>3078</v>
      </c>
      <c r="E294">
        <f t="shared" si="30"/>
        <v>16</v>
      </c>
      <c r="F294">
        <f t="shared" si="31"/>
        <v>1</v>
      </c>
      <c r="G294">
        <f t="shared" si="32"/>
        <v>5</v>
      </c>
      <c r="H294">
        <f t="shared" si="33"/>
        <v>5</v>
      </c>
      <c r="I294" s="9" t="str">
        <f t="shared" si="34"/>
        <v>155</v>
      </c>
      <c r="Q294" s="1">
        <v>0.80855888573139856</v>
      </c>
      <c r="R294" s="1">
        <v>0.72576001242007482</v>
      </c>
    </row>
    <row r="295" spans="1:18" x14ac:dyDescent="0.35">
      <c r="A295" t="s">
        <v>1307</v>
      </c>
      <c r="B295" s="2">
        <v>45653</v>
      </c>
      <c r="C295">
        <f t="shared" si="28"/>
        <v>185</v>
      </c>
      <c r="D295">
        <f t="shared" si="29"/>
        <v>3410</v>
      </c>
      <c r="E295">
        <f t="shared" si="30"/>
        <v>17</v>
      </c>
      <c r="F295">
        <f t="shared" si="31"/>
        <v>4</v>
      </c>
      <c r="G295">
        <f t="shared" si="32"/>
        <v>5</v>
      </c>
      <c r="H295">
        <f t="shared" si="33"/>
        <v>5</v>
      </c>
      <c r="I295" s="9" t="str">
        <f t="shared" si="34"/>
        <v>455</v>
      </c>
      <c r="Q295" s="1">
        <v>0.76599017104471134</v>
      </c>
      <c r="R295" s="1">
        <v>0.93599558960685536</v>
      </c>
    </row>
    <row r="296" spans="1:18" x14ac:dyDescent="0.35">
      <c r="A296" t="s">
        <v>1308</v>
      </c>
      <c r="B296" s="2">
        <v>45804</v>
      </c>
      <c r="C296">
        <f t="shared" si="28"/>
        <v>34</v>
      </c>
      <c r="D296">
        <f t="shared" si="29"/>
        <v>2695</v>
      </c>
      <c r="E296">
        <f t="shared" si="30"/>
        <v>14</v>
      </c>
      <c r="F296">
        <f t="shared" si="31"/>
        <v>5</v>
      </c>
      <c r="G296">
        <f t="shared" si="32"/>
        <v>5</v>
      </c>
      <c r="H296">
        <f t="shared" si="33"/>
        <v>5</v>
      </c>
      <c r="I296" s="9" t="str">
        <f t="shared" si="34"/>
        <v>555</v>
      </c>
      <c r="Q296" s="1">
        <v>0.61991832165934746</v>
      </c>
      <c r="R296" s="1">
        <v>0.72103054303686065</v>
      </c>
    </row>
    <row r="297" spans="1:18" x14ac:dyDescent="0.35">
      <c r="A297" t="s">
        <v>1309</v>
      </c>
      <c r="B297" s="2">
        <v>45803</v>
      </c>
      <c r="C297">
        <f t="shared" si="28"/>
        <v>35</v>
      </c>
      <c r="D297">
        <f t="shared" si="29"/>
        <v>3179</v>
      </c>
      <c r="E297">
        <f t="shared" si="30"/>
        <v>16</v>
      </c>
      <c r="F297">
        <f t="shared" si="31"/>
        <v>5</v>
      </c>
      <c r="G297">
        <f t="shared" si="32"/>
        <v>5</v>
      </c>
      <c r="H297">
        <f t="shared" si="33"/>
        <v>5</v>
      </c>
      <c r="I297" s="9" t="str">
        <f t="shared" si="34"/>
        <v>555</v>
      </c>
      <c r="Q297" s="1">
        <v>0.89805293044808776</v>
      </c>
      <c r="R297" s="1">
        <v>0.68747780188324803</v>
      </c>
    </row>
    <row r="298" spans="1:18" x14ac:dyDescent="0.35">
      <c r="A298" t="s">
        <v>1310</v>
      </c>
      <c r="B298" s="2">
        <v>45622</v>
      </c>
      <c r="C298">
        <f t="shared" si="28"/>
        <v>216</v>
      </c>
      <c r="D298">
        <f t="shared" si="29"/>
        <v>2939</v>
      </c>
      <c r="E298">
        <f t="shared" si="30"/>
        <v>15</v>
      </c>
      <c r="F298">
        <f t="shared" si="31"/>
        <v>4</v>
      </c>
      <c r="G298">
        <f t="shared" si="32"/>
        <v>5</v>
      </c>
      <c r="H298">
        <f t="shared" si="33"/>
        <v>5</v>
      </c>
      <c r="I298" s="9" t="str">
        <f t="shared" si="34"/>
        <v>455</v>
      </c>
      <c r="Q298" s="1">
        <v>0.75349484974696113</v>
      </c>
      <c r="R298" s="1">
        <v>0.7107063091496939</v>
      </c>
    </row>
    <row r="299" spans="1:18" x14ac:dyDescent="0.35">
      <c r="A299" t="s">
        <v>1311</v>
      </c>
      <c r="B299" s="2">
        <v>45481</v>
      </c>
      <c r="C299">
        <f t="shared" si="28"/>
        <v>357</v>
      </c>
      <c r="D299">
        <f t="shared" si="29"/>
        <v>2034</v>
      </c>
      <c r="E299">
        <f t="shared" si="30"/>
        <v>11</v>
      </c>
      <c r="F299">
        <f t="shared" si="31"/>
        <v>2</v>
      </c>
      <c r="G299">
        <f t="shared" si="32"/>
        <v>3</v>
      </c>
      <c r="H299">
        <f t="shared" si="33"/>
        <v>3</v>
      </c>
      <c r="I299" s="9" t="str">
        <f t="shared" si="34"/>
        <v>233</v>
      </c>
      <c r="Q299" s="1">
        <v>0.56984541546005352</v>
      </c>
      <c r="R299" s="1">
        <v>0.43745824081022189</v>
      </c>
    </row>
    <row r="300" spans="1:18" x14ac:dyDescent="0.35">
      <c r="A300" t="s">
        <v>1312</v>
      </c>
      <c r="B300" s="2">
        <v>45774</v>
      </c>
      <c r="C300">
        <f t="shared" si="28"/>
        <v>64</v>
      </c>
      <c r="D300">
        <f t="shared" si="29"/>
        <v>1653</v>
      </c>
      <c r="E300">
        <f t="shared" si="30"/>
        <v>9</v>
      </c>
      <c r="F300">
        <f t="shared" si="31"/>
        <v>5</v>
      </c>
      <c r="G300">
        <f t="shared" si="32"/>
        <v>2</v>
      </c>
      <c r="H300">
        <f t="shared" si="33"/>
        <v>2</v>
      </c>
      <c r="I300" s="9" t="str">
        <f t="shared" si="34"/>
        <v>522</v>
      </c>
      <c r="Q300" s="1">
        <v>0.81112240305423955</v>
      </c>
      <c r="R300" s="1">
        <v>3.5627262224214862E-3</v>
      </c>
    </row>
    <row r="301" spans="1:18" x14ac:dyDescent="0.35">
      <c r="A301" t="s">
        <v>1313</v>
      </c>
      <c r="B301" s="2">
        <v>45478</v>
      </c>
      <c r="C301">
        <f t="shared" si="28"/>
        <v>360</v>
      </c>
      <c r="D301">
        <f t="shared" si="29"/>
        <v>1010</v>
      </c>
      <c r="E301">
        <f t="shared" si="30"/>
        <v>6</v>
      </c>
      <c r="F301">
        <f t="shared" si="31"/>
        <v>2</v>
      </c>
      <c r="G301">
        <f t="shared" si="32"/>
        <v>1</v>
      </c>
      <c r="H301">
        <f t="shared" si="33"/>
        <v>1</v>
      </c>
      <c r="I301" s="9" t="str">
        <f t="shared" si="34"/>
        <v>211</v>
      </c>
      <c r="Q301" s="1">
        <v>4.694626729059348E-2</v>
      </c>
      <c r="R301" s="1">
        <v>0.44297630957422629</v>
      </c>
    </row>
    <row r="302" spans="1:18" x14ac:dyDescent="0.35">
      <c r="A302" t="s">
        <v>1314</v>
      </c>
      <c r="B302" s="2">
        <v>45590</v>
      </c>
      <c r="C302">
        <f t="shared" si="28"/>
        <v>248</v>
      </c>
      <c r="D302">
        <f t="shared" si="29"/>
        <v>2008</v>
      </c>
      <c r="E302">
        <f t="shared" si="30"/>
        <v>10</v>
      </c>
      <c r="F302">
        <f t="shared" si="31"/>
        <v>4</v>
      </c>
      <c r="G302">
        <f t="shared" si="32"/>
        <v>2</v>
      </c>
      <c r="H302">
        <f t="shared" si="33"/>
        <v>2</v>
      </c>
      <c r="I302" s="9" t="str">
        <f t="shared" si="34"/>
        <v>422</v>
      </c>
      <c r="Q302" s="1">
        <v>0.10761079346430835</v>
      </c>
      <c r="R302" s="1">
        <v>0.8860878222680505</v>
      </c>
    </row>
    <row r="303" spans="1:18" x14ac:dyDescent="0.35">
      <c r="A303" t="s">
        <v>1315</v>
      </c>
      <c r="B303" s="2">
        <v>45601</v>
      </c>
      <c r="C303">
        <f t="shared" si="28"/>
        <v>237</v>
      </c>
      <c r="D303">
        <f t="shared" si="29"/>
        <v>1353</v>
      </c>
      <c r="E303">
        <f t="shared" si="30"/>
        <v>7</v>
      </c>
      <c r="F303">
        <f t="shared" si="31"/>
        <v>4</v>
      </c>
      <c r="G303">
        <f t="shared" si="32"/>
        <v>1</v>
      </c>
      <c r="H303">
        <f t="shared" si="33"/>
        <v>1</v>
      </c>
      <c r="I303" s="9" t="str">
        <f t="shared" si="34"/>
        <v>411</v>
      </c>
      <c r="Q303" s="1">
        <v>3.2190605962976737E-2</v>
      </c>
      <c r="R303" s="1">
        <v>0.63072082577992528</v>
      </c>
    </row>
    <row r="304" spans="1:18" x14ac:dyDescent="0.35">
      <c r="A304" t="s">
        <v>1316</v>
      </c>
      <c r="B304" s="2">
        <v>45431</v>
      </c>
      <c r="C304">
        <f t="shared" si="28"/>
        <v>407</v>
      </c>
      <c r="D304">
        <f t="shared" si="29"/>
        <v>1918</v>
      </c>
      <c r="E304">
        <f t="shared" si="30"/>
        <v>10</v>
      </c>
      <c r="F304">
        <f t="shared" si="31"/>
        <v>2</v>
      </c>
      <c r="G304">
        <f t="shared" si="32"/>
        <v>2</v>
      </c>
      <c r="H304">
        <f t="shared" si="33"/>
        <v>2</v>
      </c>
      <c r="I304" s="9" t="str">
        <f t="shared" si="34"/>
        <v>222</v>
      </c>
      <c r="Q304" s="1">
        <v>2.9185488126161618E-2</v>
      </c>
      <c r="R304" s="1">
        <v>0.91950552716380696</v>
      </c>
    </row>
    <row r="305" spans="1:18" x14ac:dyDescent="0.35">
      <c r="A305" t="s">
        <v>1317</v>
      </c>
      <c r="B305" s="2">
        <v>45403</v>
      </c>
      <c r="C305">
        <f t="shared" si="28"/>
        <v>435</v>
      </c>
      <c r="D305">
        <f t="shared" si="29"/>
        <v>1884</v>
      </c>
      <c r="E305">
        <f t="shared" si="30"/>
        <v>10</v>
      </c>
      <c r="F305">
        <f t="shared" si="31"/>
        <v>1</v>
      </c>
      <c r="G305">
        <f t="shared" si="32"/>
        <v>2</v>
      </c>
      <c r="H305">
        <f t="shared" si="33"/>
        <v>2</v>
      </c>
      <c r="I305" s="9" t="str">
        <f t="shared" si="34"/>
        <v>122</v>
      </c>
      <c r="Q305" s="1">
        <v>0.20499118552300599</v>
      </c>
      <c r="R305" s="1">
        <v>0.72612725833471503</v>
      </c>
    </row>
    <row r="306" spans="1:18" x14ac:dyDescent="0.35">
      <c r="A306" t="s">
        <v>1318</v>
      </c>
      <c r="B306" s="2">
        <v>45681</v>
      </c>
      <c r="C306">
        <f t="shared" si="28"/>
        <v>157</v>
      </c>
      <c r="D306">
        <f t="shared" si="29"/>
        <v>3516</v>
      </c>
      <c r="E306">
        <f t="shared" si="30"/>
        <v>18</v>
      </c>
      <c r="F306">
        <f t="shared" si="31"/>
        <v>4</v>
      </c>
      <c r="G306">
        <f t="shared" si="32"/>
        <v>5</v>
      </c>
      <c r="H306">
        <f t="shared" si="33"/>
        <v>5</v>
      </c>
      <c r="I306" s="9" t="str">
        <f t="shared" si="34"/>
        <v>455</v>
      </c>
      <c r="Q306" s="1">
        <v>0.83158823959685579</v>
      </c>
      <c r="R306" s="1">
        <v>0.92418538724283827</v>
      </c>
    </row>
    <row r="307" spans="1:18" x14ac:dyDescent="0.35">
      <c r="A307" t="s">
        <v>1319</v>
      </c>
      <c r="B307" s="2">
        <v>45820</v>
      </c>
      <c r="C307">
        <f t="shared" si="28"/>
        <v>18</v>
      </c>
      <c r="D307">
        <f t="shared" si="29"/>
        <v>1361</v>
      </c>
      <c r="E307">
        <f t="shared" si="30"/>
        <v>7</v>
      </c>
      <c r="F307">
        <f t="shared" si="31"/>
        <v>5</v>
      </c>
      <c r="G307">
        <f t="shared" si="32"/>
        <v>1</v>
      </c>
      <c r="H307">
        <f t="shared" si="33"/>
        <v>1</v>
      </c>
      <c r="I307" s="9" t="str">
        <f t="shared" si="34"/>
        <v>511</v>
      </c>
      <c r="Q307" s="1">
        <v>3.7597087566635934E-2</v>
      </c>
      <c r="R307" s="1">
        <v>0.62932697912926538</v>
      </c>
    </row>
    <row r="308" spans="1:18" x14ac:dyDescent="0.35">
      <c r="A308" t="s">
        <v>1320</v>
      </c>
      <c r="B308" s="2">
        <v>45317</v>
      </c>
      <c r="C308">
        <f t="shared" si="28"/>
        <v>521</v>
      </c>
      <c r="D308">
        <f t="shared" si="29"/>
        <v>3523</v>
      </c>
      <c r="E308">
        <f t="shared" si="30"/>
        <v>18</v>
      </c>
      <c r="F308">
        <f t="shared" si="31"/>
        <v>1</v>
      </c>
      <c r="G308">
        <f t="shared" si="32"/>
        <v>5</v>
      </c>
      <c r="H308">
        <f t="shared" si="33"/>
        <v>5</v>
      </c>
      <c r="I308" s="9" t="str">
        <f t="shared" si="34"/>
        <v>155</v>
      </c>
      <c r="Q308" s="1">
        <v>0.8028872370828346</v>
      </c>
      <c r="R308" s="1">
        <v>0.95633188225222421</v>
      </c>
    </row>
    <row r="309" spans="1:18" x14ac:dyDescent="0.35">
      <c r="A309" t="s">
        <v>1321</v>
      </c>
      <c r="B309" s="2">
        <v>45524</v>
      </c>
      <c r="C309">
        <f t="shared" si="28"/>
        <v>314</v>
      </c>
      <c r="D309">
        <f t="shared" si="29"/>
        <v>1781</v>
      </c>
      <c r="E309">
        <f t="shared" si="30"/>
        <v>9</v>
      </c>
      <c r="F309">
        <f t="shared" si="31"/>
        <v>2</v>
      </c>
      <c r="G309">
        <f t="shared" si="32"/>
        <v>2</v>
      </c>
      <c r="H309">
        <f t="shared" si="33"/>
        <v>2</v>
      </c>
      <c r="I309" s="9" t="str">
        <f t="shared" si="34"/>
        <v>222</v>
      </c>
      <c r="Q309" s="1">
        <v>0.70245419604152126</v>
      </c>
      <c r="R309" s="1">
        <v>0.17698958262546116</v>
      </c>
    </row>
    <row r="310" spans="1:18" x14ac:dyDescent="0.35">
      <c r="A310" t="s">
        <v>1322</v>
      </c>
      <c r="B310" s="2">
        <v>45651</v>
      </c>
      <c r="C310">
        <f t="shared" si="28"/>
        <v>187</v>
      </c>
      <c r="D310">
        <f t="shared" si="29"/>
        <v>2219</v>
      </c>
      <c r="E310">
        <f t="shared" si="30"/>
        <v>11</v>
      </c>
      <c r="F310">
        <f t="shared" si="31"/>
        <v>4</v>
      </c>
      <c r="G310">
        <f t="shared" si="32"/>
        <v>3</v>
      </c>
      <c r="H310">
        <f t="shared" si="33"/>
        <v>4</v>
      </c>
      <c r="I310" s="9" t="str">
        <f t="shared" si="34"/>
        <v>434</v>
      </c>
      <c r="Q310" s="1">
        <v>0.96705035762480185</v>
      </c>
      <c r="R310" s="1">
        <v>0.13357939531100438</v>
      </c>
    </row>
    <row r="311" spans="1:18" x14ac:dyDescent="0.35">
      <c r="A311" t="s">
        <v>1323</v>
      </c>
      <c r="B311" s="2">
        <v>45511</v>
      </c>
      <c r="C311">
        <f t="shared" si="28"/>
        <v>327</v>
      </c>
      <c r="D311">
        <f t="shared" si="29"/>
        <v>2030</v>
      </c>
      <c r="E311">
        <f t="shared" si="30"/>
        <v>11</v>
      </c>
      <c r="F311">
        <f t="shared" si="31"/>
        <v>2</v>
      </c>
      <c r="G311">
        <f t="shared" si="32"/>
        <v>3</v>
      </c>
      <c r="H311">
        <f t="shared" si="33"/>
        <v>3</v>
      </c>
      <c r="I311" s="9" t="str">
        <f t="shared" si="34"/>
        <v>233</v>
      </c>
      <c r="Q311" s="1">
        <v>0.92716198723620202</v>
      </c>
      <c r="R311" s="1">
        <v>7.8000404852026417E-2</v>
      </c>
    </row>
    <row r="312" spans="1:18" x14ac:dyDescent="0.35">
      <c r="A312" t="s">
        <v>1324</v>
      </c>
      <c r="B312" s="2">
        <v>45334</v>
      </c>
      <c r="C312">
        <f t="shared" si="28"/>
        <v>504</v>
      </c>
      <c r="D312">
        <f t="shared" si="29"/>
        <v>1248</v>
      </c>
      <c r="E312">
        <f t="shared" si="30"/>
        <v>7</v>
      </c>
      <c r="F312">
        <f t="shared" si="31"/>
        <v>1</v>
      </c>
      <c r="G312">
        <f t="shared" si="32"/>
        <v>1</v>
      </c>
      <c r="H312">
        <f t="shared" si="33"/>
        <v>1</v>
      </c>
      <c r="I312" s="9" t="str">
        <f t="shared" si="34"/>
        <v>111</v>
      </c>
      <c r="Q312" s="1">
        <v>8.8661582790049098E-2</v>
      </c>
      <c r="R312" s="1">
        <v>0.52168029039342934</v>
      </c>
    </row>
    <row r="313" spans="1:18" x14ac:dyDescent="0.35">
      <c r="A313" t="s">
        <v>1325</v>
      </c>
      <c r="B313" s="2">
        <v>45332</v>
      </c>
      <c r="C313">
        <f t="shared" si="28"/>
        <v>506</v>
      </c>
      <c r="D313">
        <f t="shared" si="29"/>
        <v>1548</v>
      </c>
      <c r="E313">
        <f t="shared" si="30"/>
        <v>8</v>
      </c>
      <c r="F313">
        <f t="shared" si="31"/>
        <v>1</v>
      </c>
      <c r="G313">
        <f t="shared" si="32"/>
        <v>1</v>
      </c>
      <c r="H313">
        <f t="shared" si="33"/>
        <v>2</v>
      </c>
      <c r="I313" s="9" t="str">
        <f t="shared" si="34"/>
        <v>112</v>
      </c>
      <c r="Q313" s="1">
        <v>0.12355515853872845</v>
      </c>
      <c r="R313" s="1">
        <v>0.63802569920972585</v>
      </c>
    </row>
    <row r="314" spans="1:18" x14ac:dyDescent="0.35">
      <c r="A314" t="s">
        <v>1326</v>
      </c>
      <c r="B314" s="2">
        <v>45768</v>
      </c>
      <c r="C314">
        <f t="shared" si="28"/>
        <v>70</v>
      </c>
      <c r="D314">
        <f t="shared" si="29"/>
        <v>2452</v>
      </c>
      <c r="E314">
        <f t="shared" si="30"/>
        <v>13</v>
      </c>
      <c r="F314">
        <f t="shared" si="31"/>
        <v>5</v>
      </c>
      <c r="G314">
        <f t="shared" si="32"/>
        <v>4</v>
      </c>
      <c r="H314">
        <f t="shared" si="33"/>
        <v>4</v>
      </c>
      <c r="I314" s="9" t="str">
        <f t="shared" si="34"/>
        <v>544</v>
      </c>
      <c r="Q314" s="1">
        <v>0.61161352499162713</v>
      </c>
      <c r="R314" s="1">
        <v>0.606420182304925</v>
      </c>
    </row>
    <row r="315" spans="1:18" x14ac:dyDescent="0.35">
      <c r="A315" t="s">
        <v>1327</v>
      </c>
      <c r="B315" s="2">
        <v>45354</v>
      </c>
      <c r="C315">
        <f t="shared" si="28"/>
        <v>484</v>
      </c>
      <c r="D315">
        <f t="shared" si="29"/>
        <v>1451</v>
      </c>
      <c r="E315">
        <f t="shared" si="30"/>
        <v>8</v>
      </c>
      <c r="F315">
        <f t="shared" si="31"/>
        <v>1</v>
      </c>
      <c r="G315">
        <f t="shared" si="32"/>
        <v>1</v>
      </c>
      <c r="H315">
        <f t="shared" si="33"/>
        <v>1</v>
      </c>
      <c r="I315" s="9" t="str">
        <f t="shared" si="34"/>
        <v>111</v>
      </c>
      <c r="Q315" s="1">
        <v>9.7770979658254986E-2</v>
      </c>
      <c r="R315" s="1">
        <v>0.61475427837701568</v>
      </c>
    </row>
    <row r="316" spans="1:18" x14ac:dyDescent="0.35">
      <c r="A316" t="s">
        <v>1328</v>
      </c>
      <c r="B316" s="2">
        <v>45410</v>
      </c>
      <c r="C316">
        <f t="shared" si="28"/>
        <v>428</v>
      </c>
      <c r="D316">
        <f t="shared" si="29"/>
        <v>1506</v>
      </c>
      <c r="E316">
        <f t="shared" si="30"/>
        <v>8</v>
      </c>
      <c r="F316">
        <f t="shared" si="31"/>
        <v>1</v>
      </c>
      <c r="G316">
        <f t="shared" si="32"/>
        <v>1</v>
      </c>
      <c r="H316">
        <f t="shared" si="33"/>
        <v>2</v>
      </c>
      <c r="I316" s="9" t="str">
        <f t="shared" si="34"/>
        <v>112</v>
      </c>
      <c r="Q316" s="1">
        <v>0.5999698145537129</v>
      </c>
      <c r="R316" s="1">
        <v>0.14036361585246415</v>
      </c>
    </row>
    <row r="317" spans="1:18" x14ac:dyDescent="0.35">
      <c r="A317" t="s">
        <v>1329</v>
      </c>
      <c r="B317" s="2">
        <v>45350</v>
      </c>
      <c r="C317">
        <f t="shared" si="28"/>
        <v>488</v>
      </c>
      <c r="D317">
        <f t="shared" si="29"/>
        <v>817</v>
      </c>
      <c r="E317">
        <f t="shared" si="30"/>
        <v>5</v>
      </c>
      <c r="F317">
        <f t="shared" si="31"/>
        <v>1</v>
      </c>
      <c r="G317">
        <f t="shared" si="32"/>
        <v>1</v>
      </c>
      <c r="H317">
        <f t="shared" si="33"/>
        <v>1</v>
      </c>
      <c r="I317" s="9" t="str">
        <f t="shared" si="34"/>
        <v>111</v>
      </c>
      <c r="Q317" s="1">
        <v>8.6409951272466423E-2</v>
      </c>
      <c r="R317" s="1">
        <v>0.30609118994088103</v>
      </c>
    </row>
    <row r="318" spans="1:18" x14ac:dyDescent="0.35">
      <c r="A318" t="s">
        <v>1330</v>
      </c>
      <c r="B318" s="2">
        <v>45793</v>
      </c>
      <c r="C318">
        <f t="shared" si="28"/>
        <v>45</v>
      </c>
      <c r="D318">
        <f t="shared" si="29"/>
        <v>1378</v>
      </c>
      <c r="E318">
        <f t="shared" si="30"/>
        <v>7</v>
      </c>
      <c r="F318">
        <f t="shared" si="31"/>
        <v>5</v>
      </c>
      <c r="G318">
        <f t="shared" si="32"/>
        <v>1</v>
      </c>
      <c r="H318">
        <f t="shared" si="33"/>
        <v>1</v>
      </c>
      <c r="I318" s="9" t="str">
        <f t="shared" si="34"/>
        <v>511</v>
      </c>
      <c r="Q318" s="1">
        <v>0.41842834068332746</v>
      </c>
      <c r="R318" s="1">
        <v>0.25757730409435298</v>
      </c>
    </row>
    <row r="319" spans="1:18" x14ac:dyDescent="0.35">
      <c r="A319" t="s">
        <v>1331</v>
      </c>
      <c r="B319" s="2">
        <v>45804</v>
      </c>
      <c r="C319">
        <f t="shared" si="28"/>
        <v>34</v>
      </c>
      <c r="D319">
        <f t="shared" si="29"/>
        <v>1441</v>
      </c>
      <c r="E319">
        <f t="shared" si="30"/>
        <v>8</v>
      </c>
      <c r="F319">
        <f t="shared" si="31"/>
        <v>5</v>
      </c>
      <c r="G319">
        <f t="shared" si="32"/>
        <v>1</v>
      </c>
      <c r="H319">
        <f t="shared" si="33"/>
        <v>1</v>
      </c>
      <c r="I319" s="9" t="str">
        <f t="shared" si="34"/>
        <v>511</v>
      </c>
      <c r="Q319" s="1">
        <v>0.70770902633245891</v>
      </c>
      <c r="R319" s="1">
        <v>7.206942892956647E-5</v>
      </c>
    </row>
    <row r="320" spans="1:18" x14ac:dyDescent="0.35">
      <c r="A320" t="s">
        <v>1332</v>
      </c>
      <c r="B320" s="2">
        <v>45711</v>
      </c>
      <c r="C320">
        <f t="shared" si="28"/>
        <v>127</v>
      </c>
      <c r="D320">
        <f t="shared" si="29"/>
        <v>450</v>
      </c>
      <c r="E320">
        <f t="shared" si="30"/>
        <v>3</v>
      </c>
      <c r="F320">
        <f t="shared" si="31"/>
        <v>5</v>
      </c>
      <c r="G320">
        <f t="shared" si="32"/>
        <v>1</v>
      </c>
      <c r="H320">
        <f t="shared" si="33"/>
        <v>1</v>
      </c>
      <c r="I320" s="9" t="str">
        <f t="shared" si="34"/>
        <v>511</v>
      </c>
      <c r="Q320" s="1">
        <v>0.11514332358969515</v>
      </c>
      <c r="R320" s="1">
        <v>9.1974795967237899E-2</v>
      </c>
    </row>
    <row r="321" spans="1:18" x14ac:dyDescent="0.35">
      <c r="A321" t="s">
        <v>1333</v>
      </c>
      <c r="B321" s="2">
        <v>45470</v>
      </c>
      <c r="C321">
        <f t="shared" si="28"/>
        <v>368</v>
      </c>
      <c r="D321">
        <f t="shared" si="29"/>
        <v>1109</v>
      </c>
      <c r="E321">
        <f t="shared" si="30"/>
        <v>6</v>
      </c>
      <c r="F321">
        <f t="shared" si="31"/>
        <v>2</v>
      </c>
      <c r="G321">
        <f t="shared" si="32"/>
        <v>1</v>
      </c>
      <c r="H321">
        <f t="shared" si="33"/>
        <v>1</v>
      </c>
      <c r="I321" s="9" t="str">
        <f t="shared" si="34"/>
        <v>211</v>
      </c>
      <c r="Q321" s="1">
        <v>0.18079610912691124</v>
      </c>
      <c r="R321" s="1">
        <v>0.35904730472457369</v>
      </c>
    </row>
    <row r="322" spans="1:18" x14ac:dyDescent="0.35">
      <c r="A322" t="s">
        <v>1334</v>
      </c>
      <c r="B322" s="2">
        <v>45611</v>
      </c>
      <c r="C322">
        <f t="shared" si="28"/>
        <v>227</v>
      </c>
      <c r="D322">
        <f t="shared" si="29"/>
        <v>1391</v>
      </c>
      <c r="E322">
        <f t="shared" si="30"/>
        <v>7</v>
      </c>
      <c r="F322">
        <f t="shared" si="31"/>
        <v>4</v>
      </c>
      <c r="G322">
        <f t="shared" si="32"/>
        <v>1</v>
      </c>
      <c r="H322">
        <f t="shared" si="33"/>
        <v>1</v>
      </c>
      <c r="I322" s="9" t="str">
        <f t="shared" si="34"/>
        <v>411</v>
      </c>
      <c r="Q322" s="1">
        <v>0.42182488065343993</v>
      </c>
      <c r="R322" s="1">
        <v>0.26058103639342511</v>
      </c>
    </row>
    <row r="323" spans="1:18" x14ac:dyDescent="0.35">
      <c r="A323" t="s">
        <v>1335</v>
      </c>
      <c r="B323" s="2">
        <v>45293</v>
      </c>
      <c r="C323">
        <f t="shared" ref="C323:C386" si="35">45838-B323</f>
        <v>545</v>
      </c>
      <c r="D323">
        <f t="shared" ref="D323:D359" si="36">ROUND((R323*0.5+0.5*Q323)*(4000-40)+40,0)</f>
        <v>2924</v>
      </c>
      <c r="E323">
        <f t="shared" ref="E323:E386" si="37">ROUND((R323*0.5+Q323*0.5)*(20-1)+1,0)</f>
        <v>15</v>
      </c>
      <c r="F323">
        <f t="shared" ref="F323:F386" si="38">IF(C323&lt;=$M$4,5,IF(C323&lt;=$M$5,4,IF(C323&lt;=$M$9,3,IF(C323&lt;=$M$6,2,1))))</f>
        <v>1</v>
      </c>
      <c r="G323">
        <f t="shared" ref="G323:G386" si="39">IF(E323&lt;=$M$14,1,IF(E323&lt;=$M$19,2,IF(E323&lt;=$M$15,3,IF(E323&lt;=$M$16,4,5))))</f>
        <v>5</v>
      </c>
      <c r="H323">
        <f t="shared" ref="H323:H386" si="40">IF(D323&lt;=$M$24,1,IF(D323&lt;=$M$29,2,IF(D323&lt;=$M$25,3,IF(D323&lt;=$M$26,4,5))))</f>
        <v>5</v>
      </c>
      <c r="I323" s="9" t="str">
        <f t="shared" ref="I323:I386" si="41">CONCATENATE(F323,G323,H323)</f>
        <v>155</v>
      </c>
      <c r="Q323" s="1">
        <v>0.73609423509043437</v>
      </c>
      <c r="R323" s="1">
        <v>0.72067134280132683</v>
      </c>
    </row>
    <row r="324" spans="1:18" x14ac:dyDescent="0.35">
      <c r="A324" t="s">
        <v>1336</v>
      </c>
      <c r="B324" s="2">
        <v>45593</v>
      </c>
      <c r="C324">
        <f t="shared" si="35"/>
        <v>245</v>
      </c>
      <c r="D324">
        <f t="shared" si="36"/>
        <v>2049</v>
      </c>
      <c r="E324">
        <f t="shared" si="37"/>
        <v>11</v>
      </c>
      <c r="F324">
        <f t="shared" si="38"/>
        <v>4</v>
      </c>
      <c r="G324">
        <f t="shared" si="39"/>
        <v>3</v>
      </c>
      <c r="H324">
        <f t="shared" si="40"/>
        <v>3</v>
      </c>
      <c r="I324" s="9" t="str">
        <f t="shared" si="41"/>
        <v>433</v>
      </c>
      <c r="Q324" s="1">
        <v>0.38582557899820513</v>
      </c>
      <c r="R324" s="1">
        <v>0.62864207575028652</v>
      </c>
    </row>
    <row r="325" spans="1:18" x14ac:dyDescent="0.35">
      <c r="A325" t="s">
        <v>1337</v>
      </c>
      <c r="B325" s="2">
        <v>45617</v>
      </c>
      <c r="C325">
        <f t="shared" si="35"/>
        <v>221</v>
      </c>
      <c r="D325">
        <f t="shared" si="36"/>
        <v>2297</v>
      </c>
      <c r="E325">
        <f t="shared" si="37"/>
        <v>12</v>
      </c>
      <c r="F325">
        <f t="shared" si="38"/>
        <v>4</v>
      </c>
      <c r="G325">
        <f t="shared" si="39"/>
        <v>4</v>
      </c>
      <c r="H325">
        <f t="shared" si="40"/>
        <v>4</v>
      </c>
      <c r="I325" s="9" t="str">
        <f t="shared" si="41"/>
        <v>444</v>
      </c>
      <c r="Q325" s="1">
        <v>0.93647740147844527</v>
      </c>
      <c r="R325" s="1">
        <v>0.2035834517365388</v>
      </c>
    </row>
    <row r="326" spans="1:18" x14ac:dyDescent="0.35">
      <c r="A326" t="s">
        <v>1338</v>
      </c>
      <c r="B326" s="2">
        <v>45834</v>
      </c>
      <c r="C326">
        <f t="shared" si="35"/>
        <v>4</v>
      </c>
      <c r="D326">
        <f t="shared" si="36"/>
        <v>3324</v>
      </c>
      <c r="E326">
        <f t="shared" si="37"/>
        <v>17</v>
      </c>
      <c r="F326">
        <f t="shared" si="38"/>
        <v>5</v>
      </c>
      <c r="G326">
        <f t="shared" si="39"/>
        <v>5</v>
      </c>
      <c r="H326">
        <f t="shared" si="40"/>
        <v>5</v>
      </c>
      <c r="I326" s="9" t="str">
        <f t="shared" si="41"/>
        <v>555</v>
      </c>
      <c r="Q326" s="1">
        <v>0.89608183119446871</v>
      </c>
      <c r="R326" s="1">
        <v>0.76269193831211346</v>
      </c>
    </row>
    <row r="327" spans="1:18" x14ac:dyDescent="0.35">
      <c r="A327" t="s">
        <v>1339</v>
      </c>
      <c r="B327" s="2">
        <v>45647</v>
      </c>
      <c r="C327">
        <f t="shared" si="35"/>
        <v>191</v>
      </c>
      <c r="D327">
        <f t="shared" si="36"/>
        <v>2876</v>
      </c>
      <c r="E327">
        <f t="shared" si="37"/>
        <v>15</v>
      </c>
      <c r="F327">
        <f t="shared" si="38"/>
        <v>4</v>
      </c>
      <c r="G327">
        <f t="shared" si="39"/>
        <v>5</v>
      </c>
      <c r="H327">
        <f t="shared" si="40"/>
        <v>5</v>
      </c>
      <c r="I327" s="9" t="str">
        <f t="shared" si="41"/>
        <v>455</v>
      </c>
      <c r="Q327" s="1">
        <v>0.71757475337041143</v>
      </c>
      <c r="R327" s="1">
        <v>0.71452662610628814</v>
      </c>
    </row>
    <row r="328" spans="1:18" x14ac:dyDescent="0.35">
      <c r="A328" t="s">
        <v>1340</v>
      </c>
      <c r="B328" s="2">
        <v>45294</v>
      </c>
      <c r="C328">
        <f t="shared" si="35"/>
        <v>544</v>
      </c>
      <c r="D328">
        <f t="shared" si="36"/>
        <v>2609</v>
      </c>
      <c r="E328">
        <f t="shared" si="37"/>
        <v>13</v>
      </c>
      <c r="F328">
        <f t="shared" si="38"/>
        <v>1</v>
      </c>
      <c r="G328">
        <f t="shared" si="39"/>
        <v>4</v>
      </c>
      <c r="H328">
        <f t="shared" si="40"/>
        <v>5</v>
      </c>
      <c r="I328" s="9" t="str">
        <f t="shared" si="41"/>
        <v>145</v>
      </c>
      <c r="Q328" s="1">
        <v>0.66281771737746853</v>
      </c>
      <c r="R328" s="1">
        <v>0.63453524749277712</v>
      </c>
    </row>
    <row r="329" spans="1:18" x14ac:dyDescent="0.35">
      <c r="A329" t="s">
        <v>1341</v>
      </c>
      <c r="B329" s="2">
        <v>45822</v>
      </c>
      <c r="C329">
        <f t="shared" si="35"/>
        <v>16</v>
      </c>
      <c r="D329">
        <f t="shared" si="36"/>
        <v>3051</v>
      </c>
      <c r="E329">
        <f t="shared" si="37"/>
        <v>15</v>
      </c>
      <c r="F329">
        <f t="shared" si="38"/>
        <v>5</v>
      </c>
      <c r="G329">
        <f t="shared" si="39"/>
        <v>5</v>
      </c>
      <c r="H329">
        <f t="shared" si="40"/>
        <v>5</v>
      </c>
      <c r="I329" s="9" t="str">
        <f t="shared" si="41"/>
        <v>555</v>
      </c>
      <c r="Q329" s="1">
        <v>0.7295756001996726</v>
      </c>
      <c r="R329" s="1">
        <v>0.79107788568922432</v>
      </c>
    </row>
    <row r="330" spans="1:18" x14ac:dyDescent="0.35">
      <c r="A330" t="s">
        <v>1342</v>
      </c>
      <c r="B330" s="2">
        <v>45530</v>
      </c>
      <c r="C330">
        <f t="shared" si="35"/>
        <v>308</v>
      </c>
      <c r="D330">
        <f t="shared" si="36"/>
        <v>3491</v>
      </c>
      <c r="E330">
        <f t="shared" si="37"/>
        <v>18</v>
      </c>
      <c r="F330">
        <f t="shared" si="38"/>
        <v>2</v>
      </c>
      <c r="G330">
        <f t="shared" si="39"/>
        <v>5</v>
      </c>
      <c r="H330">
        <f t="shared" si="40"/>
        <v>5</v>
      </c>
      <c r="I330" s="9" t="str">
        <f t="shared" si="41"/>
        <v>255</v>
      </c>
      <c r="Q330" s="1">
        <v>0.76882560998603766</v>
      </c>
      <c r="R330" s="1">
        <v>0.97417924600509065</v>
      </c>
    </row>
    <row r="331" spans="1:18" x14ac:dyDescent="0.35">
      <c r="A331" t="s">
        <v>1343</v>
      </c>
      <c r="B331" s="2">
        <v>45597</v>
      </c>
      <c r="C331">
        <f t="shared" si="35"/>
        <v>241</v>
      </c>
      <c r="D331">
        <f t="shared" si="36"/>
        <v>777</v>
      </c>
      <c r="E331">
        <f t="shared" si="37"/>
        <v>5</v>
      </c>
      <c r="F331">
        <f t="shared" si="38"/>
        <v>4</v>
      </c>
      <c r="G331">
        <f t="shared" si="39"/>
        <v>1</v>
      </c>
      <c r="H331">
        <f t="shared" si="40"/>
        <v>1</v>
      </c>
      <c r="I331" s="9" t="str">
        <f t="shared" si="41"/>
        <v>411</v>
      </c>
      <c r="Q331" s="1">
        <v>5.121581416058596E-2</v>
      </c>
      <c r="R331" s="1">
        <v>0.32110600997831984</v>
      </c>
    </row>
    <row r="332" spans="1:18" x14ac:dyDescent="0.35">
      <c r="A332" t="s">
        <v>1344</v>
      </c>
      <c r="B332" s="2">
        <v>45425</v>
      </c>
      <c r="C332">
        <f t="shared" si="35"/>
        <v>413</v>
      </c>
      <c r="D332">
        <f t="shared" si="36"/>
        <v>2505</v>
      </c>
      <c r="E332">
        <f t="shared" si="37"/>
        <v>13</v>
      </c>
      <c r="F332">
        <f t="shared" si="38"/>
        <v>1</v>
      </c>
      <c r="G332">
        <f t="shared" si="39"/>
        <v>4</v>
      </c>
      <c r="H332">
        <f t="shared" si="40"/>
        <v>4</v>
      </c>
      <c r="I332" s="9" t="str">
        <f t="shared" si="41"/>
        <v>144</v>
      </c>
      <c r="Q332" s="1">
        <v>0.32443035690848332</v>
      </c>
      <c r="R332" s="1">
        <v>0.920400463159458</v>
      </c>
    </row>
    <row r="333" spans="1:18" x14ac:dyDescent="0.35">
      <c r="A333" t="s">
        <v>1345</v>
      </c>
      <c r="B333" s="2">
        <v>45773</v>
      </c>
      <c r="C333">
        <f t="shared" si="35"/>
        <v>65</v>
      </c>
      <c r="D333">
        <f t="shared" si="36"/>
        <v>967</v>
      </c>
      <c r="E333">
        <f t="shared" si="37"/>
        <v>5</v>
      </c>
      <c r="F333">
        <f t="shared" si="38"/>
        <v>5</v>
      </c>
      <c r="G333">
        <f t="shared" si="39"/>
        <v>1</v>
      </c>
      <c r="H333">
        <f t="shared" si="40"/>
        <v>1</v>
      </c>
      <c r="I333" s="9" t="str">
        <f t="shared" si="41"/>
        <v>511</v>
      </c>
      <c r="Q333" s="1">
        <v>9.2123268104837286E-2</v>
      </c>
      <c r="R333" s="1">
        <v>0.37595645742364303</v>
      </c>
    </row>
    <row r="334" spans="1:18" x14ac:dyDescent="0.35">
      <c r="A334" t="s">
        <v>1346</v>
      </c>
      <c r="B334" s="2">
        <v>45425</v>
      </c>
      <c r="C334">
        <f t="shared" si="35"/>
        <v>413</v>
      </c>
      <c r="D334">
        <f t="shared" si="36"/>
        <v>3426</v>
      </c>
      <c r="E334">
        <f t="shared" si="37"/>
        <v>17</v>
      </c>
      <c r="F334">
        <f t="shared" si="38"/>
        <v>1</v>
      </c>
      <c r="G334">
        <f t="shared" si="39"/>
        <v>5</v>
      </c>
      <c r="H334">
        <f t="shared" si="40"/>
        <v>5</v>
      </c>
      <c r="I334" s="9" t="str">
        <f t="shared" si="41"/>
        <v>155</v>
      </c>
      <c r="Q334" s="1">
        <v>0.75429980447608136</v>
      </c>
      <c r="R334" s="1">
        <v>0.95582656876345495</v>
      </c>
    </row>
    <row r="335" spans="1:18" x14ac:dyDescent="0.35">
      <c r="A335" t="s">
        <v>1347</v>
      </c>
      <c r="B335" s="2">
        <v>45298</v>
      </c>
      <c r="C335">
        <f t="shared" si="35"/>
        <v>540</v>
      </c>
      <c r="D335">
        <f t="shared" si="36"/>
        <v>1811</v>
      </c>
      <c r="E335">
        <f t="shared" si="37"/>
        <v>9</v>
      </c>
      <c r="F335">
        <f t="shared" si="38"/>
        <v>1</v>
      </c>
      <c r="G335">
        <f t="shared" si="39"/>
        <v>2</v>
      </c>
      <c r="H335">
        <f t="shared" si="40"/>
        <v>2</v>
      </c>
      <c r="I335" s="9" t="str">
        <f t="shared" si="41"/>
        <v>122</v>
      </c>
      <c r="Q335" s="1">
        <v>0.27485632983312303</v>
      </c>
      <c r="R335" s="1">
        <v>0.61983366997309575</v>
      </c>
    </row>
    <row r="336" spans="1:18" x14ac:dyDescent="0.35">
      <c r="A336" t="s">
        <v>1348</v>
      </c>
      <c r="B336" s="2">
        <v>45802</v>
      </c>
      <c r="C336">
        <f t="shared" si="35"/>
        <v>36</v>
      </c>
      <c r="D336">
        <f t="shared" si="36"/>
        <v>2515</v>
      </c>
      <c r="E336">
        <f t="shared" si="37"/>
        <v>13</v>
      </c>
      <c r="F336">
        <f t="shared" si="38"/>
        <v>5</v>
      </c>
      <c r="G336">
        <f t="shared" si="39"/>
        <v>4</v>
      </c>
      <c r="H336">
        <f t="shared" si="40"/>
        <v>4</v>
      </c>
      <c r="I336" s="9" t="str">
        <f t="shared" si="41"/>
        <v>544</v>
      </c>
      <c r="Q336" s="1">
        <v>0.37772381231037533</v>
      </c>
      <c r="R336" s="1">
        <v>0.87207822583347228</v>
      </c>
    </row>
    <row r="337" spans="1:18" x14ac:dyDescent="0.35">
      <c r="A337" t="s">
        <v>1349</v>
      </c>
      <c r="B337" s="2">
        <v>45610</v>
      </c>
      <c r="C337">
        <f t="shared" si="35"/>
        <v>228</v>
      </c>
      <c r="D337">
        <f t="shared" si="36"/>
        <v>3124</v>
      </c>
      <c r="E337">
        <f t="shared" si="37"/>
        <v>16</v>
      </c>
      <c r="F337">
        <f t="shared" si="38"/>
        <v>4</v>
      </c>
      <c r="G337">
        <f t="shared" si="39"/>
        <v>5</v>
      </c>
      <c r="H337">
        <f t="shared" si="40"/>
        <v>5</v>
      </c>
      <c r="I337" s="9" t="str">
        <f t="shared" si="41"/>
        <v>455</v>
      </c>
      <c r="Q337" s="1">
        <v>0.71816965145687728</v>
      </c>
      <c r="R337" s="1">
        <v>0.83932765665530329</v>
      </c>
    </row>
    <row r="338" spans="1:18" x14ac:dyDescent="0.35">
      <c r="A338" t="s">
        <v>1350</v>
      </c>
      <c r="B338" s="2">
        <v>45420</v>
      </c>
      <c r="C338">
        <f t="shared" si="35"/>
        <v>418</v>
      </c>
      <c r="D338">
        <f t="shared" si="36"/>
        <v>1903</v>
      </c>
      <c r="E338">
        <f t="shared" si="37"/>
        <v>10</v>
      </c>
      <c r="F338">
        <f t="shared" si="38"/>
        <v>1</v>
      </c>
      <c r="G338">
        <f t="shared" si="39"/>
        <v>2</v>
      </c>
      <c r="H338">
        <f t="shared" si="40"/>
        <v>2</v>
      </c>
      <c r="I338" s="9" t="str">
        <f t="shared" si="41"/>
        <v>122</v>
      </c>
      <c r="Q338" s="1">
        <v>5.7285129741963425E-2</v>
      </c>
      <c r="R338" s="1">
        <v>0.88382679517405216</v>
      </c>
    </row>
    <row r="339" spans="1:18" x14ac:dyDescent="0.35">
      <c r="A339" t="s">
        <v>1351</v>
      </c>
      <c r="B339" s="2">
        <v>45353</v>
      </c>
      <c r="C339">
        <f t="shared" si="35"/>
        <v>485</v>
      </c>
      <c r="D339">
        <f t="shared" si="36"/>
        <v>1627</v>
      </c>
      <c r="E339">
        <f t="shared" si="37"/>
        <v>9</v>
      </c>
      <c r="F339">
        <f t="shared" si="38"/>
        <v>1</v>
      </c>
      <c r="G339">
        <f t="shared" si="39"/>
        <v>2</v>
      </c>
      <c r="H339">
        <f t="shared" si="40"/>
        <v>2</v>
      </c>
      <c r="I339" s="9" t="str">
        <f t="shared" si="41"/>
        <v>122</v>
      </c>
      <c r="Q339" s="1">
        <v>0.49351200501849291</v>
      </c>
      <c r="R339" s="1">
        <v>0.3079420648821326</v>
      </c>
    </row>
    <row r="340" spans="1:18" x14ac:dyDescent="0.35">
      <c r="A340" t="s">
        <v>1352</v>
      </c>
      <c r="B340" s="2">
        <v>45491</v>
      </c>
      <c r="C340">
        <f t="shared" si="35"/>
        <v>347</v>
      </c>
      <c r="D340">
        <f t="shared" si="36"/>
        <v>1447</v>
      </c>
      <c r="E340">
        <f t="shared" si="37"/>
        <v>8</v>
      </c>
      <c r="F340">
        <f t="shared" si="38"/>
        <v>2</v>
      </c>
      <c r="G340">
        <f t="shared" si="39"/>
        <v>1</v>
      </c>
      <c r="H340">
        <f t="shared" si="40"/>
        <v>1</v>
      </c>
      <c r="I340" s="9" t="str">
        <f t="shared" si="41"/>
        <v>211</v>
      </c>
      <c r="Q340" s="1">
        <v>0.11560707811093685</v>
      </c>
      <c r="R340" s="1">
        <v>0.59512537448574587</v>
      </c>
    </row>
    <row r="341" spans="1:18" x14ac:dyDescent="0.35">
      <c r="A341" t="s">
        <v>1353</v>
      </c>
      <c r="B341" s="2">
        <v>45327</v>
      </c>
      <c r="C341">
        <f t="shared" si="35"/>
        <v>511</v>
      </c>
      <c r="D341">
        <f t="shared" si="36"/>
        <v>1784</v>
      </c>
      <c r="E341">
        <f t="shared" si="37"/>
        <v>9</v>
      </c>
      <c r="F341">
        <f t="shared" si="38"/>
        <v>1</v>
      </c>
      <c r="G341">
        <f t="shared" si="39"/>
        <v>2</v>
      </c>
      <c r="H341">
        <f t="shared" si="40"/>
        <v>2</v>
      </c>
      <c r="I341" s="9" t="str">
        <f t="shared" si="41"/>
        <v>122</v>
      </c>
      <c r="Q341" s="1">
        <v>0.4472087863479689</v>
      </c>
      <c r="R341" s="1">
        <v>0.43362850613889137</v>
      </c>
    </row>
    <row r="342" spans="1:18" x14ac:dyDescent="0.35">
      <c r="A342" t="s">
        <v>1354</v>
      </c>
      <c r="B342" s="2">
        <v>45312</v>
      </c>
      <c r="C342">
        <f t="shared" si="35"/>
        <v>526</v>
      </c>
      <c r="D342">
        <f t="shared" si="36"/>
        <v>671</v>
      </c>
      <c r="E342">
        <f t="shared" si="37"/>
        <v>4</v>
      </c>
      <c r="F342">
        <f t="shared" si="38"/>
        <v>1</v>
      </c>
      <c r="G342">
        <f t="shared" si="39"/>
        <v>1</v>
      </c>
      <c r="H342">
        <f t="shared" si="40"/>
        <v>1</v>
      </c>
      <c r="I342" s="9" t="str">
        <f t="shared" si="41"/>
        <v>111</v>
      </c>
      <c r="Q342" s="1">
        <v>0.10994064792169222</v>
      </c>
      <c r="R342" s="1">
        <v>0.20884071081440958</v>
      </c>
    </row>
    <row r="343" spans="1:18" x14ac:dyDescent="0.35">
      <c r="A343" t="s">
        <v>1355</v>
      </c>
      <c r="B343" s="2">
        <v>45541</v>
      </c>
      <c r="C343">
        <f t="shared" si="35"/>
        <v>297</v>
      </c>
      <c r="D343">
        <f t="shared" si="36"/>
        <v>2179</v>
      </c>
      <c r="E343">
        <f t="shared" si="37"/>
        <v>11</v>
      </c>
      <c r="F343">
        <f t="shared" si="38"/>
        <v>2</v>
      </c>
      <c r="G343">
        <f t="shared" si="39"/>
        <v>3</v>
      </c>
      <c r="H343">
        <f t="shared" si="40"/>
        <v>4</v>
      </c>
      <c r="I343" s="9" t="str">
        <f t="shared" si="41"/>
        <v>234</v>
      </c>
      <c r="Q343" s="1">
        <v>0.45114940239406343</v>
      </c>
      <c r="R343" s="1">
        <v>0.62894080870089386</v>
      </c>
    </row>
    <row r="344" spans="1:18" x14ac:dyDescent="0.35">
      <c r="A344" t="s">
        <v>1356</v>
      </c>
      <c r="B344" s="2">
        <v>45804</v>
      </c>
      <c r="C344">
        <f t="shared" si="35"/>
        <v>34</v>
      </c>
      <c r="D344">
        <f t="shared" si="36"/>
        <v>2170</v>
      </c>
      <c r="E344">
        <f t="shared" si="37"/>
        <v>11</v>
      </c>
      <c r="F344">
        <f t="shared" si="38"/>
        <v>5</v>
      </c>
      <c r="G344">
        <f t="shared" si="39"/>
        <v>3</v>
      </c>
      <c r="H344">
        <f t="shared" si="40"/>
        <v>4</v>
      </c>
      <c r="I344" s="9" t="str">
        <f t="shared" si="41"/>
        <v>534</v>
      </c>
      <c r="Q344" s="1">
        <v>0.20659584086086213</v>
      </c>
      <c r="R344" s="1">
        <v>0.86933119170603701</v>
      </c>
    </row>
    <row r="345" spans="1:18" x14ac:dyDescent="0.35">
      <c r="A345" t="s">
        <v>1357</v>
      </c>
      <c r="B345" s="2">
        <v>45831</v>
      </c>
      <c r="C345">
        <f t="shared" si="35"/>
        <v>7</v>
      </c>
      <c r="D345">
        <f t="shared" si="36"/>
        <v>1250</v>
      </c>
      <c r="E345">
        <f t="shared" si="37"/>
        <v>7</v>
      </c>
      <c r="F345">
        <f t="shared" si="38"/>
        <v>5</v>
      </c>
      <c r="G345">
        <f t="shared" si="39"/>
        <v>1</v>
      </c>
      <c r="H345">
        <f t="shared" si="40"/>
        <v>1</v>
      </c>
      <c r="I345" s="9" t="str">
        <f t="shared" si="41"/>
        <v>511</v>
      </c>
      <c r="Q345" s="1">
        <v>0.52700582551288844</v>
      </c>
      <c r="R345" s="1">
        <v>8.3990004639871607E-2</v>
      </c>
    </row>
    <row r="346" spans="1:18" x14ac:dyDescent="0.35">
      <c r="A346" t="s">
        <v>1358</v>
      </c>
      <c r="B346" s="2">
        <v>45385</v>
      </c>
      <c r="C346">
        <f t="shared" si="35"/>
        <v>453</v>
      </c>
      <c r="D346">
        <f t="shared" si="36"/>
        <v>2412</v>
      </c>
      <c r="E346">
        <f t="shared" si="37"/>
        <v>12</v>
      </c>
      <c r="F346">
        <f t="shared" si="38"/>
        <v>1</v>
      </c>
      <c r="G346">
        <f t="shared" si="39"/>
        <v>4</v>
      </c>
      <c r="H346">
        <f t="shared" si="40"/>
        <v>4</v>
      </c>
      <c r="I346" s="9" t="str">
        <f t="shared" si="41"/>
        <v>144</v>
      </c>
      <c r="Q346" s="1">
        <v>0.55539987697616566</v>
      </c>
      <c r="R346" s="1">
        <v>0.64250930182367094</v>
      </c>
    </row>
    <row r="347" spans="1:18" x14ac:dyDescent="0.35">
      <c r="A347" t="s">
        <v>1359</v>
      </c>
      <c r="B347" s="2">
        <v>45354</v>
      </c>
      <c r="C347">
        <f t="shared" si="35"/>
        <v>484</v>
      </c>
      <c r="D347">
        <f t="shared" si="36"/>
        <v>1549</v>
      </c>
      <c r="E347">
        <f t="shared" si="37"/>
        <v>8</v>
      </c>
      <c r="F347">
        <f t="shared" si="38"/>
        <v>1</v>
      </c>
      <c r="G347">
        <f t="shared" si="39"/>
        <v>1</v>
      </c>
      <c r="H347">
        <f t="shared" si="40"/>
        <v>2</v>
      </c>
      <c r="I347" s="9" t="str">
        <f t="shared" si="41"/>
        <v>112</v>
      </c>
      <c r="Q347" s="1">
        <v>0.43140893415236137</v>
      </c>
      <c r="R347" s="1">
        <v>0.33095369940173502</v>
      </c>
    </row>
    <row r="348" spans="1:18" x14ac:dyDescent="0.35">
      <c r="A348" t="s">
        <v>1360</v>
      </c>
      <c r="B348" s="2">
        <v>45740</v>
      </c>
      <c r="C348">
        <f t="shared" si="35"/>
        <v>98</v>
      </c>
      <c r="D348">
        <f t="shared" si="36"/>
        <v>3088</v>
      </c>
      <c r="E348">
        <f t="shared" si="37"/>
        <v>16</v>
      </c>
      <c r="F348">
        <f t="shared" si="38"/>
        <v>5</v>
      </c>
      <c r="G348">
        <f t="shared" si="39"/>
        <v>5</v>
      </c>
      <c r="H348">
        <f t="shared" si="40"/>
        <v>5</v>
      </c>
      <c r="I348" s="9" t="str">
        <f t="shared" si="41"/>
        <v>555</v>
      </c>
      <c r="Q348" s="1">
        <v>0.92946802769672965</v>
      </c>
      <c r="R348" s="1">
        <v>0.60970872572835177</v>
      </c>
    </row>
    <row r="349" spans="1:18" x14ac:dyDescent="0.35">
      <c r="A349" t="s">
        <v>1361</v>
      </c>
      <c r="B349" s="2">
        <v>45298</v>
      </c>
      <c r="C349">
        <f t="shared" si="35"/>
        <v>540</v>
      </c>
      <c r="D349">
        <f t="shared" si="36"/>
        <v>829</v>
      </c>
      <c r="E349">
        <f t="shared" si="37"/>
        <v>5</v>
      </c>
      <c r="F349">
        <f t="shared" si="38"/>
        <v>1</v>
      </c>
      <c r="G349">
        <f t="shared" si="39"/>
        <v>1</v>
      </c>
      <c r="H349">
        <f t="shared" si="40"/>
        <v>1</v>
      </c>
      <c r="I349" s="9" t="str">
        <f t="shared" si="41"/>
        <v>111</v>
      </c>
      <c r="Q349" s="1">
        <v>5.2274728438757356E-2</v>
      </c>
      <c r="R349" s="1">
        <v>0.34644225101563386</v>
      </c>
    </row>
    <row r="350" spans="1:18" x14ac:dyDescent="0.35">
      <c r="A350" t="s">
        <v>1362</v>
      </c>
      <c r="B350" s="2">
        <v>45428</v>
      </c>
      <c r="C350">
        <f t="shared" si="35"/>
        <v>410</v>
      </c>
      <c r="D350">
        <f t="shared" si="36"/>
        <v>1953</v>
      </c>
      <c r="E350">
        <f t="shared" si="37"/>
        <v>10</v>
      </c>
      <c r="F350">
        <f t="shared" si="38"/>
        <v>2</v>
      </c>
      <c r="G350">
        <f t="shared" si="39"/>
        <v>2</v>
      </c>
      <c r="H350">
        <f t="shared" si="40"/>
        <v>2</v>
      </c>
      <c r="I350" s="9" t="str">
        <f t="shared" si="41"/>
        <v>222</v>
      </c>
      <c r="Q350" s="1">
        <v>0.1293211214211013</v>
      </c>
      <c r="R350" s="1">
        <v>0.83684047856452237</v>
      </c>
    </row>
    <row r="351" spans="1:18" x14ac:dyDescent="0.35">
      <c r="A351" t="s">
        <v>1363</v>
      </c>
      <c r="B351" s="2">
        <v>45630</v>
      </c>
      <c r="C351">
        <f t="shared" si="35"/>
        <v>208</v>
      </c>
      <c r="D351">
        <f t="shared" si="36"/>
        <v>1012</v>
      </c>
      <c r="E351">
        <f t="shared" si="37"/>
        <v>6</v>
      </c>
      <c r="F351">
        <f t="shared" si="38"/>
        <v>4</v>
      </c>
      <c r="G351">
        <f t="shared" si="39"/>
        <v>1</v>
      </c>
      <c r="H351">
        <f t="shared" si="40"/>
        <v>1</v>
      </c>
      <c r="I351" s="9" t="str">
        <f t="shared" si="41"/>
        <v>411</v>
      </c>
      <c r="Q351" s="1">
        <v>6.9778153675716381E-2</v>
      </c>
      <c r="R351" s="1">
        <v>0.42101949365040137</v>
      </c>
    </row>
    <row r="352" spans="1:18" x14ac:dyDescent="0.35">
      <c r="A352" t="s">
        <v>1364</v>
      </c>
      <c r="B352" s="2">
        <v>45823</v>
      </c>
      <c r="C352">
        <f t="shared" si="35"/>
        <v>15</v>
      </c>
      <c r="D352">
        <f t="shared" si="36"/>
        <v>2186</v>
      </c>
      <c r="E352">
        <f t="shared" si="37"/>
        <v>11</v>
      </c>
      <c r="F352">
        <f t="shared" si="38"/>
        <v>5</v>
      </c>
      <c r="G352">
        <f t="shared" si="39"/>
        <v>3</v>
      </c>
      <c r="H352">
        <f t="shared" si="40"/>
        <v>4</v>
      </c>
      <c r="I352" s="9" t="str">
        <f t="shared" si="41"/>
        <v>534</v>
      </c>
      <c r="Q352" s="1">
        <v>0.57630465108468876</v>
      </c>
      <c r="R352" s="1">
        <v>0.50744321715647067</v>
      </c>
    </row>
    <row r="353" spans="1:18" x14ac:dyDescent="0.35">
      <c r="A353" t="s">
        <v>1365</v>
      </c>
      <c r="B353" s="2">
        <v>45810</v>
      </c>
      <c r="C353">
        <f t="shared" si="35"/>
        <v>28</v>
      </c>
      <c r="D353">
        <f t="shared" si="36"/>
        <v>1700</v>
      </c>
      <c r="E353">
        <f t="shared" si="37"/>
        <v>9</v>
      </c>
      <c r="F353">
        <f t="shared" si="38"/>
        <v>5</v>
      </c>
      <c r="G353">
        <f t="shared" si="39"/>
        <v>2</v>
      </c>
      <c r="H353">
        <f t="shared" si="40"/>
        <v>2</v>
      </c>
      <c r="I353" s="9" t="str">
        <f t="shared" si="41"/>
        <v>522</v>
      </c>
      <c r="Q353" s="1">
        <v>0.77319709457492236</v>
      </c>
      <c r="R353" s="1">
        <v>6.4975930977706264E-2</v>
      </c>
    </row>
    <row r="354" spans="1:18" x14ac:dyDescent="0.35">
      <c r="A354" t="s">
        <v>1366</v>
      </c>
      <c r="B354" s="2">
        <v>45667</v>
      </c>
      <c r="C354">
        <f t="shared" si="35"/>
        <v>171</v>
      </c>
      <c r="D354">
        <f t="shared" si="36"/>
        <v>2313</v>
      </c>
      <c r="E354">
        <f t="shared" si="37"/>
        <v>12</v>
      </c>
      <c r="F354">
        <f t="shared" si="38"/>
        <v>4</v>
      </c>
      <c r="G354">
        <f t="shared" si="39"/>
        <v>4</v>
      </c>
      <c r="H354">
        <f t="shared" si="40"/>
        <v>4</v>
      </c>
      <c r="I354" s="9" t="str">
        <f t="shared" si="41"/>
        <v>444</v>
      </c>
      <c r="Q354" s="1">
        <v>0.590983696281697</v>
      </c>
      <c r="R354" s="1">
        <v>0.55700913761577298</v>
      </c>
    </row>
    <row r="355" spans="1:18" x14ac:dyDescent="0.35">
      <c r="A355" t="s">
        <v>1367</v>
      </c>
      <c r="B355" s="2">
        <v>45637</v>
      </c>
      <c r="C355">
        <f t="shared" si="35"/>
        <v>201</v>
      </c>
      <c r="D355">
        <f t="shared" si="36"/>
        <v>2019</v>
      </c>
      <c r="E355">
        <f t="shared" si="37"/>
        <v>10</v>
      </c>
      <c r="F355">
        <f t="shared" si="38"/>
        <v>4</v>
      </c>
      <c r="G355">
        <f t="shared" si="39"/>
        <v>2</v>
      </c>
      <c r="H355">
        <f t="shared" si="40"/>
        <v>2</v>
      </c>
      <c r="I355" s="9" t="str">
        <f t="shared" si="41"/>
        <v>422</v>
      </c>
      <c r="Q355" s="1">
        <v>0.46560069145450433</v>
      </c>
      <c r="R355" s="1">
        <v>0.53408785562390837</v>
      </c>
    </row>
    <row r="356" spans="1:18" x14ac:dyDescent="0.35">
      <c r="A356" t="s">
        <v>1368</v>
      </c>
      <c r="B356" s="2">
        <v>45376</v>
      </c>
      <c r="C356">
        <f t="shared" si="35"/>
        <v>462</v>
      </c>
      <c r="D356">
        <f t="shared" si="36"/>
        <v>2792</v>
      </c>
      <c r="E356">
        <f t="shared" si="37"/>
        <v>14</v>
      </c>
      <c r="F356">
        <f t="shared" si="38"/>
        <v>1</v>
      </c>
      <c r="G356">
        <f t="shared" si="39"/>
        <v>5</v>
      </c>
      <c r="H356">
        <f t="shared" si="40"/>
        <v>5</v>
      </c>
      <c r="I356" s="9" t="str">
        <f t="shared" si="41"/>
        <v>155</v>
      </c>
      <c r="Q356" s="1">
        <v>0.80842218746473071</v>
      </c>
      <c r="R356" s="1">
        <v>0.58128545446229063</v>
      </c>
    </row>
    <row r="357" spans="1:18" x14ac:dyDescent="0.35">
      <c r="A357" t="s">
        <v>1369</v>
      </c>
      <c r="B357" s="2">
        <v>45328</v>
      </c>
      <c r="C357">
        <f t="shared" si="35"/>
        <v>510</v>
      </c>
      <c r="D357">
        <f t="shared" si="36"/>
        <v>2488</v>
      </c>
      <c r="E357">
        <f t="shared" si="37"/>
        <v>13</v>
      </c>
      <c r="F357">
        <f t="shared" si="38"/>
        <v>1</v>
      </c>
      <c r="G357">
        <f t="shared" si="39"/>
        <v>4</v>
      </c>
      <c r="H357">
        <f t="shared" si="40"/>
        <v>4</v>
      </c>
      <c r="I357" s="9" t="str">
        <f t="shared" si="41"/>
        <v>144</v>
      </c>
      <c r="Q357" s="1">
        <v>0.68125855927204126</v>
      </c>
      <c r="R357" s="1">
        <v>0.55500469992281676</v>
      </c>
    </row>
    <row r="358" spans="1:18" x14ac:dyDescent="0.35">
      <c r="A358" t="s">
        <v>1370</v>
      </c>
      <c r="B358" s="2">
        <v>45396</v>
      </c>
      <c r="C358">
        <f t="shared" si="35"/>
        <v>442</v>
      </c>
      <c r="D358">
        <f t="shared" si="36"/>
        <v>2237</v>
      </c>
      <c r="E358">
        <f t="shared" si="37"/>
        <v>12</v>
      </c>
      <c r="F358">
        <f t="shared" si="38"/>
        <v>1</v>
      </c>
      <c r="G358">
        <f t="shared" si="39"/>
        <v>4</v>
      </c>
      <c r="H358">
        <f t="shared" si="40"/>
        <v>4</v>
      </c>
      <c r="I358" s="9" t="str">
        <f t="shared" si="41"/>
        <v>144</v>
      </c>
      <c r="Q358" s="1">
        <v>0.20989928069149011</v>
      </c>
      <c r="R358" s="1">
        <v>0.89982840970937339</v>
      </c>
    </row>
    <row r="359" spans="1:18" x14ac:dyDescent="0.35">
      <c r="A359" t="s">
        <v>1371</v>
      </c>
      <c r="B359" s="2">
        <v>45673</v>
      </c>
      <c r="C359">
        <f t="shared" si="35"/>
        <v>165</v>
      </c>
      <c r="D359">
        <f t="shared" si="36"/>
        <v>1818</v>
      </c>
      <c r="E359">
        <f t="shared" si="37"/>
        <v>10</v>
      </c>
      <c r="F359">
        <f t="shared" si="38"/>
        <v>4</v>
      </c>
      <c r="G359">
        <f t="shared" si="39"/>
        <v>2</v>
      </c>
      <c r="H359">
        <f t="shared" si="40"/>
        <v>2</v>
      </c>
      <c r="I359" s="9" t="str">
        <f t="shared" si="41"/>
        <v>422</v>
      </c>
      <c r="Q359" s="1">
        <v>0.20701355868731774</v>
      </c>
      <c r="R359" s="1">
        <v>0.6908374378804325</v>
      </c>
    </row>
    <row r="360" spans="1:18" x14ac:dyDescent="0.35">
      <c r="A360" t="s">
        <v>1372</v>
      </c>
      <c r="B360" s="2">
        <v>45725</v>
      </c>
      <c r="C360">
        <f t="shared" si="35"/>
        <v>113</v>
      </c>
      <c r="D360">
        <f>ROUND((R360*0.5+0.5*Q360)*(4000-40)+40,0)</f>
        <v>2166</v>
      </c>
      <c r="E360">
        <f t="shared" si="37"/>
        <v>11</v>
      </c>
      <c r="F360">
        <f t="shared" si="38"/>
        <v>5</v>
      </c>
      <c r="G360">
        <f t="shared" si="39"/>
        <v>3</v>
      </c>
      <c r="H360">
        <f t="shared" si="40"/>
        <v>4</v>
      </c>
      <c r="I360" s="9" t="str">
        <f t="shared" si="41"/>
        <v>534</v>
      </c>
      <c r="Q360" s="1">
        <v>0.89065082609811208</v>
      </c>
      <c r="R360" s="1">
        <v>0.18317775800044955</v>
      </c>
    </row>
    <row r="361" spans="1:18" x14ac:dyDescent="0.35">
      <c r="A361" t="s">
        <v>1373</v>
      </c>
      <c r="B361" s="2">
        <v>45625</v>
      </c>
      <c r="C361">
        <f t="shared" si="35"/>
        <v>213</v>
      </c>
      <c r="D361">
        <f t="shared" ref="D361:D401" si="42">ROUND((R361*0.5+0.5*Q361)*(4000-40)+40,0)</f>
        <v>2008</v>
      </c>
      <c r="E361">
        <f t="shared" si="37"/>
        <v>10</v>
      </c>
      <c r="F361">
        <f t="shared" si="38"/>
        <v>4</v>
      </c>
      <c r="G361">
        <f t="shared" si="39"/>
        <v>2</v>
      </c>
      <c r="H361">
        <f t="shared" si="40"/>
        <v>2</v>
      </c>
      <c r="I361" s="9" t="str">
        <f t="shared" si="41"/>
        <v>422</v>
      </c>
      <c r="Q361" s="1">
        <v>0.76440108019765252</v>
      </c>
      <c r="R361" s="1">
        <v>0.22959120448653347</v>
      </c>
    </row>
    <row r="362" spans="1:18" x14ac:dyDescent="0.35">
      <c r="A362" t="s">
        <v>1374</v>
      </c>
      <c r="B362" s="2">
        <v>45296</v>
      </c>
      <c r="C362">
        <f t="shared" si="35"/>
        <v>542</v>
      </c>
      <c r="D362">
        <f t="shared" si="42"/>
        <v>1942</v>
      </c>
      <c r="E362">
        <f t="shared" si="37"/>
        <v>10</v>
      </c>
      <c r="F362">
        <f t="shared" si="38"/>
        <v>1</v>
      </c>
      <c r="G362">
        <f t="shared" si="39"/>
        <v>2</v>
      </c>
      <c r="H362">
        <f t="shared" si="40"/>
        <v>2</v>
      </c>
      <c r="I362" s="9" t="str">
        <f t="shared" si="41"/>
        <v>122</v>
      </c>
      <c r="Q362" s="1">
        <v>0.55423361961567408</v>
      </c>
      <c r="R362" s="1">
        <v>0.40616062997258773</v>
      </c>
    </row>
    <row r="363" spans="1:18" x14ac:dyDescent="0.35">
      <c r="A363" t="s">
        <v>1375</v>
      </c>
      <c r="B363" s="2">
        <v>45460</v>
      </c>
      <c r="C363">
        <f t="shared" si="35"/>
        <v>378</v>
      </c>
      <c r="D363">
        <f t="shared" si="42"/>
        <v>1556</v>
      </c>
      <c r="E363">
        <f t="shared" si="37"/>
        <v>8</v>
      </c>
      <c r="F363">
        <f t="shared" si="38"/>
        <v>2</v>
      </c>
      <c r="G363">
        <f t="shared" si="39"/>
        <v>1</v>
      </c>
      <c r="H363">
        <f t="shared" si="40"/>
        <v>2</v>
      </c>
      <c r="I363" s="9" t="str">
        <f t="shared" si="41"/>
        <v>212</v>
      </c>
      <c r="Q363" s="1">
        <v>0.64728933831917457</v>
      </c>
      <c r="R363" s="1">
        <v>0.11816480975663368</v>
      </c>
    </row>
    <row r="364" spans="1:18" x14ac:dyDescent="0.35">
      <c r="A364" t="s">
        <v>1376</v>
      </c>
      <c r="B364" s="2">
        <v>45297</v>
      </c>
      <c r="C364">
        <f t="shared" si="35"/>
        <v>541</v>
      </c>
      <c r="D364">
        <f t="shared" si="42"/>
        <v>2051</v>
      </c>
      <c r="E364">
        <f t="shared" si="37"/>
        <v>11</v>
      </c>
      <c r="F364">
        <f t="shared" si="38"/>
        <v>1</v>
      </c>
      <c r="G364">
        <f t="shared" si="39"/>
        <v>3</v>
      </c>
      <c r="H364">
        <f t="shared" si="40"/>
        <v>4</v>
      </c>
      <c r="I364" s="9" t="str">
        <f t="shared" si="41"/>
        <v>134</v>
      </c>
      <c r="Q364" s="1">
        <v>0.62848110972618854</v>
      </c>
      <c r="R364" s="1">
        <v>0.38725549712364671</v>
      </c>
    </row>
    <row r="365" spans="1:18" x14ac:dyDescent="0.35">
      <c r="A365" t="s">
        <v>1377</v>
      </c>
      <c r="B365" s="2">
        <v>45559</v>
      </c>
      <c r="C365">
        <f t="shared" si="35"/>
        <v>279</v>
      </c>
      <c r="D365">
        <f t="shared" si="42"/>
        <v>3073</v>
      </c>
      <c r="E365">
        <f t="shared" si="37"/>
        <v>16</v>
      </c>
      <c r="F365">
        <f t="shared" si="38"/>
        <v>2</v>
      </c>
      <c r="G365">
        <f t="shared" si="39"/>
        <v>5</v>
      </c>
      <c r="H365">
        <f t="shared" si="40"/>
        <v>5</v>
      </c>
      <c r="I365" s="9" t="str">
        <f t="shared" si="41"/>
        <v>255</v>
      </c>
      <c r="Q365" s="1">
        <v>0.95668741939331869</v>
      </c>
      <c r="R365" s="1">
        <v>0.57502709933160401</v>
      </c>
    </row>
    <row r="366" spans="1:18" x14ac:dyDescent="0.35">
      <c r="A366" t="s">
        <v>1378</v>
      </c>
      <c r="B366" s="2">
        <v>45627</v>
      </c>
      <c r="C366">
        <f t="shared" si="35"/>
        <v>211</v>
      </c>
      <c r="D366">
        <f t="shared" si="42"/>
        <v>951</v>
      </c>
      <c r="E366">
        <f t="shared" si="37"/>
        <v>5</v>
      </c>
      <c r="F366">
        <f t="shared" si="38"/>
        <v>4</v>
      </c>
      <c r="G366">
        <f t="shared" si="39"/>
        <v>1</v>
      </c>
      <c r="H366">
        <f t="shared" si="40"/>
        <v>1</v>
      </c>
      <c r="I366" s="9" t="str">
        <f t="shared" si="41"/>
        <v>411</v>
      </c>
      <c r="Q366" s="1">
        <v>3.6206333125936463E-2</v>
      </c>
      <c r="R366" s="1">
        <v>0.42410591428437527</v>
      </c>
    </row>
    <row r="367" spans="1:18" x14ac:dyDescent="0.35">
      <c r="A367" t="s">
        <v>1379</v>
      </c>
      <c r="B367" s="2">
        <v>45325</v>
      </c>
      <c r="C367">
        <f t="shared" si="35"/>
        <v>513</v>
      </c>
      <c r="D367">
        <f t="shared" si="42"/>
        <v>2024</v>
      </c>
      <c r="E367">
        <f t="shared" si="37"/>
        <v>11</v>
      </c>
      <c r="F367">
        <f t="shared" si="38"/>
        <v>1</v>
      </c>
      <c r="G367">
        <f t="shared" si="39"/>
        <v>3</v>
      </c>
      <c r="H367">
        <f t="shared" si="40"/>
        <v>2</v>
      </c>
      <c r="I367" s="9" t="str">
        <f t="shared" si="41"/>
        <v>132</v>
      </c>
      <c r="Q367" s="1">
        <v>0.69043834561457995</v>
      </c>
      <c r="R367" s="1">
        <v>0.31143959179588521</v>
      </c>
    </row>
    <row r="368" spans="1:18" x14ac:dyDescent="0.35">
      <c r="A368" t="s">
        <v>1380</v>
      </c>
      <c r="B368" s="2">
        <v>45774</v>
      </c>
      <c r="C368">
        <f t="shared" si="35"/>
        <v>64</v>
      </c>
      <c r="D368">
        <f t="shared" si="42"/>
        <v>2112</v>
      </c>
      <c r="E368">
        <f t="shared" si="37"/>
        <v>11</v>
      </c>
      <c r="F368">
        <f t="shared" si="38"/>
        <v>5</v>
      </c>
      <c r="G368">
        <f t="shared" si="39"/>
        <v>3</v>
      </c>
      <c r="H368">
        <f t="shared" si="40"/>
        <v>4</v>
      </c>
      <c r="I368" s="9" t="str">
        <f t="shared" si="41"/>
        <v>534</v>
      </c>
      <c r="Q368" s="1">
        <v>0.93032320839483207</v>
      </c>
      <c r="R368" s="1">
        <v>0.11638086235648304</v>
      </c>
    </row>
    <row r="369" spans="1:18" x14ac:dyDescent="0.35">
      <c r="A369" t="s">
        <v>1381</v>
      </c>
      <c r="B369" s="2">
        <v>45463</v>
      </c>
      <c r="C369">
        <f t="shared" si="35"/>
        <v>375</v>
      </c>
      <c r="D369">
        <f t="shared" si="42"/>
        <v>2739</v>
      </c>
      <c r="E369">
        <f t="shared" si="37"/>
        <v>14</v>
      </c>
      <c r="F369">
        <f t="shared" si="38"/>
        <v>2</v>
      </c>
      <c r="G369">
        <f t="shared" si="39"/>
        <v>5</v>
      </c>
      <c r="H369">
        <f t="shared" si="40"/>
        <v>5</v>
      </c>
      <c r="I369" s="9" t="str">
        <f t="shared" si="41"/>
        <v>255</v>
      </c>
      <c r="Q369" s="1">
        <v>0.84542227588774566</v>
      </c>
      <c r="R369" s="1">
        <v>0.51777459116844538</v>
      </c>
    </row>
    <row r="370" spans="1:18" x14ac:dyDescent="0.35">
      <c r="A370" t="s">
        <v>1382</v>
      </c>
      <c r="B370" s="2">
        <v>45595</v>
      </c>
      <c r="C370">
        <f t="shared" si="35"/>
        <v>243</v>
      </c>
      <c r="D370">
        <f t="shared" si="42"/>
        <v>3757</v>
      </c>
      <c r="E370">
        <f t="shared" si="37"/>
        <v>19</v>
      </c>
      <c r="F370">
        <f t="shared" si="38"/>
        <v>4</v>
      </c>
      <c r="G370">
        <f t="shared" si="39"/>
        <v>5</v>
      </c>
      <c r="H370">
        <f t="shared" si="40"/>
        <v>5</v>
      </c>
      <c r="I370" s="9" t="str">
        <f t="shared" si="41"/>
        <v>455</v>
      </c>
      <c r="Q370" s="1">
        <v>0.89548761306393854</v>
      </c>
      <c r="R370" s="1">
        <v>0.98185242790639926</v>
      </c>
    </row>
    <row r="371" spans="1:18" x14ac:dyDescent="0.35">
      <c r="A371" t="s">
        <v>1383</v>
      </c>
      <c r="B371" s="2">
        <v>45491</v>
      </c>
      <c r="C371">
        <f t="shared" si="35"/>
        <v>347</v>
      </c>
      <c r="D371">
        <f t="shared" si="42"/>
        <v>1713</v>
      </c>
      <c r="E371">
        <f t="shared" si="37"/>
        <v>9</v>
      </c>
      <c r="F371">
        <f t="shared" si="38"/>
        <v>2</v>
      </c>
      <c r="G371">
        <f t="shared" si="39"/>
        <v>2</v>
      </c>
      <c r="H371">
        <f t="shared" si="40"/>
        <v>2</v>
      </c>
      <c r="I371" s="9" t="str">
        <f t="shared" si="41"/>
        <v>222</v>
      </c>
      <c r="Q371" s="1">
        <v>0.64990805475303781</v>
      </c>
      <c r="R371" s="1">
        <v>0.19483828515560897</v>
      </c>
    </row>
    <row r="372" spans="1:18" x14ac:dyDescent="0.35">
      <c r="A372" t="s">
        <v>1384</v>
      </c>
      <c r="B372" s="2">
        <v>45558</v>
      </c>
      <c r="C372">
        <f t="shared" si="35"/>
        <v>280</v>
      </c>
      <c r="D372">
        <f t="shared" si="42"/>
        <v>2359</v>
      </c>
      <c r="E372">
        <f t="shared" si="37"/>
        <v>12</v>
      </c>
      <c r="F372">
        <f t="shared" si="38"/>
        <v>2</v>
      </c>
      <c r="G372">
        <f t="shared" si="39"/>
        <v>4</v>
      </c>
      <c r="H372">
        <f t="shared" si="40"/>
        <v>4</v>
      </c>
      <c r="I372" s="9" t="str">
        <f t="shared" si="41"/>
        <v>244</v>
      </c>
      <c r="Q372" s="1">
        <v>0.43898584175212862</v>
      </c>
      <c r="R372" s="1">
        <v>0.7322928887265342</v>
      </c>
    </row>
    <row r="373" spans="1:18" x14ac:dyDescent="0.35">
      <c r="A373" t="s">
        <v>1385</v>
      </c>
      <c r="B373" s="2">
        <v>45603</v>
      </c>
      <c r="C373">
        <f t="shared" si="35"/>
        <v>235</v>
      </c>
      <c r="D373">
        <f t="shared" si="42"/>
        <v>1339</v>
      </c>
      <c r="E373">
        <f t="shared" si="37"/>
        <v>7</v>
      </c>
      <c r="F373">
        <f t="shared" si="38"/>
        <v>4</v>
      </c>
      <c r="G373">
        <f t="shared" si="39"/>
        <v>1</v>
      </c>
      <c r="H373">
        <f t="shared" si="40"/>
        <v>1</v>
      </c>
      <c r="I373" s="9" t="str">
        <f t="shared" si="41"/>
        <v>411</v>
      </c>
      <c r="Q373" s="1">
        <v>0.31263894941145298</v>
      </c>
      <c r="R373" s="1">
        <v>0.34338446608529594</v>
      </c>
    </row>
    <row r="374" spans="1:18" x14ac:dyDescent="0.35">
      <c r="A374" t="s">
        <v>1386</v>
      </c>
      <c r="B374" s="2">
        <v>45736</v>
      </c>
      <c r="C374">
        <f t="shared" si="35"/>
        <v>102</v>
      </c>
      <c r="D374">
        <f t="shared" si="42"/>
        <v>2041</v>
      </c>
      <c r="E374">
        <f t="shared" si="37"/>
        <v>11</v>
      </c>
      <c r="F374">
        <f t="shared" si="38"/>
        <v>5</v>
      </c>
      <c r="G374">
        <f t="shared" si="39"/>
        <v>3</v>
      </c>
      <c r="H374">
        <f t="shared" si="40"/>
        <v>3</v>
      </c>
      <c r="I374" s="9" t="str">
        <f t="shared" si="41"/>
        <v>533</v>
      </c>
      <c r="Q374" s="1">
        <v>0.21914563298094802</v>
      </c>
      <c r="R374" s="1">
        <v>0.79127551664757401</v>
      </c>
    </row>
    <row r="375" spans="1:18" x14ac:dyDescent="0.35">
      <c r="A375" t="s">
        <v>1387</v>
      </c>
      <c r="B375" s="2">
        <v>45574</v>
      </c>
      <c r="C375">
        <f t="shared" si="35"/>
        <v>264</v>
      </c>
      <c r="D375">
        <f t="shared" si="42"/>
        <v>2832</v>
      </c>
      <c r="E375">
        <f t="shared" si="37"/>
        <v>14</v>
      </c>
      <c r="F375">
        <f t="shared" si="38"/>
        <v>4</v>
      </c>
      <c r="G375">
        <f t="shared" si="39"/>
        <v>5</v>
      </c>
      <c r="H375">
        <f t="shared" si="40"/>
        <v>5</v>
      </c>
      <c r="I375" s="9" t="str">
        <f t="shared" si="41"/>
        <v>455</v>
      </c>
      <c r="Q375" s="1">
        <v>0.84660453166375149</v>
      </c>
      <c r="R375" s="1">
        <v>0.56363648454424697</v>
      </c>
    </row>
    <row r="376" spans="1:18" x14ac:dyDescent="0.35">
      <c r="A376" t="s">
        <v>1388</v>
      </c>
      <c r="B376" s="2">
        <v>45613</v>
      </c>
      <c r="C376">
        <f t="shared" si="35"/>
        <v>225</v>
      </c>
      <c r="D376">
        <f t="shared" si="42"/>
        <v>1572</v>
      </c>
      <c r="E376">
        <f t="shared" si="37"/>
        <v>8</v>
      </c>
      <c r="F376">
        <f t="shared" si="38"/>
        <v>4</v>
      </c>
      <c r="G376">
        <f t="shared" si="39"/>
        <v>1</v>
      </c>
      <c r="H376">
        <f t="shared" si="40"/>
        <v>2</v>
      </c>
      <c r="I376" s="9" t="str">
        <f t="shared" si="41"/>
        <v>412</v>
      </c>
      <c r="Q376" s="1">
        <v>0.66712505999587468</v>
      </c>
      <c r="R376" s="1">
        <v>0.10667873095974723</v>
      </c>
    </row>
    <row r="377" spans="1:18" x14ac:dyDescent="0.35">
      <c r="A377" t="s">
        <v>1389</v>
      </c>
      <c r="B377" s="2">
        <v>45746</v>
      </c>
      <c r="C377">
        <f t="shared" si="35"/>
        <v>92</v>
      </c>
      <c r="D377">
        <f t="shared" si="42"/>
        <v>2761</v>
      </c>
      <c r="E377">
        <f t="shared" si="37"/>
        <v>14</v>
      </c>
      <c r="F377">
        <f t="shared" si="38"/>
        <v>5</v>
      </c>
      <c r="G377">
        <f t="shared" si="39"/>
        <v>5</v>
      </c>
      <c r="H377">
        <f t="shared" si="40"/>
        <v>5</v>
      </c>
      <c r="I377" s="9" t="str">
        <f t="shared" si="41"/>
        <v>555</v>
      </c>
      <c r="Q377" s="1">
        <v>0.62508345648244912</v>
      </c>
      <c r="R377" s="1">
        <v>0.74914573990404465</v>
      </c>
    </row>
    <row r="378" spans="1:18" x14ac:dyDescent="0.35">
      <c r="A378" t="s">
        <v>1390</v>
      </c>
      <c r="B378" s="2">
        <v>45580</v>
      </c>
      <c r="C378">
        <f t="shared" si="35"/>
        <v>258</v>
      </c>
      <c r="D378">
        <f t="shared" si="42"/>
        <v>1532</v>
      </c>
      <c r="E378">
        <f t="shared" si="37"/>
        <v>8</v>
      </c>
      <c r="F378">
        <f t="shared" si="38"/>
        <v>4</v>
      </c>
      <c r="G378">
        <f t="shared" si="39"/>
        <v>1</v>
      </c>
      <c r="H378">
        <f t="shared" si="40"/>
        <v>2</v>
      </c>
      <c r="I378" s="9" t="str">
        <f t="shared" si="41"/>
        <v>412</v>
      </c>
      <c r="Q378" s="1">
        <v>0.27266583850996684</v>
      </c>
      <c r="R378" s="1">
        <v>0.48111597708001186</v>
      </c>
    </row>
    <row r="379" spans="1:18" x14ac:dyDescent="0.35">
      <c r="A379" t="s">
        <v>1391</v>
      </c>
      <c r="B379" s="2">
        <v>45816</v>
      </c>
      <c r="C379">
        <f t="shared" si="35"/>
        <v>22</v>
      </c>
      <c r="D379">
        <f t="shared" si="42"/>
        <v>1795</v>
      </c>
      <c r="E379">
        <f t="shared" si="37"/>
        <v>9</v>
      </c>
      <c r="F379">
        <f t="shared" si="38"/>
        <v>5</v>
      </c>
      <c r="G379">
        <f t="shared" si="39"/>
        <v>2</v>
      </c>
      <c r="H379">
        <f t="shared" si="40"/>
        <v>2</v>
      </c>
      <c r="I379" s="9" t="str">
        <f t="shared" si="41"/>
        <v>522</v>
      </c>
      <c r="Q379" s="1">
        <v>0.82761567646825851</v>
      </c>
      <c r="R379" s="1">
        <v>5.882331020380116E-2</v>
      </c>
    </row>
    <row r="380" spans="1:18" x14ac:dyDescent="0.35">
      <c r="A380" t="s">
        <v>1392</v>
      </c>
      <c r="B380" s="2">
        <v>45490</v>
      </c>
      <c r="C380">
        <f t="shared" si="35"/>
        <v>348</v>
      </c>
      <c r="D380">
        <f t="shared" si="42"/>
        <v>2908</v>
      </c>
      <c r="E380">
        <f t="shared" si="37"/>
        <v>15</v>
      </c>
      <c r="F380">
        <f t="shared" si="38"/>
        <v>2</v>
      </c>
      <c r="G380">
        <f t="shared" si="39"/>
        <v>5</v>
      </c>
      <c r="H380">
        <f t="shared" si="40"/>
        <v>5</v>
      </c>
      <c r="I380" s="9" t="str">
        <f t="shared" si="41"/>
        <v>255</v>
      </c>
      <c r="Q380" s="1">
        <v>0.79707153868100555</v>
      </c>
      <c r="R380" s="1">
        <v>0.65119791082926037</v>
      </c>
    </row>
    <row r="381" spans="1:18" x14ac:dyDescent="0.35">
      <c r="A381" t="s">
        <v>1393</v>
      </c>
      <c r="B381" s="2">
        <v>45404</v>
      </c>
      <c r="C381">
        <f t="shared" si="35"/>
        <v>434</v>
      </c>
      <c r="D381">
        <f t="shared" si="42"/>
        <v>2508</v>
      </c>
      <c r="E381">
        <f t="shared" si="37"/>
        <v>13</v>
      </c>
      <c r="F381">
        <f t="shared" si="38"/>
        <v>1</v>
      </c>
      <c r="G381">
        <f t="shared" si="39"/>
        <v>4</v>
      </c>
      <c r="H381">
        <f t="shared" si="40"/>
        <v>4</v>
      </c>
      <c r="I381" s="9" t="str">
        <f t="shared" si="41"/>
        <v>144</v>
      </c>
      <c r="Q381" s="1">
        <v>0.998713810032819</v>
      </c>
      <c r="R381" s="1">
        <v>0.24773835778579811</v>
      </c>
    </row>
    <row r="382" spans="1:18" x14ac:dyDescent="0.35">
      <c r="A382" t="s">
        <v>1394</v>
      </c>
      <c r="B382" s="2">
        <v>45801</v>
      </c>
      <c r="C382">
        <f t="shared" si="35"/>
        <v>37</v>
      </c>
      <c r="D382">
        <f t="shared" si="42"/>
        <v>1713</v>
      </c>
      <c r="E382">
        <f t="shared" si="37"/>
        <v>9</v>
      </c>
      <c r="F382">
        <f t="shared" si="38"/>
        <v>5</v>
      </c>
      <c r="G382">
        <f t="shared" si="39"/>
        <v>2</v>
      </c>
      <c r="H382">
        <f t="shared" si="40"/>
        <v>2</v>
      </c>
      <c r="I382" s="9" t="str">
        <f t="shared" si="41"/>
        <v>522</v>
      </c>
      <c r="Q382" s="1">
        <v>0.16128244504872646</v>
      </c>
      <c r="R382" s="1">
        <v>0.68348534181639609</v>
      </c>
    </row>
    <row r="383" spans="1:18" x14ac:dyDescent="0.35">
      <c r="A383" t="s">
        <v>1395</v>
      </c>
      <c r="B383" s="2">
        <v>45562</v>
      </c>
      <c r="C383">
        <f t="shared" si="35"/>
        <v>276</v>
      </c>
      <c r="D383">
        <f t="shared" si="42"/>
        <v>901</v>
      </c>
      <c r="E383">
        <f t="shared" si="37"/>
        <v>5</v>
      </c>
      <c r="F383">
        <f t="shared" si="38"/>
        <v>2</v>
      </c>
      <c r="G383">
        <f t="shared" si="39"/>
        <v>1</v>
      </c>
      <c r="H383">
        <f t="shared" si="40"/>
        <v>1</v>
      </c>
      <c r="I383" s="9" t="str">
        <f t="shared" si="41"/>
        <v>211</v>
      </c>
      <c r="Q383" s="1">
        <v>0.27074343849885563</v>
      </c>
      <c r="R383" s="1">
        <v>0.16389800825578993</v>
      </c>
    </row>
    <row r="384" spans="1:18" x14ac:dyDescent="0.35">
      <c r="A384" t="s">
        <v>1396</v>
      </c>
      <c r="B384" s="2">
        <v>45703</v>
      </c>
      <c r="C384">
        <f t="shared" si="35"/>
        <v>135</v>
      </c>
      <c r="D384">
        <f t="shared" si="42"/>
        <v>2092</v>
      </c>
      <c r="E384">
        <f t="shared" si="37"/>
        <v>11</v>
      </c>
      <c r="F384">
        <f t="shared" si="38"/>
        <v>5</v>
      </c>
      <c r="G384">
        <f t="shared" si="39"/>
        <v>3</v>
      </c>
      <c r="H384">
        <f t="shared" si="40"/>
        <v>4</v>
      </c>
      <c r="I384" s="9" t="str">
        <f t="shared" si="41"/>
        <v>534</v>
      </c>
      <c r="Q384" s="1">
        <v>0.32849845936004018</v>
      </c>
      <c r="R384" s="1">
        <v>0.70772693497506312</v>
      </c>
    </row>
    <row r="385" spans="1:18" x14ac:dyDescent="0.35">
      <c r="A385" t="s">
        <v>1397</v>
      </c>
      <c r="B385" s="2">
        <v>45580</v>
      </c>
      <c r="C385">
        <f t="shared" si="35"/>
        <v>258</v>
      </c>
      <c r="D385">
        <f t="shared" si="42"/>
        <v>1526</v>
      </c>
      <c r="E385">
        <f t="shared" si="37"/>
        <v>8</v>
      </c>
      <c r="F385">
        <f t="shared" si="38"/>
        <v>4</v>
      </c>
      <c r="G385">
        <f t="shared" si="39"/>
        <v>1</v>
      </c>
      <c r="H385">
        <f t="shared" si="40"/>
        <v>2</v>
      </c>
      <c r="I385" s="9" t="str">
        <f t="shared" si="41"/>
        <v>412</v>
      </c>
      <c r="Q385" s="1">
        <v>0.31778408720554319</v>
      </c>
      <c r="R385" s="1">
        <v>0.43274055871354078</v>
      </c>
    </row>
    <row r="386" spans="1:18" x14ac:dyDescent="0.35">
      <c r="A386" t="s">
        <v>1398</v>
      </c>
      <c r="B386" s="2">
        <v>45359</v>
      </c>
      <c r="C386">
        <f t="shared" si="35"/>
        <v>479</v>
      </c>
      <c r="D386">
        <f t="shared" si="42"/>
        <v>1021</v>
      </c>
      <c r="E386">
        <f t="shared" si="37"/>
        <v>6</v>
      </c>
      <c r="F386">
        <f t="shared" si="38"/>
        <v>1</v>
      </c>
      <c r="G386">
        <f t="shared" si="39"/>
        <v>1</v>
      </c>
      <c r="H386">
        <f t="shared" si="40"/>
        <v>1</v>
      </c>
      <c r="I386" s="9" t="str">
        <f t="shared" si="41"/>
        <v>111</v>
      </c>
      <c r="Q386" s="1">
        <v>0.31397721863538874</v>
      </c>
      <c r="R386" s="1">
        <v>0.18167293872345303</v>
      </c>
    </row>
    <row r="387" spans="1:18" x14ac:dyDescent="0.35">
      <c r="A387" t="s">
        <v>1399</v>
      </c>
      <c r="B387" s="2">
        <v>45577</v>
      </c>
      <c r="C387">
        <f t="shared" ref="C387:C401" si="43">45838-B387</f>
        <v>261</v>
      </c>
      <c r="D387">
        <f t="shared" si="42"/>
        <v>2020</v>
      </c>
      <c r="E387">
        <f t="shared" ref="E387:E401" si="44">ROUND((R387*0.5+Q387*0.5)*(20-1)+1,0)</f>
        <v>11</v>
      </c>
      <c r="F387">
        <f t="shared" ref="F387:F401" si="45">IF(C387&lt;=$M$4,5,IF(C387&lt;=$M$5,4,IF(C387&lt;=$M$9,3,IF(C387&lt;=$M$6,2,1))))</f>
        <v>4</v>
      </c>
      <c r="G387">
        <f t="shared" ref="G387:G401" si="46">IF(E387&lt;=$M$14,1,IF(E387&lt;=$M$19,2,IF(E387&lt;=$M$15,3,IF(E387&lt;=$M$16,4,5))))</f>
        <v>3</v>
      </c>
      <c r="H387">
        <f t="shared" ref="H387:H401" si="47">IF(D387&lt;=$M$24,1,IF(D387&lt;=$M$29,2,IF(D387&lt;=$M$25,3,IF(D387&lt;=$M$26,4,5))))</f>
        <v>2</v>
      </c>
      <c r="I387" s="9" t="str">
        <f t="shared" ref="I387:I401" si="48">CONCATENATE(F387,G387,H387)</f>
        <v>432</v>
      </c>
      <c r="Q387" s="1">
        <v>0.33722596770390789</v>
      </c>
      <c r="R387" s="1">
        <v>0.66297505553906877</v>
      </c>
    </row>
    <row r="388" spans="1:18" x14ac:dyDescent="0.35">
      <c r="A388" t="s">
        <v>1400</v>
      </c>
      <c r="B388" s="2">
        <v>45489</v>
      </c>
      <c r="C388">
        <f t="shared" si="43"/>
        <v>349</v>
      </c>
      <c r="D388">
        <f t="shared" si="42"/>
        <v>1013</v>
      </c>
      <c r="E388">
        <f t="shared" si="44"/>
        <v>6</v>
      </c>
      <c r="F388">
        <f t="shared" si="45"/>
        <v>2</v>
      </c>
      <c r="G388">
        <f t="shared" si="46"/>
        <v>1</v>
      </c>
      <c r="H388">
        <f t="shared" si="47"/>
        <v>1</v>
      </c>
      <c r="I388" s="9" t="str">
        <f t="shared" si="48"/>
        <v>211</v>
      </c>
      <c r="Q388" s="1">
        <v>0.24869985682729423</v>
      </c>
      <c r="R388" s="1">
        <v>0.24260650230856629</v>
      </c>
    </row>
    <row r="389" spans="1:18" x14ac:dyDescent="0.35">
      <c r="A389" t="s">
        <v>1401</v>
      </c>
      <c r="B389" s="2">
        <v>45495</v>
      </c>
      <c r="C389">
        <f t="shared" si="43"/>
        <v>343</v>
      </c>
      <c r="D389">
        <f t="shared" si="42"/>
        <v>1771</v>
      </c>
      <c r="E389">
        <f t="shared" si="44"/>
        <v>9</v>
      </c>
      <c r="F389">
        <f t="shared" si="45"/>
        <v>2</v>
      </c>
      <c r="G389">
        <f t="shared" si="46"/>
        <v>2</v>
      </c>
      <c r="H389">
        <f t="shared" si="47"/>
        <v>2</v>
      </c>
      <c r="I389" s="9" t="str">
        <f t="shared" si="48"/>
        <v>222</v>
      </c>
      <c r="Q389" s="1">
        <v>6.9686468177200367E-2</v>
      </c>
      <c r="R389" s="1">
        <v>0.80457205161422118</v>
      </c>
    </row>
    <row r="390" spans="1:18" x14ac:dyDescent="0.35">
      <c r="A390" t="s">
        <v>1402</v>
      </c>
      <c r="B390" s="2">
        <v>45811</v>
      </c>
      <c r="C390">
        <f t="shared" si="43"/>
        <v>27</v>
      </c>
      <c r="D390">
        <f t="shared" si="42"/>
        <v>870</v>
      </c>
      <c r="E390">
        <f t="shared" si="44"/>
        <v>5</v>
      </c>
      <c r="F390">
        <f t="shared" si="45"/>
        <v>5</v>
      </c>
      <c r="G390">
        <f t="shared" si="46"/>
        <v>1</v>
      </c>
      <c r="H390">
        <f t="shared" si="47"/>
        <v>1</v>
      </c>
      <c r="I390" s="9" t="str">
        <f t="shared" si="48"/>
        <v>511</v>
      </c>
      <c r="Q390" s="1">
        <v>0.28791332962072302</v>
      </c>
      <c r="R390" s="1">
        <v>0.13136681413378626</v>
      </c>
    </row>
    <row r="391" spans="1:18" x14ac:dyDescent="0.35">
      <c r="A391" t="s">
        <v>1403</v>
      </c>
      <c r="B391" s="2">
        <v>45741</v>
      </c>
      <c r="C391">
        <f t="shared" si="43"/>
        <v>97</v>
      </c>
      <c r="D391">
        <f t="shared" si="42"/>
        <v>450</v>
      </c>
      <c r="E391">
        <f t="shared" si="44"/>
        <v>3</v>
      </c>
      <c r="F391">
        <f t="shared" si="45"/>
        <v>5</v>
      </c>
      <c r="G391">
        <f t="shared" si="46"/>
        <v>1</v>
      </c>
      <c r="H391">
        <f t="shared" si="47"/>
        <v>1</v>
      </c>
      <c r="I391" s="9" t="str">
        <f t="shared" si="48"/>
        <v>511</v>
      </c>
      <c r="Q391" s="1">
        <v>0.13330376964535384</v>
      </c>
      <c r="R391" s="1">
        <v>7.3710020689526035E-2</v>
      </c>
    </row>
    <row r="392" spans="1:18" x14ac:dyDescent="0.35">
      <c r="A392" t="s">
        <v>1404</v>
      </c>
      <c r="B392" s="2">
        <v>45380</v>
      </c>
      <c r="C392">
        <f t="shared" si="43"/>
        <v>458</v>
      </c>
      <c r="D392">
        <f t="shared" si="42"/>
        <v>2369</v>
      </c>
      <c r="E392">
        <f t="shared" si="44"/>
        <v>12</v>
      </c>
      <c r="F392">
        <f t="shared" si="45"/>
        <v>1</v>
      </c>
      <c r="G392">
        <f t="shared" si="46"/>
        <v>4</v>
      </c>
      <c r="H392">
        <f t="shared" si="47"/>
        <v>4</v>
      </c>
      <c r="I392" s="9" t="str">
        <f t="shared" si="48"/>
        <v>144</v>
      </c>
      <c r="Q392" s="1">
        <v>0.95380322249561389</v>
      </c>
      <c r="R392" s="1">
        <v>0.22233700439956516</v>
      </c>
    </row>
    <row r="393" spans="1:18" x14ac:dyDescent="0.35">
      <c r="A393" t="s">
        <v>1405</v>
      </c>
      <c r="B393" s="2">
        <v>45387</v>
      </c>
      <c r="C393">
        <f t="shared" si="43"/>
        <v>451</v>
      </c>
      <c r="D393">
        <f t="shared" si="42"/>
        <v>1478</v>
      </c>
      <c r="E393">
        <f t="shared" si="44"/>
        <v>8</v>
      </c>
      <c r="F393">
        <f t="shared" si="45"/>
        <v>1</v>
      </c>
      <c r="G393">
        <f t="shared" si="46"/>
        <v>1</v>
      </c>
      <c r="H393">
        <f t="shared" si="47"/>
        <v>2</v>
      </c>
      <c r="I393" s="9" t="str">
        <f t="shared" si="48"/>
        <v>112</v>
      </c>
      <c r="Q393" s="1">
        <v>0.13445239967112543</v>
      </c>
      <c r="R393" s="1">
        <v>0.59160650566082229</v>
      </c>
    </row>
    <row r="394" spans="1:18" x14ac:dyDescent="0.35">
      <c r="A394" t="s">
        <v>1406</v>
      </c>
      <c r="B394" s="2">
        <v>45393</v>
      </c>
      <c r="C394">
        <f t="shared" si="43"/>
        <v>445</v>
      </c>
      <c r="D394">
        <f t="shared" si="42"/>
        <v>2696</v>
      </c>
      <c r="E394">
        <f t="shared" si="44"/>
        <v>14</v>
      </c>
      <c r="F394">
        <f t="shared" si="45"/>
        <v>1</v>
      </c>
      <c r="G394">
        <f t="shared" si="46"/>
        <v>5</v>
      </c>
      <c r="H394">
        <f t="shared" si="47"/>
        <v>5</v>
      </c>
      <c r="I394" s="9" t="str">
        <f t="shared" si="48"/>
        <v>155</v>
      </c>
      <c r="Q394" s="1">
        <v>0.89164824523168917</v>
      </c>
      <c r="R394" s="1">
        <v>0.44956662841235395</v>
      </c>
    </row>
    <row r="395" spans="1:18" x14ac:dyDescent="0.35">
      <c r="A395" t="s">
        <v>1407</v>
      </c>
      <c r="B395" s="2">
        <v>45833</v>
      </c>
      <c r="C395">
        <f t="shared" si="43"/>
        <v>5</v>
      </c>
      <c r="D395">
        <f t="shared" si="42"/>
        <v>194</v>
      </c>
      <c r="E395">
        <f t="shared" si="44"/>
        <v>2</v>
      </c>
      <c r="F395">
        <f t="shared" si="45"/>
        <v>5</v>
      </c>
      <c r="G395">
        <f t="shared" si="46"/>
        <v>1</v>
      </c>
      <c r="H395">
        <f t="shared" si="47"/>
        <v>1</v>
      </c>
      <c r="I395" s="9" t="str">
        <f t="shared" si="48"/>
        <v>511</v>
      </c>
      <c r="Q395" s="1">
        <v>1.936158664935328E-2</v>
      </c>
      <c r="R395" s="1">
        <v>5.85212625343281E-2</v>
      </c>
    </row>
    <row r="396" spans="1:18" x14ac:dyDescent="0.35">
      <c r="A396" t="s">
        <v>1408</v>
      </c>
      <c r="B396" s="2">
        <v>45339</v>
      </c>
      <c r="C396">
        <f t="shared" si="43"/>
        <v>499</v>
      </c>
      <c r="D396">
        <f t="shared" si="42"/>
        <v>1952</v>
      </c>
      <c r="E396">
        <f t="shared" si="44"/>
        <v>10</v>
      </c>
      <c r="F396">
        <f t="shared" si="45"/>
        <v>1</v>
      </c>
      <c r="G396">
        <f t="shared" si="46"/>
        <v>2</v>
      </c>
      <c r="H396">
        <f t="shared" si="47"/>
        <v>2</v>
      </c>
      <c r="I396" s="9" t="str">
        <f t="shared" si="48"/>
        <v>122</v>
      </c>
      <c r="Q396" s="1">
        <v>0.76604428778462941</v>
      </c>
      <c r="R396" s="1">
        <v>0.19960500107624057</v>
      </c>
    </row>
    <row r="397" spans="1:18" x14ac:dyDescent="0.35">
      <c r="A397" t="s">
        <v>1409</v>
      </c>
      <c r="B397" s="2">
        <v>45762</v>
      </c>
      <c r="C397">
        <f t="shared" si="43"/>
        <v>76</v>
      </c>
      <c r="D397">
        <f t="shared" si="42"/>
        <v>1897</v>
      </c>
      <c r="E397">
        <f t="shared" si="44"/>
        <v>10</v>
      </c>
      <c r="F397">
        <f t="shared" si="45"/>
        <v>5</v>
      </c>
      <c r="G397">
        <f t="shared" si="46"/>
        <v>2</v>
      </c>
      <c r="H397">
        <f t="shared" si="47"/>
        <v>2</v>
      </c>
      <c r="I397" s="9" t="str">
        <f t="shared" si="48"/>
        <v>522</v>
      </c>
      <c r="Q397" s="1">
        <v>0.59746765492457088</v>
      </c>
      <c r="R397" s="1">
        <v>0.34057976558426628</v>
      </c>
    </row>
    <row r="398" spans="1:18" x14ac:dyDescent="0.35">
      <c r="A398" t="s">
        <v>1410</v>
      </c>
      <c r="B398" s="2">
        <v>45523</v>
      </c>
      <c r="C398">
        <f t="shared" si="43"/>
        <v>315</v>
      </c>
      <c r="D398">
        <f t="shared" si="42"/>
        <v>3493</v>
      </c>
      <c r="E398">
        <f t="shared" si="44"/>
        <v>18</v>
      </c>
      <c r="F398">
        <f t="shared" si="45"/>
        <v>2</v>
      </c>
      <c r="G398">
        <f t="shared" si="46"/>
        <v>5</v>
      </c>
      <c r="H398">
        <f t="shared" si="47"/>
        <v>5</v>
      </c>
      <c r="I398" s="9" t="str">
        <f t="shared" si="48"/>
        <v>255</v>
      </c>
      <c r="Q398" s="1">
        <v>0.75053523948695822</v>
      </c>
      <c r="R398" s="1">
        <v>0.99328181179459318</v>
      </c>
    </row>
    <row r="399" spans="1:18" x14ac:dyDescent="0.35">
      <c r="A399" t="s">
        <v>1411</v>
      </c>
      <c r="B399" s="2">
        <v>45713</v>
      </c>
      <c r="C399">
        <f t="shared" si="43"/>
        <v>125</v>
      </c>
      <c r="D399">
        <f t="shared" si="42"/>
        <v>2592</v>
      </c>
      <c r="E399">
        <f t="shared" si="44"/>
        <v>13</v>
      </c>
      <c r="F399">
        <f t="shared" si="45"/>
        <v>5</v>
      </c>
      <c r="G399">
        <f t="shared" si="46"/>
        <v>4</v>
      </c>
      <c r="H399">
        <f t="shared" si="47"/>
        <v>4</v>
      </c>
      <c r="I399" s="9" t="str">
        <f t="shared" si="48"/>
        <v>544</v>
      </c>
      <c r="Q399" s="1">
        <v>0.56763499937085049</v>
      </c>
      <c r="R399" s="1">
        <v>0.72117497628740423</v>
      </c>
    </row>
    <row r="400" spans="1:18" x14ac:dyDescent="0.35">
      <c r="A400" t="s">
        <v>1412</v>
      </c>
      <c r="B400" s="2">
        <v>45721</v>
      </c>
      <c r="C400">
        <f t="shared" si="43"/>
        <v>117</v>
      </c>
      <c r="D400">
        <f t="shared" si="42"/>
        <v>1950</v>
      </c>
      <c r="E400">
        <f t="shared" si="44"/>
        <v>10</v>
      </c>
      <c r="F400">
        <f t="shared" si="45"/>
        <v>5</v>
      </c>
      <c r="G400">
        <f t="shared" si="46"/>
        <v>2</v>
      </c>
      <c r="H400">
        <f t="shared" si="47"/>
        <v>2</v>
      </c>
      <c r="I400" s="9" t="str">
        <f t="shared" si="48"/>
        <v>522</v>
      </c>
      <c r="Q400" s="1">
        <v>0.20246694640277718</v>
      </c>
      <c r="R400" s="1">
        <v>0.76240101771343183</v>
      </c>
    </row>
    <row r="401" spans="1:18" x14ac:dyDescent="0.35">
      <c r="A401" t="s">
        <v>1413</v>
      </c>
      <c r="B401" s="2">
        <v>45567</v>
      </c>
      <c r="C401">
        <f t="shared" si="43"/>
        <v>271</v>
      </c>
      <c r="D401">
        <f t="shared" si="42"/>
        <v>985</v>
      </c>
      <c r="E401">
        <f t="shared" si="44"/>
        <v>6</v>
      </c>
      <c r="F401">
        <f t="shared" si="45"/>
        <v>3</v>
      </c>
      <c r="G401">
        <f t="shared" si="46"/>
        <v>1</v>
      </c>
      <c r="H401">
        <f t="shared" si="47"/>
        <v>1</v>
      </c>
      <c r="I401" s="9" t="str">
        <f t="shared" si="48"/>
        <v>311</v>
      </c>
      <c r="Q401" s="1">
        <v>0.45753345217383534</v>
      </c>
      <c r="R401" s="1">
        <v>1.9560526489389218E-2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topLeftCell="B1" zoomScale="115" zoomScaleNormal="115" workbookViewId="0">
      <selection activeCell="E3" sqref="E3"/>
    </sheetView>
  </sheetViews>
  <sheetFormatPr defaultRowHeight="14.5" x14ac:dyDescent="0.35"/>
  <cols>
    <col min="1" max="1" width="49.54296875" customWidth="1"/>
    <col min="2" max="2" width="55.7265625" customWidth="1"/>
    <col min="3" max="3" width="26" customWidth="1"/>
    <col min="4" max="4" width="23.26953125" customWidth="1"/>
    <col min="5" max="5" width="22" customWidth="1"/>
    <col min="6" max="6" width="30.54296875" customWidth="1"/>
  </cols>
  <sheetData>
    <row r="1" spans="1:6" x14ac:dyDescent="0.35">
      <c r="A1" t="s">
        <v>1004</v>
      </c>
      <c r="B1" t="s">
        <v>1414</v>
      </c>
      <c r="C1" t="s">
        <v>1431</v>
      </c>
      <c r="D1" t="s">
        <v>1432</v>
      </c>
      <c r="E1" t="s">
        <v>1433</v>
      </c>
      <c r="F1" t="s">
        <v>1434</v>
      </c>
    </row>
    <row r="2" spans="1:6" x14ac:dyDescent="0.35">
      <c r="A2" s="1">
        <f ca="1">RAND()</f>
        <v>0.43613810323623869</v>
      </c>
      <c r="B2" s="1">
        <f ca="1">RAND()</f>
        <v>0.16020376839637029</v>
      </c>
      <c r="C2" s="1">
        <f ca="1">RAND()</f>
        <v>0.93351257953577582</v>
      </c>
      <c r="D2">
        <f ca="1">RANDBETWEEN(45292,45838)</f>
        <v>45322</v>
      </c>
      <c r="E2">
        <f ca="1">RANDBETWEEN(45292,45838)</f>
        <v>45678</v>
      </c>
      <c r="F2" s="1">
        <f ca="1">RAND()</f>
        <v>0.11599952906239608</v>
      </c>
    </row>
    <row r="3" spans="1:6" x14ac:dyDescent="0.35">
      <c r="A3" s="1">
        <f t="shared" ref="A3:C66" ca="1" si="0">RAND()</f>
        <v>0.69102849561137403</v>
      </c>
      <c r="B3" s="1">
        <f t="shared" ca="1" si="0"/>
        <v>0.53890341652497942</v>
      </c>
      <c r="C3" s="1">
        <f t="shared" ca="1" si="0"/>
        <v>0.14956747390815928</v>
      </c>
      <c r="D3">
        <f t="shared" ref="D3:E66" ca="1" si="1">RANDBETWEEN(45292,45838)</f>
        <v>45679</v>
      </c>
      <c r="E3">
        <f t="shared" ca="1" si="1"/>
        <v>45635</v>
      </c>
      <c r="F3" s="1">
        <f t="shared" ref="F3:F66" ca="1" si="2">RAND()</f>
        <v>0.61682143034835313</v>
      </c>
    </row>
    <row r="4" spans="1:6" x14ac:dyDescent="0.35">
      <c r="A4" s="1">
        <f t="shared" ca="1" si="0"/>
        <v>0.7271849376394508</v>
      </c>
      <c r="B4" s="1">
        <f t="shared" ca="1" si="0"/>
        <v>3.5173823629073619E-2</v>
      </c>
      <c r="C4" s="1">
        <f t="shared" ca="1" si="0"/>
        <v>0.58118716486660627</v>
      </c>
      <c r="D4">
        <f t="shared" ca="1" si="1"/>
        <v>45617</v>
      </c>
      <c r="E4">
        <f t="shared" ca="1" si="1"/>
        <v>45678</v>
      </c>
      <c r="F4" s="1">
        <f t="shared" ca="1" si="2"/>
        <v>0.36418938721313399</v>
      </c>
    </row>
    <row r="5" spans="1:6" x14ac:dyDescent="0.35">
      <c r="A5" s="1">
        <f t="shared" ca="1" si="0"/>
        <v>0.98096374632590966</v>
      </c>
      <c r="B5" s="1">
        <f t="shared" ca="1" si="0"/>
        <v>0.11849392726839669</v>
      </c>
      <c r="C5" s="1">
        <f t="shared" ca="1" si="0"/>
        <v>0.681279966910456</v>
      </c>
      <c r="D5">
        <f t="shared" ca="1" si="1"/>
        <v>45436</v>
      </c>
      <c r="E5">
        <f t="shared" ca="1" si="1"/>
        <v>45666</v>
      </c>
      <c r="F5" s="1">
        <f t="shared" ca="1" si="2"/>
        <v>1.3311510062350984E-2</v>
      </c>
    </row>
    <row r="6" spans="1:6" x14ac:dyDescent="0.35">
      <c r="A6" s="1">
        <f t="shared" ca="1" si="0"/>
        <v>0.51435857256036221</v>
      </c>
      <c r="B6" s="1">
        <f t="shared" ca="1" si="0"/>
        <v>0.75231243775704659</v>
      </c>
      <c r="C6" s="1">
        <f t="shared" ca="1" si="0"/>
        <v>0.74316802540270332</v>
      </c>
      <c r="D6">
        <f t="shared" ca="1" si="1"/>
        <v>45786</v>
      </c>
      <c r="E6">
        <f t="shared" ca="1" si="1"/>
        <v>45641</v>
      </c>
      <c r="F6" s="1">
        <f t="shared" ca="1" si="2"/>
        <v>0.85961426393408669</v>
      </c>
    </row>
    <row r="7" spans="1:6" x14ac:dyDescent="0.35">
      <c r="A7" s="1">
        <f t="shared" ca="1" si="0"/>
        <v>0.2636128709106097</v>
      </c>
      <c r="B7" s="1">
        <f t="shared" ca="1" si="0"/>
        <v>8.2195122516223629E-2</v>
      </c>
      <c r="C7" s="1">
        <f t="shared" ca="1" si="0"/>
        <v>0.684434729528278</v>
      </c>
      <c r="D7">
        <f t="shared" ca="1" si="1"/>
        <v>45753</v>
      </c>
      <c r="E7">
        <f t="shared" ca="1" si="1"/>
        <v>45725</v>
      </c>
      <c r="F7" s="1">
        <f t="shared" ca="1" si="2"/>
        <v>5.5606310767931322E-2</v>
      </c>
    </row>
    <row r="8" spans="1:6" x14ac:dyDescent="0.35">
      <c r="A8" s="1">
        <f t="shared" ca="1" si="0"/>
        <v>9.889366889960749E-2</v>
      </c>
      <c r="B8" s="1">
        <f t="shared" ca="1" si="0"/>
        <v>0.6612098952787312</v>
      </c>
      <c r="C8" s="1">
        <f t="shared" ca="1" si="0"/>
        <v>0.54960859681543128</v>
      </c>
      <c r="D8">
        <f t="shared" ca="1" si="1"/>
        <v>45382</v>
      </c>
      <c r="E8">
        <f t="shared" ca="1" si="1"/>
        <v>45730</v>
      </c>
      <c r="F8" s="1">
        <f t="shared" ca="1" si="2"/>
        <v>0.16913869361724787</v>
      </c>
    </row>
    <row r="9" spans="1:6" x14ac:dyDescent="0.35">
      <c r="A9" s="1">
        <f t="shared" ca="1" si="0"/>
        <v>0.91201313104696247</v>
      </c>
      <c r="B9" s="1">
        <f t="shared" ca="1" si="0"/>
        <v>0.97286613572149572</v>
      </c>
      <c r="C9" s="1">
        <f t="shared" ca="1" si="0"/>
        <v>0.7768527738738914</v>
      </c>
      <c r="D9">
        <f t="shared" ca="1" si="1"/>
        <v>45564</v>
      </c>
      <c r="E9">
        <f t="shared" ca="1" si="1"/>
        <v>45685</v>
      </c>
      <c r="F9" s="1">
        <f t="shared" ca="1" si="2"/>
        <v>0.96759761515110831</v>
      </c>
    </row>
    <row r="10" spans="1:6" x14ac:dyDescent="0.35">
      <c r="A10" s="1">
        <f t="shared" ca="1" si="0"/>
        <v>0.79084866872185067</v>
      </c>
      <c r="B10" s="1">
        <f t="shared" ca="1" si="0"/>
        <v>1.1499366629278751E-2</v>
      </c>
      <c r="C10" s="1">
        <f t="shared" ca="1" si="0"/>
        <v>0.33500054149504765</v>
      </c>
      <c r="D10">
        <f t="shared" ca="1" si="1"/>
        <v>45834</v>
      </c>
      <c r="E10">
        <f t="shared" ca="1" si="1"/>
        <v>45596</v>
      </c>
      <c r="F10" s="1">
        <f t="shared" ca="1" si="2"/>
        <v>9.0125313074098101E-2</v>
      </c>
    </row>
    <row r="11" spans="1:6" x14ac:dyDescent="0.35">
      <c r="A11" s="1">
        <f t="shared" ca="1" si="0"/>
        <v>0.87927244080439626</v>
      </c>
      <c r="B11" s="1">
        <f t="shared" ca="1" si="0"/>
        <v>0.36668760368799747</v>
      </c>
      <c r="C11" s="1">
        <f t="shared" ca="1" si="0"/>
        <v>0.48789956001053547</v>
      </c>
      <c r="D11">
        <f t="shared" ca="1" si="1"/>
        <v>45622</v>
      </c>
      <c r="E11">
        <f t="shared" ca="1" si="1"/>
        <v>45318</v>
      </c>
      <c r="F11" s="1">
        <f t="shared" ca="1" si="2"/>
        <v>0.584220776075695</v>
      </c>
    </row>
    <row r="12" spans="1:6" x14ac:dyDescent="0.35">
      <c r="A12" s="1">
        <f t="shared" ca="1" si="0"/>
        <v>0.41042491816805227</v>
      </c>
      <c r="B12" s="1">
        <f t="shared" ca="1" si="0"/>
        <v>0.20619468914025019</v>
      </c>
      <c r="C12" s="1">
        <f t="shared" ca="1" si="0"/>
        <v>0.35206027297213882</v>
      </c>
      <c r="D12">
        <f t="shared" ca="1" si="1"/>
        <v>45551</v>
      </c>
      <c r="E12">
        <f t="shared" ca="1" si="1"/>
        <v>45639</v>
      </c>
      <c r="F12" s="1">
        <f t="shared" ca="1" si="2"/>
        <v>0.3646474925030998</v>
      </c>
    </row>
    <row r="13" spans="1:6" x14ac:dyDescent="0.35">
      <c r="A13" s="1">
        <f t="shared" ca="1" si="0"/>
        <v>0.89478861652284092</v>
      </c>
      <c r="B13" s="1">
        <f t="shared" ca="1" si="0"/>
        <v>0.81075207539003014</v>
      </c>
      <c r="C13" s="1">
        <f t="shared" ca="1" si="0"/>
        <v>0.38073136823109965</v>
      </c>
      <c r="D13">
        <f t="shared" ca="1" si="1"/>
        <v>45379</v>
      </c>
      <c r="E13">
        <f t="shared" ca="1" si="1"/>
        <v>45374</v>
      </c>
      <c r="F13" s="1">
        <f t="shared" ca="1" si="2"/>
        <v>0.1036258051390635</v>
      </c>
    </row>
    <row r="14" spans="1:6" x14ac:dyDescent="0.35">
      <c r="A14" s="1">
        <f t="shared" ca="1" si="0"/>
        <v>0.16192156854289064</v>
      </c>
      <c r="B14" s="1">
        <f t="shared" ca="1" si="0"/>
        <v>0.35849308936350466</v>
      </c>
      <c r="C14" s="1">
        <f t="shared" ca="1" si="0"/>
        <v>0.7341629704338225</v>
      </c>
      <c r="D14">
        <f t="shared" ca="1" si="1"/>
        <v>45810</v>
      </c>
      <c r="E14">
        <f t="shared" ca="1" si="1"/>
        <v>45700</v>
      </c>
      <c r="F14" s="1">
        <f t="shared" ca="1" si="2"/>
        <v>0.50944026372876849</v>
      </c>
    </row>
    <row r="15" spans="1:6" x14ac:dyDescent="0.35">
      <c r="A15" s="1">
        <f t="shared" ca="1" si="0"/>
        <v>0.352234877569361</v>
      </c>
      <c r="B15" s="1">
        <f t="shared" ca="1" si="0"/>
        <v>0.17649869683369868</v>
      </c>
      <c r="C15" s="1">
        <f t="shared" ca="1" si="0"/>
        <v>0.46720073830077158</v>
      </c>
      <c r="D15">
        <f t="shared" ca="1" si="1"/>
        <v>45618</v>
      </c>
      <c r="E15">
        <f t="shared" ca="1" si="1"/>
        <v>45706</v>
      </c>
      <c r="F15" s="1">
        <f t="shared" ca="1" si="2"/>
        <v>0.16628524889104646</v>
      </c>
    </row>
    <row r="16" spans="1:6" x14ac:dyDescent="0.35">
      <c r="A16" s="1">
        <f t="shared" ca="1" si="0"/>
        <v>0.43781693660999155</v>
      </c>
      <c r="B16" s="1">
        <f t="shared" ca="1" si="0"/>
        <v>0.68523628345582466</v>
      </c>
      <c r="C16" s="1">
        <f t="shared" ca="1" si="0"/>
        <v>0.95191858013681152</v>
      </c>
      <c r="D16">
        <f t="shared" ca="1" si="1"/>
        <v>45732</v>
      </c>
      <c r="E16">
        <f t="shared" ca="1" si="1"/>
        <v>45784</v>
      </c>
      <c r="F16" s="1">
        <f t="shared" ca="1" si="2"/>
        <v>0.10259970000901586</v>
      </c>
    </row>
    <row r="17" spans="1:6" x14ac:dyDescent="0.35">
      <c r="A17" s="1">
        <f t="shared" ca="1" si="0"/>
        <v>0.86447726195135155</v>
      </c>
      <c r="B17" s="1">
        <f t="shared" ca="1" si="0"/>
        <v>0.19180325913381779</v>
      </c>
      <c r="C17" s="1">
        <f t="shared" ca="1" si="0"/>
        <v>0.96215386506373124</v>
      </c>
      <c r="D17">
        <f t="shared" ca="1" si="1"/>
        <v>45346</v>
      </c>
      <c r="E17">
        <f t="shared" ca="1" si="1"/>
        <v>45765</v>
      </c>
      <c r="F17" s="1">
        <f t="shared" ca="1" si="2"/>
        <v>0.68636963968266917</v>
      </c>
    </row>
    <row r="18" spans="1:6" x14ac:dyDescent="0.35">
      <c r="A18" s="1">
        <f t="shared" ca="1" si="0"/>
        <v>5.6235514401981046E-3</v>
      </c>
      <c r="B18" s="1">
        <f t="shared" ca="1" si="0"/>
        <v>0.13633284949128743</v>
      </c>
      <c r="C18" s="1">
        <f t="shared" ca="1" si="0"/>
        <v>0.94653518758478061</v>
      </c>
      <c r="D18">
        <f t="shared" ca="1" si="1"/>
        <v>45633</v>
      </c>
      <c r="E18">
        <f t="shared" ca="1" si="1"/>
        <v>45492</v>
      </c>
      <c r="F18" s="1">
        <f t="shared" ca="1" si="2"/>
        <v>0.7672175069246493</v>
      </c>
    </row>
    <row r="19" spans="1:6" x14ac:dyDescent="0.35">
      <c r="A19" s="1">
        <f t="shared" ca="1" si="0"/>
        <v>0.5462863083359637</v>
      </c>
      <c r="B19" s="1">
        <f t="shared" ca="1" si="0"/>
        <v>0.76399192521208314</v>
      </c>
      <c r="C19" s="1">
        <f t="shared" ca="1" si="0"/>
        <v>0.86937964779264609</v>
      </c>
      <c r="D19">
        <f t="shared" ca="1" si="1"/>
        <v>45454</v>
      </c>
      <c r="E19">
        <f t="shared" ca="1" si="1"/>
        <v>45590</v>
      </c>
      <c r="F19" s="1">
        <f t="shared" ca="1" si="2"/>
        <v>0.73103350658316701</v>
      </c>
    </row>
    <row r="20" spans="1:6" x14ac:dyDescent="0.35">
      <c r="A20" s="1">
        <f t="shared" ca="1" si="0"/>
        <v>0.97387794052787957</v>
      </c>
      <c r="B20" s="1">
        <f t="shared" ca="1" si="0"/>
        <v>0.78027801722767143</v>
      </c>
      <c r="C20" s="1">
        <f t="shared" ca="1" si="0"/>
        <v>0.63691884116638597</v>
      </c>
      <c r="D20">
        <f t="shared" ca="1" si="1"/>
        <v>45782</v>
      </c>
      <c r="E20">
        <f t="shared" ca="1" si="1"/>
        <v>45811</v>
      </c>
      <c r="F20" s="1">
        <f t="shared" ca="1" si="2"/>
        <v>0.10288710352149988</v>
      </c>
    </row>
    <row r="21" spans="1:6" x14ac:dyDescent="0.35">
      <c r="A21" s="1">
        <f t="shared" ca="1" si="0"/>
        <v>0.45835430009806866</v>
      </c>
      <c r="B21" s="1">
        <f t="shared" ca="1" si="0"/>
        <v>0.59290634273236509</v>
      </c>
      <c r="C21" s="1">
        <f t="shared" ca="1" si="0"/>
        <v>9.5736885003056327E-2</v>
      </c>
      <c r="D21">
        <f t="shared" ca="1" si="1"/>
        <v>45420</v>
      </c>
      <c r="E21">
        <f t="shared" ca="1" si="1"/>
        <v>45705</v>
      </c>
      <c r="F21" s="1">
        <f t="shared" ca="1" si="2"/>
        <v>3.6830445526371602E-2</v>
      </c>
    </row>
    <row r="22" spans="1:6" x14ac:dyDescent="0.35">
      <c r="A22" s="1">
        <f t="shared" ca="1" si="0"/>
        <v>0.27856850097442942</v>
      </c>
      <c r="B22" s="1">
        <f t="shared" ca="1" si="0"/>
        <v>0.64429247524459332</v>
      </c>
      <c r="C22" s="1">
        <f t="shared" ca="1" si="0"/>
        <v>0.90412174057002281</v>
      </c>
      <c r="D22">
        <f t="shared" ca="1" si="1"/>
        <v>45834</v>
      </c>
      <c r="E22">
        <f t="shared" ca="1" si="1"/>
        <v>45593</v>
      </c>
      <c r="F22" s="1">
        <f t="shared" ca="1" si="2"/>
        <v>0.28051289552548864</v>
      </c>
    </row>
    <row r="23" spans="1:6" x14ac:dyDescent="0.35">
      <c r="A23" s="1">
        <f t="shared" ca="1" si="0"/>
        <v>0.16994791722619151</v>
      </c>
      <c r="B23" s="1">
        <f t="shared" ca="1" si="0"/>
        <v>0.13116812377978204</v>
      </c>
      <c r="C23" s="1">
        <f t="shared" ca="1" si="0"/>
        <v>0.13470079042263849</v>
      </c>
      <c r="D23">
        <f t="shared" ca="1" si="1"/>
        <v>45569</v>
      </c>
      <c r="E23">
        <f t="shared" ca="1" si="1"/>
        <v>45652</v>
      </c>
      <c r="F23" s="1">
        <f t="shared" ca="1" si="2"/>
        <v>1.9326985534804164E-2</v>
      </c>
    </row>
    <row r="24" spans="1:6" x14ac:dyDescent="0.35">
      <c r="A24" s="1">
        <f t="shared" ca="1" si="0"/>
        <v>0.34143108711211612</v>
      </c>
      <c r="B24" s="1">
        <f t="shared" ca="1" si="0"/>
        <v>0.13780209533713927</v>
      </c>
      <c r="C24" s="1">
        <f t="shared" ca="1" si="0"/>
        <v>6.6896284430514541E-2</v>
      </c>
      <c r="D24">
        <f t="shared" ca="1" si="1"/>
        <v>45487</v>
      </c>
      <c r="E24">
        <f t="shared" ca="1" si="1"/>
        <v>45774</v>
      </c>
      <c r="F24" s="1">
        <f t="shared" ca="1" si="2"/>
        <v>0.73113535057086132</v>
      </c>
    </row>
    <row r="25" spans="1:6" x14ac:dyDescent="0.35">
      <c r="A25" s="1">
        <f t="shared" ca="1" si="0"/>
        <v>0.86878613908576363</v>
      </c>
      <c r="B25" s="1">
        <f t="shared" ca="1" si="0"/>
        <v>0.18912495528339435</v>
      </c>
      <c r="C25" s="1">
        <f t="shared" ca="1" si="0"/>
        <v>0.76147387627911445</v>
      </c>
      <c r="D25">
        <f t="shared" ca="1" si="1"/>
        <v>45381</v>
      </c>
      <c r="E25">
        <f t="shared" ca="1" si="1"/>
        <v>45622</v>
      </c>
      <c r="F25" s="1">
        <f t="shared" ca="1" si="2"/>
        <v>0.4900134756046467</v>
      </c>
    </row>
    <row r="26" spans="1:6" x14ac:dyDescent="0.35">
      <c r="A26" s="1">
        <f t="shared" ca="1" si="0"/>
        <v>0.74762758463585566</v>
      </c>
      <c r="B26" s="1">
        <f t="shared" ca="1" si="0"/>
        <v>0.98121317285005849</v>
      </c>
      <c r="C26" s="1">
        <f t="shared" ca="1" si="0"/>
        <v>0.90331600896656683</v>
      </c>
      <c r="D26">
        <f t="shared" ca="1" si="1"/>
        <v>45809</v>
      </c>
      <c r="E26">
        <f t="shared" ca="1" si="1"/>
        <v>45507</v>
      </c>
      <c r="F26" s="1">
        <f t="shared" ca="1" si="2"/>
        <v>0.72094834767050664</v>
      </c>
    </row>
    <row r="27" spans="1:6" x14ac:dyDescent="0.35">
      <c r="A27" s="1">
        <f t="shared" ca="1" si="0"/>
        <v>0.80160456096684585</v>
      </c>
      <c r="B27" s="1">
        <f t="shared" ca="1" si="0"/>
        <v>0.11671020632432172</v>
      </c>
      <c r="C27" s="1">
        <f t="shared" ca="1" si="0"/>
        <v>0.34333573769388825</v>
      </c>
      <c r="D27">
        <f t="shared" ca="1" si="1"/>
        <v>45542</v>
      </c>
      <c r="E27">
        <f t="shared" ca="1" si="1"/>
        <v>45787</v>
      </c>
      <c r="F27" s="1">
        <f t="shared" ca="1" si="2"/>
        <v>0.28364517970486836</v>
      </c>
    </row>
    <row r="28" spans="1:6" x14ac:dyDescent="0.35">
      <c r="A28" s="1">
        <f t="shared" ca="1" si="0"/>
        <v>0.29406602682708372</v>
      </c>
      <c r="B28" s="1">
        <f t="shared" ca="1" si="0"/>
        <v>0.94344280308348738</v>
      </c>
      <c r="C28" s="1">
        <f t="shared" ca="1" si="0"/>
        <v>0.21329263112954755</v>
      </c>
      <c r="D28">
        <f t="shared" ca="1" si="1"/>
        <v>45507</v>
      </c>
      <c r="E28">
        <f t="shared" ca="1" si="1"/>
        <v>45570</v>
      </c>
      <c r="F28" s="1">
        <f t="shared" ca="1" si="2"/>
        <v>0.30415473052637498</v>
      </c>
    </row>
    <row r="29" spans="1:6" x14ac:dyDescent="0.35">
      <c r="A29" s="1">
        <f t="shared" ca="1" si="0"/>
        <v>3.740005922716616E-3</v>
      </c>
      <c r="B29" s="1">
        <f t="shared" ca="1" si="0"/>
        <v>0.33747900245117868</v>
      </c>
      <c r="C29" s="1">
        <f t="shared" ca="1" si="0"/>
        <v>0.46182402224350938</v>
      </c>
      <c r="D29">
        <f t="shared" ca="1" si="1"/>
        <v>45589</v>
      </c>
      <c r="E29">
        <f t="shared" ca="1" si="1"/>
        <v>45415</v>
      </c>
      <c r="F29" s="1">
        <f t="shared" ca="1" si="2"/>
        <v>0.48607063504686077</v>
      </c>
    </row>
    <row r="30" spans="1:6" x14ac:dyDescent="0.35">
      <c r="A30" s="1">
        <f t="shared" ca="1" si="0"/>
        <v>0.71423513710451669</v>
      </c>
      <c r="B30" s="1">
        <f t="shared" ca="1" si="0"/>
        <v>0.2763025437603176</v>
      </c>
      <c r="C30" s="1">
        <f t="shared" ca="1" si="0"/>
        <v>0.21704054649767501</v>
      </c>
      <c r="D30">
        <f t="shared" ca="1" si="1"/>
        <v>45489</v>
      </c>
      <c r="E30">
        <f t="shared" ca="1" si="1"/>
        <v>45397</v>
      </c>
      <c r="F30" s="1">
        <f t="shared" ca="1" si="2"/>
        <v>0.93514079699667374</v>
      </c>
    </row>
    <row r="31" spans="1:6" x14ac:dyDescent="0.35">
      <c r="A31" s="1">
        <f t="shared" ca="1" si="0"/>
        <v>0.34035684228383833</v>
      </c>
      <c r="B31" s="1">
        <f t="shared" ca="1" si="0"/>
        <v>0.91878674746737632</v>
      </c>
      <c r="C31" s="1">
        <f t="shared" ca="1" si="0"/>
        <v>0.48851350722826814</v>
      </c>
      <c r="D31">
        <f t="shared" ca="1" si="1"/>
        <v>45372</v>
      </c>
      <c r="E31">
        <f t="shared" ca="1" si="1"/>
        <v>45806</v>
      </c>
      <c r="F31" s="1">
        <f t="shared" ca="1" si="2"/>
        <v>8.1054897730261866E-2</v>
      </c>
    </row>
    <row r="32" spans="1:6" x14ac:dyDescent="0.35">
      <c r="A32" s="1">
        <f t="shared" ca="1" si="0"/>
        <v>0.15716720565606457</v>
      </c>
      <c r="B32" s="1">
        <f t="shared" ca="1" si="0"/>
        <v>0.35289666914357931</v>
      </c>
      <c r="C32" s="1">
        <f t="shared" ca="1" si="0"/>
        <v>0.85827233972228534</v>
      </c>
      <c r="D32">
        <f t="shared" ca="1" si="1"/>
        <v>45440</v>
      </c>
      <c r="E32">
        <f t="shared" ca="1" si="1"/>
        <v>45322</v>
      </c>
      <c r="F32" s="1">
        <f t="shared" ca="1" si="2"/>
        <v>9.984148591198172E-2</v>
      </c>
    </row>
    <row r="33" spans="1:6" x14ac:dyDescent="0.35">
      <c r="A33" s="1">
        <f t="shared" ca="1" si="0"/>
        <v>0.68522495564238239</v>
      </c>
      <c r="B33" s="1">
        <f t="shared" ca="1" si="0"/>
        <v>0.81803290045915489</v>
      </c>
      <c r="C33" s="1">
        <f t="shared" ca="1" si="0"/>
        <v>4.7229217543061752E-2</v>
      </c>
      <c r="D33">
        <f t="shared" ca="1" si="1"/>
        <v>45424</v>
      </c>
      <c r="E33">
        <f t="shared" ca="1" si="1"/>
        <v>45752</v>
      </c>
      <c r="F33" s="1">
        <f t="shared" ca="1" si="2"/>
        <v>0.97419522883545095</v>
      </c>
    </row>
    <row r="34" spans="1:6" x14ac:dyDescent="0.35">
      <c r="A34" s="1">
        <f t="shared" ca="1" si="0"/>
        <v>4.9367524039797273E-2</v>
      </c>
      <c r="B34" s="1">
        <f t="shared" ca="1" si="0"/>
        <v>6.0128966681885609E-2</v>
      </c>
      <c r="C34" s="1">
        <f t="shared" ca="1" si="0"/>
        <v>0.70762071507482383</v>
      </c>
      <c r="D34">
        <f t="shared" ca="1" si="1"/>
        <v>45379</v>
      </c>
      <c r="E34">
        <f t="shared" ca="1" si="1"/>
        <v>45583</v>
      </c>
      <c r="F34" s="1">
        <f t="shared" ca="1" si="2"/>
        <v>0.85446944338799646</v>
      </c>
    </row>
    <row r="35" spans="1:6" x14ac:dyDescent="0.35">
      <c r="A35" s="1">
        <f t="shared" ca="1" si="0"/>
        <v>0.81109143368822745</v>
      </c>
      <c r="B35" s="1">
        <f t="shared" ca="1" si="0"/>
        <v>0.10991443438421955</v>
      </c>
      <c r="C35" s="1">
        <f t="shared" ca="1" si="0"/>
        <v>0.82664641568933206</v>
      </c>
      <c r="D35">
        <f t="shared" ca="1" si="1"/>
        <v>45737</v>
      </c>
      <c r="E35">
        <f t="shared" ca="1" si="1"/>
        <v>45755</v>
      </c>
      <c r="F35" s="1">
        <f t="shared" ca="1" si="2"/>
        <v>0.7294345702100129</v>
      </c>
    </row>
    <row r="36" spans="1:6" x14ac:dyDescent="0.35">
      <c r="A36" s="1">
        <f t="shared" ca="1" si="0"/>
        <v>0.3906418184217928</v>
      </c>
      <c r="B36" s="1">
        <f t="shared" ca="1" si="0"/>
        <v>0.46670790857090161</v>
      </c>
      <c r="C36" s="1">
        <f t="shared" ca="1" si="0"/>
        <v>0.27122684986968404</v>
      </c>
      <c r="D36">
        <f t="shared" ca="1" si="1"/>
        <v>45464</v>
      </c>
      <c r="E36">
        <f t="shared" ca="1" si="1"/>
        <v>45348</v>
      </c>
      <c r="F36" s="1">
        <f t="shared" ca="1" si="2"/>
        <v>0.32975944820810521</v>
      </c>
    </row>
    <row r="37" spans="1:6" x14ac:dyDescent="0.35">
      <c r="A37" s="1">
        <f t="shared" ca="1" si="0"/>
        <v>0.6077451919563831</v>
      </c>
      <c r="B37" s="1">
        <f t="shared" ca="1" si="0"/>
        <v>0.90298449573482376</v>
      </c>
      <c r="C37" s="1">
        <f t="shared" ca="1" si="0"/>
        <v>0.1840333701316077</v>
      </c>
      <c r="D37">
        <f t="shared" ca="1" si="1"/>
        <v>45723</v>
      </c>
      <c r="E37">
        <f t="shared" ca="1" si="1"/>
        <v>45712</v>
      </c>
      <c r="F37" s="1">
        <f t="shared" ca="1" si="2"/>
        <v>0.90466127604509028</v>
      </c>
    </row>
    <row r="38" spans="1:6" x14ac:dyDescent="0.35">
      <c r="A38" s="1">
        <f t="shared" ca="1" si="0"/>
        <v>0.56129805322814352</v>
      </c>
      <c r="B38" s="1">
        <f t="shared" ca="1" si="0"/>
        <v>2.506704412716898E-2</v>
      </c>
      <c r="C38" s="1">
        <f t="shared" ca="1" si="0"/>
        <v>0.71205131000802768</v>
      </c>
      <c r="D38">
        <f t="shared" ca="1" si="1"/>
        <v>45576</v>
      </c>
      <c r="E38">
        <f t="shared" ca="1" si="1"/>
        <v>45611</v>
      </c>
      <c r="F38" s="1">
        <f t="shared" ca="1" si="2"/>
        <v>0.3818943565013081</v>
      </c>
    </row>
    <row r="39" spans="1:6" x14ac:dyDescent="0.35">
      <c r="A39" s="1">
        <f t="shared" ca="1" si="0"/>
        <v>0.93710114687795154</v>
      </c>
      <c r="B39" s="1">
        <f t="shared" ca="1" si="0"/>
        <v>0.20173965078261247</v>
      </c>
      <c r="C39" s="1">
        <f t="shared" ca="1" si="0"/>
        <v>0.36577840416944152</v>
      </c>
      <c r="D39">
        <f t="shared" ca="1" si="1"/>
        <v>45800</v>
      </c>
      <c r="E39">
        <f t="shared" ca="1" si="1"/>
        <v>45370</v>
      </c>
      <c r="F39" s="1">
        <f t="shared" ca="1" si="2"/>
        <v>0.16294885089013667</v>
      </c>
    </row>
    <row r="40" spans="1:6" x14ac:dyDescent="0.35">
      <c r="A40" s="1">
        <f t="shared" ca="1" si="0"/>
        <v>0.11298052875262243</v>
      </c>
      <c r="B40" s="1">
        <f t="shared" ca="1" si="0"/>
        <v>9.8644206234617005E-2</v>
      </c>
      <c r="C40" s="1">
        <f t="shared" ca="1" si="0"/>
        <v>0.28721059190876042</v>
      </c>
      <c r="D40">
        <f t="shared" ca="1" si="1"/>
        <v>45355</v>
      </c>
      <c r="E40">
        <f t="shared" ca="1" si="1"/>
        <v>45770</v>
      </c>
      <c r="F40" s="1">
        <f t="shared" ca="1" si="2"/>
        <v>0.14050932415584261</v>
      </c>
    </row>
    <row r="41" spans="1:6" x14ac:dyDescent="0.35">
      <c r="A41" s="1">
        <f t="shared" ca="1" si="0"/>
        <v>0.81788325486990299</v>
      </c>
      <c r="B41" s="1">
        <f t="shared" ca="1" si="0"/>
        <v>0.20218491960115537</v>
      </c>
      <c r="C41" s="1">
        <f t="shared" ca="1" si="0"/>
        <v>0.68434103125016577</v>
      </c>
      <c r="D41">
        <f t="shared" ca="1" si="1"/>
        <v>45526</v>
      </c>
      <c r="E41">
        <f t="shared" ca="1" si="1"/>
        <v>45311</v>
      </c>
      <c r="F41" s="1">
        <f t="shared" ca="1" si="2"/>
        <v>0.86573343492047483</v>
      </c>
    </row>
    <row r="42" spans="1:6" x14ac:dyDescent="0.35">
      <c r="A42" s="1">
        <f t="shared" ca="1" si="0"/>
        <v>0.57013157320121099</v>
      </c>
      <c r="B42" s="1">
        <f t="shared" ca="1" si="0"/>
        <v>0.30589846871736726</v>
      </c>
      <c r="C42" s="1">
        <f t="shared" ca="1" si="0"/>
        <v>0.95862647415505409</v>
      </c>
      <c r="D42">
        <f t="shared" ca="1" si="1"/>
        <v>45422</v>
      </c>
      <c r="E42">
        <f t="shared" ca="1" si="1"/>
        <v>45625</v>
      </c>
      <c r="F42" s="1">
        <f t="shared" ca="1" si="2"/>
        <v>0.26057447432219016</v>
      </c>
    </row>
    <row r="43" spans="1:6" x14ac:dyDescent="0.35">
      <c r="A43" s="1">
        <f t="shared" ca="1" si="0"/>
        <v>0.55440525484826841</v>
      </c>
      <c r="B43" s="1">
        <f t="shared" ca="1" si="0"/>
        <v>0.79485309823981609</v>
      </c>
      <c r="C43" s="1">
        <f t="shared" ca="1" si="0"/>
        <v>0.76646977982937758</v>
      </c>
      <c r="D43">
        <f t="shared" ca="1" si="1"/>
        <v>45367</v>
      </c>
      <c r="E43">
        <f t="shared" ca="1" si="1"/>
        <v>45783</v>
      </c>
      <c r="F43" s="1">
        <f t="shared" ca="1" si="2"/>
        <v>0.22715605940530903</v>
      </c>
    </row>
    <row r="44" spans="1:6" x14ac:dyDescent="0.35">
      <c r="A44" s="1">
        <f t="shared" ca="1" si="0"/>
        <v>0.79513939614230944</v>
      </c>
      <c r="B44" s="1">
        <f t="shared" ca="1" si="0"/>
        <v>0.66144666697390453</v>
      </c>
      <c r="C44" s="1">
        <f t="shared" ca="1" si="0"/>
        <v>0.50198134836311914</v>
      </c>
      <c r="D44">
        <f t="shared" ca="1" si="1"/>
        <v>45751</v>
      </c>
      <c r="E44">
        <f t="shared" ca="1" si="1"/>
        <v>45715</v>
      </c>
      <c r="F44" s="1">
        <f t="shared" ca="1" si="2"/>
        <v>0.93307696861245293</v>
      </c>
    </row>
    <row r="45" spans="1:6" x14ac:dyDescent="0.35">
      <c r="A45" s="1">
        <f t="shared" ca="1" si="0"/>
        <v>0.21690124342636063</v>
      </c>
      <c r="B45" s="1">
        <f t="shared" ca="1" si="0"/>
        <v>0.80161972118011604</v>
      </c>
      <c r="C45" s="1">
        <f t="shared" ca="1" si="0"/>
        <v>0.13584012931684331</v>
      </c>
      <c r="D45">
        <f t="shared" ca="1" si="1"/>
        <v>45315</v>
      </c>
      <c r="E45">
        <f t="shared" ca="1" si="1"/>
        <v>45821</v>
      </c>
      <c r="F45" s="1">
        <f t="shared" ca="1" si="2"/>
        <v>0.72413265504021584</v>
      </c>
    </row>
    <row r="46" spans="1:6" x14ac:dyDescent="0.35">
      <c r="A46" s="1">
        <f t="shared" ca="1" si="0"/>
        <v>0.34379551766615124</v>
      </c>
      <c r="B46" s="1">
        <f t="shared" ca="1" si="0"/>
        <v>0.25952069016122448</v>
      </c>
      <c r="C46" s="1">
        <f t="shared" ca="1" si="0"/>
        <v>0.82313473360805001</v>
      </c>
      <c r="D46">
        <f t="shared" ca="1" si="1"/>
        <v>45426</v>
      </c>
      <c r="E46">
        <f t="shared" ca="1" si="1"/>
        <v>45788</v>
      </c>
      <c r="F46" s="1">
        <f t="shared" ca="1" si="2"/>
        <v>6.1033235786090656E-2</v>
      </c>
    </row>
    <row r="47" spans="1:6" x14ac:dyDescent="0.35">
      <c r="A47" s="1">
        <f t="shared" ca="1" si="0"/>
        <v>0.27925197860793372</v>
      </c>
      <c r="B47" s="1">
        <f t="shared" ca="1" si="0"/>
        <v>0.68165510097223891</v>
      </c>
      <c r="C47" s="1">
        <f t="shared" ca="1" si="0"/>
        <v>0.43197519246358229</v>
      </c>
      <c r="D47">
        <f t="shared" ca="1" si="1"/>
        <v>45533</v>
      </c>
      <c r="E47">
        <f t="shared" ca="1" si="1"/>
        <v>45762</v>
      </c>
      <c r="F47" s="1">
        <f t="shared" ca="1" si="2"/>
        <v>0.33316313500204653</v>
      </c>
    </row>
    <row r="48" spans="1:6" x14ac:dyDescent="0.35">
      <c r="A48" s="1">
        <f t="shared" ca="1" si="0"/>
        <v>0.17625406875947203</v>
      </c>
      <c r="B48" s="1">
        <f t="shared" ca="1" si="0"/>
        <v>0.51664371816247479</v>
      </c>
      <c r="C48" s="1">
        <f t="shared" ca="1" si="0"/>
        <v>0.68449221705906549</v>
      </c>
      <c r="D48">
        <f t="shared" ca="1" si="1"/>
        <v>45451</v>
      </c>
      <c r="E48">
        <f t="shared" ca="1" si="1"/>
        <v>45416</v>
      </c>
      <c r="F48" s="1">
        <f t="shared" ca="1" si="2"/>
        <v>0.69328118270789296</v>
      </c>
    </row>
    <row r="49" spans="1:6" x14ac:dyDescent="0.35">
      <c r="A49" s="1">
        <f t="shared" ca="1" si="0"/>
        <v>0.72977840994394383</v>
      </c>
      <c r="B49" s="1">
        <f t="shared" ca="1" si="0"/>
        <v>0.96507260349725354</v>
      </c>
      <c r="C49" s="1">
        <f t="shared" ca="1" si="0"/>
        <v>0.56852587323966375</v>
      </c>
      <c r="D49">
        <f t="shared" ca="1" si="1"/>
        <v>45361</v>
      </c>
      <c r="E49">
        <f t="shared" ca="1" si="1"/>
        <v>45465</v>
      </c>
      <c r="F49" s="1">
        <f t="shared" ca="1" si="2"/>
        <v>0.3790228353337366</v>
      </c>
    </row>
    <row r="50" spans="1:6" x14ac:dyDescent="0.35">
      <c r="A50" s="1">
        <f t="shared" ca="1" si="0"/>
        <v>8.1717747207038172E-2</v>
      </c>
      <c r="B50" s="1">
        <f t="shared" ca="1" si="0"/>
        <v>0.36604175575552933</v>
      </c>
      <c r="C50" s="1">
        <f t="shared" ca="1" si="0"/>
        <v>0.37481724211611123</v>
      </c>
      <c r="D50">
        <f t="shared" ca="1" si="1"/>
        <v>45548</v>
      </c>
      <c r="E50">
        <f t="shared" ca="1" si="1"/>
        <v>45809</v>
      </c>
      <c r="F50" s="1">
        <f t="shared" ca="1" si="2"/>
        <v>0.85373579406612576</v>
      </c>
    </row>
    <row r="51" spans="1:6" x14ac:dyDescent="0.35">
      <c r="A51" s="1">
        <f t="shared" ca="1" si="0"/>
        <v>0.21100392993545802</v>
      </c>
      <c r="B51" s="1">
        <f t="shared" ca="1" si="0"/>
        <v>0.78905327159612804</v>
      </c>
      <c r="C51" s="1">
        <f t="shared" ca="1" si="0"/>
        <v>0.60758391710753679</v>
      </c>
      <c r="D51">
        <f t="shared" ca="1" si="1"/>
        <v>45838</v>
      </c>
      <c r="E51">
        <f t="shared" ca="1" si="1"/>
        <v>45555</v>
      </c>
      <c r="F51" s="1">
        <f t="shared" ca="1" si="2"/>
        <v>7.9231258134134674E-2</v>
      </c>
    </row>
    <row r="52" spans="1:6" x14ac:dyDescent="0.35">
      <c r="A52" s="1">
        <f t="shared" ca="1" si="0"/>
        <v>0.37418099406369087</v>
      </c>
      <c r="B52" s="1">
        <f t="shared" ca="1" si="0"/>
        <v>0.36593201950819276</v>
      </c>
      <c r="C52" s="1">
        <f t="shared" ca="1" si="0"/>
        <v>0.20265581380610842</v>
      </c>
      <c r="D52">
        <f t="shared" ca="1" si="1"/>
        <v>45808</v>
      </c>
      <c r="E52">
        <f t="shared" ca="1" si="1"/>
        <v>45669</v>
      </c>
      <c r="F52" s="1">
        <f t="shared" ca="1" si="2"/>
        <v>0.4436315765319917</v>
      </c>
    </row>
    <row r="53" spans="1:6" x14ac:dyDescent="0.35">
      <c r="A53" s="1">
        <f t="shared" ca="1" si="0"/>
        <v>0.62677602801064847</v>
      </c>
      <c r="B53" s="1">
        <f t="shared" ca="1" si="0"/>
        <v>0.47505982831788551</v>
      </c>
      <c r="C53" s="1">
        <f t="shared" ca="1" si="0"/>
        <v>0.7800742215076627</v>
      </c>
      <c r="D53">
        <f t="shared" ca="1" si="1"/>
        <v>45807</v>
      </c>
      <c r="E53">
        <f t="shared" ca="1" si="1"/>
        <v>45443</v>
      </c>
      <c r="F53" s="1">
        <f t="shared" ca="1" si="2"/>
        <v>0.75882667611493737</v>
      </c>
    </row>
    <row r="54" spans="1:6" x14ac:dyDescent="0.35">
      <c r="A54" s="1">
        <f t="shared" ca="1" si="0"/>
        <v>0.74325626340588458</v>
      </c>
      <c r="B54" s="1">
        <f t="shared" ca="1" si="0"/>
        <v>5.0020446087877701E-2</v>
      </c>
      <c r="C54" s="1">
        <f t="shared" ca="1" si="0"/>
        <v>0.58902142861048179</v>
      </c>
      <c r="D54">
        <f t="shared" ca="1" si="1"/>
        <v>45609</v>
      </c>
      <c r="E54">
        <f t="shared" ca="1" si="1"/>
        <v>45572</v>
      </c>
      <c r="F54" s="1">
        <f t="shared" ca="1" si="2"/>
        <v>0.2953350317456841</v>
      </c>
    </row>
    <row r="55" spans="1:6" x14ac:dyDescent="0.35">
      <c r="A55" s="1">
        <f t="shared" ca="1" si="0"/>
        <v>0.62127337305384156</v>
      </c>
      <c r="B55" s="1">
        <f t="shared" ca="1" si="0"/>
        <v>0.32584666311761568</v>
      </c>
      <c r="C55" s="1">
        <f t="shared" ca="1" si="0"/>
        <v>0.37887884043495645</v>
      </c>
      <c r="D55">
        <f t="shared" ca="1" si="1"/>
        <v>45320</v>
      </c>
      <c r="E55">
        <f t="shared" ca="1" si="1"/>
        <v>45310</v>
      </c>
      <c r="F55" s="1">
        <f t="shared" ca="1" si="2"/>
        <v>0.98033422695721062</v>
      </c>
    </row>
    <row r="56" spans="1:6" x14ac:dyDescent="0.35">
      <c r="A56" s="1">
        <f t="shared" ca="1" si="0"/>
        <v>8.1777750573577501E-2</v>
      </c>
      <c r="B56" s="1">
        <f t="shared" ca="1" si="0"/>
        <v>0.27590880510823612</v>
      </c>
      <c r="C56" s="1">
        <f t="shared" ca="1" si="0"/>
        <v>0.53356124901674828</v>
      </c>
      <c r="D56">
        <f t="shared" ca="1" si="1"/>
        <v>45523</v>
      </c>
      <c r="E56">
        <f t="shared" ca="1" si="1"/>
        <v>45614</v>
      </c>
      <c r="F56" s="1">
        <f t="shared" ca="1" si="2"/>
        <v>0.29485663671403339</v>
      </c>
    </row>
    <row r="57" spans="1:6" x14ac:dyDescent="0.35">
      <c r="A57" s="1">
        <f t="shared" ca="1" si="0"/>
        <v>0.30452286921818661</v>
      </c>
      <c r="B57" s="1">
        <f t="shared" ca="1" si="0"/>
        <v>0.42143118389030443</v>
      </c>
      <c r="C57" s="1">
        <f t="shared" ca="1" si="0"/>
        <v>0.27215986614187426</v>
      </c>
      <c r="D57">
        <f t="shared" ca="1" si="1"/>
        <v>45758</v>
      </c>
      <c r="E57">
        <f t="shared" ca="1" si="1"/>
        <v>45488</v>
      </c>
      <c r="F57" s="1">
        <f t="shared" ca="1" si="2"/>
        <v>0.14648616551506966</v>
      </c>
    </row>
    <row r="58" spans="1:6" x14ac:dyDescent="0.35">
      <c r="A58" s="1">
        <f t="shared" ca="1" si="0"/>
        <v>0.27293568912167865</v>
      </c>
      <c r="B58" s="1">
        <f t="shared" ca="1" si="0"/>
        <v>0.22537591806547896</v>
      </c>
      <c r="C58" s="1">
        <f t="shared" ca="1" si="0"/>
        <v>0.27521568910118532</v>
      </c>
      <c r="D58">
        <f t="shared" ca="1" si="1"/>
        <v>45796</v>
      </c>
      <c r="E58">
        <f t="shared" ca="1" si="1"/>
        <v>45293</v>
      </c>
      <c r="F58" s="1">
        <f t="shared" ca="1" si="2"/>
        <v>5.4662897431538404E-2</v>
      </c>
    </row>
    <row r="59" spans="1:6" x14ac:dyDescent="0.35">
      <c r="A59" s="1">
        <f t="shared" ca="1" si="0"/>
        <v>0.16578560539713405</v>
      </c>
      <c r="B59" s="1">
        <f t="shared" ca="1" si="0"/>
        <v>0.38943663233312886</v>
      </c>
      <c r="C59" s="1">
        <f t="shared" ca="1" si="0"/>
        <v>0.12575448288000102</v>
      </c>
      <c r="D59">
        <f t="shared" ca="1" si="1"/>
        <v>45610</v>
      </c>
      <c r="E59">
        <f t="shared" ca="1" si="1"/>
        <v>45836</v>
      </c>
      <c r="F59" s="1">
        <f t="shared" ca="1" si="2"/>
        <v>0.66574839211991121</v>
      </c>
    </row>
    <row r="60" spans="1:6" x14ac:dyDescent="0.35">
      <c r="A60" s="1">
        <f t="shared" ca="1" si="0"/>
        <v>0.18107969859704265</v>
      </c>
      <c r="B60" s="1">
        <f t="shared" ca="1" si="0"/>
        <v>2.7476597407921965E-2</v>
      </c>
      <c r="C60" s="1">
        <f t="shared" ca="1" si="0"/>
        <v>0.12445026950613536</v>
      </c>
      <c r="D60">
        <f t="shared" ca="1" si="1"/>
        <v>45746</v>
      </c>
      <c r="E60">
        <f t="shared" ca="1" si="1"/>
        <v>45350</v>
      </c>
      <c r="F60" s="1">
        <f t="shared" ca="1" si="2"/>
        <v>0.40303506525793509</v>
      </c>
    </row>
    <row r="61" spans="1:6" x14ac:dyDescent="0.35">
      <c r="A61" s="1">
        <f t="shared" ca="1" si="0"/>
        <v>0.54074851614677355</v>
      </c>
      <c r="B61" s="1">
        <f t="shared" ca="1" si="0"/>
        <v>0.18120080333951272</v>
      </c>
      <c r="C61" s="1">
        <f t="shared" ca="1" si="0"/>
        <v>0.18975530866797952</v>
      </c>
      <c r="D61">
        <f t="shared" ca="1" si="1"/>
        <v>45609</v>
      </c>
      <c r="E61">
        <f t="shared" ca="1" si="1"/>
        <v>45648</v>
      </c>
      <c r="F61" s="1">
        <f t="shared" ca="1" si="2"/>
        <v>0.34871178050108709</v>
      </c>
    </row>
    <row r="62" spans="1:6" x14ac:dyDescent="0.35">
      <c r="A62" s="1">
        <f t="shared" ca="1" si="0"/>
        <v>0.5398021159655596</v>
      </c>
      <c r="B62" s="1">
        <f t="shared" ca="1" si="0"/>
        <v>0.5581239668808855</v>
      </c>
      <c r="C62" s="1">
        <f t="shared" ca="1" si="0"/>
        <v>0.46201942010117092</v>
      </c>
      <c r="D62">
        <f t="shared" ca="1" si="1"/>
        <v>45332</v>
      </c>
      <c r="E62">
        <f t="shared" ca="1" si="1"/>
        <v>45398</v>
      </c>
      <c r="F62" s="1">
        <f t="shared" ca="1" si="2"/>
        <v>0.84498262681014558</v>
      </c>
    </row>
    <row r="63" spans="1:6" x14ac:dyDescent="0.35">
      <c r="A63" s="1">
        <f t="shared" ca="1" si="0"/>
        <v>0.63373906296366533</v>
      </c>
      <c r="B63" s="1">
        <f t="shared" ca="1" si="0"/>
        <v>0.51648125165980241</v>
      </c>
      <c r="C63" s="1">
        <f t="shared" ca="1" si="0"/>
        <v>0.52612046432447501</v>
      </c>
      <c r="D63">
        <f t="shared" ca="1" si="1"/>
        <v>45352</v>
      </c>
      <c r="E63">
        <f t="shared" ca="1" si="1"/>
        <v>45441</v>
      </c>
      <c r="F63" s="1">
        <f t="shared" ca="1" si="2"/>
        <v>0.93550647051020541</v>
      </c>
    </row>
    <row r="64" spans="1:6" x14ac:dyDescent="0.35">
      <c r="A64" s="1">
        <f t="shared" ca="1" si="0"/>
        <v>1.4578268544232609E-2</v>
      </c>
      <c r="B64" s="1">
        <f t="shared" ca="1" si="0"/>
        <v>0.40626137476011237</v>
      </c>
      <c r="C64" s="1">
        <f t="shared" ca="1" si="0"/>
        <v>0.99975556279309119</v>
      </c>
      <c r="D64">
        <f t="shared" ca="1" si="1"/>
        <v>45341</v>
      </c>
      <c r="E64">
        <f t="shared" ca="1" si="1"/>
        <v>45829</v>
      </c>
      <c r="F64" s="1">
        <f t="shared" ca="1" si="2"/>
        <v>7.4505695083020962E-2</v>
      </c>
    </row>
    <row r="65" spans="1:6" x14ac:dyDescent="0.35">
      <c r="A65" s="1">
        <f t="shared" ca="1" si="0"/>
        <v>0.17137198499455553</v>
      </c>
      <c r="B65" s="1">
        <f t="shared" ca="1" si="0"/>
        <v>0.52804632745920288</v>
      </c>
      <c r="C65" s="1">
        <f t="shared" ca="1" si="0"/>
        <v>0.51879370493103372</v>
      </c>
      <c r="D65">
        <f t="shared" ca="1" si="1"/>
        <v>45335</v>
      </c>
      <c r="E65">
        <f t="shared" ca="1" si="1"/>
        <v>45748</v>
      </c>
      <c r="F65" s="1">
        <f t="shared" ca="1" si="2"/>
        <v>0.65745235160381077</v>
      </c>
    </row>
    <row r="66" spans="1:6" x14ac:dyDescent="0.35">
      <c r="A66" s="1">
        <f t="shared" ca="1" si="0"/>
        <v>0.98231603978357318</v>
      </c>
      <c r="B66" s="1">
        <f t="shared" ca="1" si="0"/>
        <v>0.33463375082995728</v>
      </c>
      <c r="C66" s="1">
        <f t="shared" ca="1" si="0"/>
        <v>0.34341528683752376</v>
      </c>
      <c r="D66">
        <f t="shared" ca="1" si="1"/>
        <v>45515</v>
      </c>
      <c r="E66">
        <f t="shared" ca="1" si="1"/>
        <v>45678</v>
      </c>
      <c r="F66" s="1">
        <f t="shared" ca="1" si="2"/>
        <v>0.67177713079459733</v>
      </c>
    </row>
    <row r="67" spans="1:6" x14ac:dyDescent="0.35">
      <c r="A67" s="1">
        <f t="shared" ref="A67:C130" ca="1" si="3">RAND()</f>
        <v>0.51955006039939922</v>
      </c>
      <c r="B67" s="1">
        <f t="shared" ca="1" si="3"/>
        <v>0.97003076474069494</v>
      </c>
      <c r="C67" s="1">
        <f t="shared" ca="1" si="3"/>
        <v>0.86024451726122309</v>
      </c>
      <c r="D67">
        <f t="shared" ref="D67:E130" ca="1" si="4">RANDBETWEEN(45292,45838)</f>
        <v>45595</v>
      </c>
      <c r="E67">
        <f t="shared" ca="1" si="4"/>
        <v>45572</v>
      </c>
      <c r="F67" s="1">
        <f t="shared" ref="F67:F130" ca="1" si="5">RAND()</f>
        <v>0.97769779216457608</v>
      </c>
    </row>
    <row r="68" spans="1:6" x14ac:dyDescent="0.35">
      <c r="A68" s="1">
        <f t="shared" ca="1" si="3"/>
        <v>0.21059988094756854</v>
      </c>
      <c r="B68" s="1">
        <f t="shared" ca="1" si="3"/>
        <v>0.14968344337764261</v>
      </c>
      <c r="C68" s="1">
        <f t="shared" ca="1" si="3"/>
        <v>0.34975960606311352</v>
      </c>
      <c r="D68">
        <f t="shared" ca="1" si="4"/>
        <v>45801</v>
      </c>
      <c r="E68">
        <f t="shared" ca="1" si="4"/>
        <v>45837</v>
      </c>
      <c r="F68" s="1">
        <f t="shared" ca="1" si="5"/>
        <v>0.71090993440790595</v>
      </c>
    </row>
    <row r="69" spans="1:6" x14ac:dyDescent="0.35">
      <c r="A69" s="1">
        <f t="shared" ca="1" si="3"/>
        <v>6.3719552598614393E-2</v>
      </c>
      <c r="B69" s="1">
        <f t="shared" ca="1" si="3"/>
        <v>0.82789688090388314</v>
      </c>
      <c r="C69" s="1">
        <f t="shared" ca="1" si="3"/>
        <v>0.88026690071214397</v>
      </c>
      <c r="D69">
        <f t="shared" ca="1" si="4"/>
        <v>45362</v>
      </c>
      <c r="E69">
        <f t="shared" ca="1" si="4"/>
        <v>45565</v>
      </c>
      <c r="F69" s="1">
        <f t="shared" ca="1" si="5"/>
        <v>5.093899470933283E-2</v>
      </c>
    </row>
    <row r="70" spans="1:6" x14ac:dyDescent="0.35">
      <c r="A70" s="1">
        <f t="shared" ca="1" si="3"/>
        <v>0.11086433817281682</v>
      </c>
      <c r="B70" s="1">
        <f t="shared" ca="1" si="3"/>
        <v>5.8142346605714934E-2</v>
      </c>
      <c r="C70" s="1">
        <f t="shared" ca="1" si="3"/>
        <v>0.96781215140579147</v>
      </c>
      <c r="D70">
        <f t="shared" ca="1" si="4"/>
        <v>45741</v>
      </c>
      <c r="E70">
        <f t="shared" ca="1" si="4"/>
        <v>45568</v>
      </c>
      <c r="F70" s="1">
        <f t="shared" ca="1" si="5"/>
        <v>0.16197757707293947</v>
      </c>
    </row>
    <row r="71" spans="1:6" x14ac:dyDescent="0.35">
      <c r="A71" s="1">
        <f t="shared" ca="1" si="3"/>
        <v>9.8796970312315158E-2</v>
      </c>
      <c r="B71" s="1">
        <f t="shared" ca="1" si="3"/>
        <v>0.23788601354984362</v>
      </c>
      <c r="C71" s="1">
        <f t="shared" ca="1" si="3"/>
        <v>0.13980074399955422</v>
      </c>
      <c r="D71">
        <f t="shared" ca="1" si="4"/>
        <v>45483</v>
      </c>
      <c r="E71">
        <f t="shared" ca="1" si="4"/>
        <v>45400</v>
      </c>
      <c r="F71" s="1">
        <f t="shared" ca="1" si="5"/>
        <v>3.1127406733802765E-2</v>
      </c>
    </row>
    <row r="72" spans="1:6" x14ac:dyDescent="0.35">
      <c r="A72" s="1">
        <f t="shared" ca="1" si="3"/>
        <v>0.38661319920883519</v>
      </c>
      <c r="B72" s="1">
        <f t="shared" ca="1" si="3"/>
        <v>0.54256990403999106</v>
      </c>
      <c r="C72" s="1">
        <f t="shared" ca="1" si="3"/>
        <v>0.44505447073531068</v>
      </c>
      <c r="D72">
        <f t="shared" ca="1" si="4"/>
        <v>45666</v>
      </c>
      <c r="E72">
        <f t="shared" ca="1" si="4"/>
        <v>45393</v>
      </c>
      <c r="F72" s="1">
        <f t="shared" ca="1" si="5"/>
        <v>0.47596118556860334</v>
      </c>
    </row>
    <row r="73" spans="1:6" x14ac:dyDescent="0.35">
      <c r="A73" s="1">
        <f t="shared" ca="1" si="3"/>
        <v>0.29137909107176485</v>
      </c>
      <c r="B73" s="1">
        <f t="shared" ca="1" si="3"/>
        <v>0.9900956279301566</v>
      </c>
      <c r="C73" s="1">
        <f t="shared" ca="1" si="3"/>
        <v>0.13423939317739542</v>
      </c>
      <c r="D73">
        <f t="shared" ca="1" si="4"/>
        <v>45505</v>
      </c>
      <c r="E73">
        <f t="shared" ca="1" si="4"/>
        <v>45569</v>
      </c>
      <c r="F73" s="1">
        <f t="shared" ca="1" si="5"/>
        <v>0.52120826676685372</v>
      </c>
    </row>
    <row r="74" spans="1:6" x14ac:dyDescent="0.35">
      <c r="A74" s="1">
        <f t="shared" ca="1" si="3"/>
        <v>0.15267438294074065</v>
      </c>
      <c r="B74" s="1">
        <f t="shared" ca="1" si="3"/>
        <v>7.2442470828658512E-2</v>
      </c>
      <c r="C74" s="1">
        <f t="shared" ca="1" si="3"/>
        <v>0.49705472329777578</v>
      </c>
      <c r="D74">
        <f t="shared" ca="1" si="4"/>
        <v>45770</v>
      </c>
      <c r="E74">
        <f t="shared" ca="1" si="4"/>
        <v>45531</v>
      </c>
      <c r="F74" s="1">
        <f t="shared" ca="1" si="5"/>
        <v>0.95328789378241796</v>
      </c>
    </row>
    <row r="75" spans="1:6" x14ac:dyDescent="0.35">
      <c r="A75" s="1">
        <f t="shared" ca="1" si="3"/>
        <v>0.80255035112973772</v>
      </c>
      <c r="B75" s="1">
        <f t="shared" ca="1" si="3"/>
        <v>0.6824541626422358</v>
      </c>
      <c r="C75" s="1">
        <f t="shared" ca="1" si="3"/>
        <v>0.94676925117443111</v>
      </c>
      <c r="D75">
        <f t="shared" ca="1" si="4"/>
        <v>45294</v>
      </c>
      <c r="E75">
        <f t="shared" ca="1" si="4"/>
        <v>45615</v>
      </c>
      <c r="F75" s="1">
        <f t="shared" ca="1" si="5"/>
        <v>2.3284370531565179E-2</v>
      </c>
    </row>
    <row r="76" spans="1:6" x14ac:dyDescent="0.35">
      <c r="A76" s="1">
        <f t="shared" ca="1" si="3"/>
        <v>0.64042555144859525</v>
      </c>
      <c r="B76" s="1">
        <f t="shared" ca="1" si="3"/>
        <v>0.98872564072359725</v>
      </c>
      <c r="C76" s="1">
        <f t="shared" ca="1" si="3"/>
        <v>0.45176578831072434</v>
      </c>
      <c r="D76">
        <f t="shared" ca="1" si="4"/>
        <v>45445</v>
      </c>
      <c r="E76">
        <f t="shared" ca="1" si="4"/>
        <v>45581</v>
      </c>
      <c r="F76" s="1">
        <f t="shared" ca="1" si="5"/>
        <v>0.11678688870925669</v>
      </c>
    </row>
    <row r="77" spans="1:6" x14ac:dyDescent="0.35">
      <c r="A77" s="1">
        <f t="shared" ca="1" si="3"/>
        <v>0.88291501173011733</v>
      </c>
      <c r="B77" s="1">
        <f t="shared" ca="1" si="3"/>
        <v>0.84279779061542193</v>
      </c>
      <c r="C77" s="1">
        <f t="shared" ca="1" si="3"/>
        <v>0.85461022350796356</v>
      </c>
      <c r="D77">
        <f t="shared" ca="1" si="4"/>
        <v>45492</v>
      </c>
      <c r="E77">
        <f t="shared" ca="1" si="4"/>
        <v>45675</v>
      </c>
      <c r="F77" s="1">
        <f t="shared" ca="1" si="5"/>
        <v>0.52021892056299157</v>
      </c>
    </row>
    <row r="78" spans="1:6" x14ac:dyDescent="0.35">
      <c r="A78" s="1">
        <f t="shared" ca="1" si="3"/>
        <v>0.95579763900942416</v>
      </c>
      <c r="B78" s="1">
        <f t="shared" ca="1" si="3"/>
        <v>0.73961258347883818</v>
      </c>
      <c r="C78" s="1">
        <f t="shared" ca="1" si="3"/>
        <v>0.11377301536750295</v>
      </c>
      <c r="D78">
        <f t="shared" ca="1" si="4"/>
        <v>45389</v>
      </c>
      <c r="E78">
        <f t="shared" ca="1" si="4"/>
        <v>45397</v>
      </c>
      <c r="F78" s="1">
        <f t="shared" ca="1" si="5"/>
        <v>0.44717803544569878</v>
      </c>
    </row>
    <row r="79" spans="1:6" x14ac:dyDescent="0.35">
      <c r="A79" s="1">
        <f t="shared" ca="1" si="3"/>
        <v>0.96270245027220003</v>
      </c>
      <c r="B79" s="1">
        <f t="shared" ca="1" si="3"/>
        <v>0.87633677888542438</v>
      </c>
      <c r="C79" s="1">
        <f t="shared" ca="1" si="3"/>
        <v>0.62971125832772246</v>
      </c>
      <c r="D79">
        <f t="shared" ca="1" si="4"/>
        <v>45670</v>
      </c>
      <c r="E79">
        <f t="shared" ca="1" si="4"/>
        <v>45655</v>
      </c>
      <c r="F79" s="1">
        <f t="shared" ca="1" si="5"/>
        <v>6.0303956977171169E-2</v>
      </c>
    </row>
    <row r="80" spans="1:6" x14ac:dyDescent="0.35">
      <c r="A80" s="1">
        <f t="shared" ca="1" si="3"/>
        <v>0.20405238313100416</v>
      </c>
      <c r="B80" s="1">
        <f t="shared" ca="1" si="3"/>
        <v>0.72721479090541552</v>
      </c>
      <c r="C80" s="1">
        <f t="shared" ca="1" si="3"/>
        <v>0.5072253015286009</v>
      </c>
      <c r="D80">
        <f t="shared" ca="1" si="4"/>
        <v>45834</v>
      </c>
      <c r="E80">
        <f t="shared" ca="1" si="4"/>
        <v>45294</v>
      </c>
      <c r="F80" s="1">
        <f t="shared" ca="1" si="5"/>
        <v>0.62694042466666766</v>
      </c>
    </row>
    <row r="81" spans="1:6" x14ac:dyDescent="0.35">
      <c r="A81" s="1">
        <f t="shared" ca="1" si="3"/>
        <v>0.45742941878520116</v>
      </c>
      <c r="B81" s="1">
        <f t="shared" ca="1" si="3"/>
        <v>0.44810362407772764</v>
      </c>
      <c r="C81" s="1">
        <f t="shared" ca="1" si="3"/>
        <v>0.6122889587837228</v>
      </c>
      <c r="D81">
        <f t="shared" ca="1" si="4"/>
        <v>45667</v>
      </c>
      <c r="E81">
        <f t="shared" ca="1" si="4"/>
        <v>45685</v>
      </c>
      <c r="F81" s="1">
        <f t="shared" ca="1" si="5"/>
        <v>0.77537184950603477</v>
      </c>
    </row>
    <row r="82" spans="1:6" x14ac:dyDescent="0.35">
      <c r="A82" s="1">
        <f t="shared" ca="1" si="3"/>
        <v>0.73295162517147949</v>
      </c>
      <c r="B82" s="1">
        <f t="shared" ca="1" si="3"/>
        <v>2.6613292462071891E-2</v>
      </c>
      <c r="C82" s="1">
        <f t="shared" ca="1" si="3"/>
        <v>0.40881454262513761</v>
      </c>
      <c r="D82">
        <f t="shared" ca="1" si="4"/>
        <v>45501</v>
      </c>
      <c r="E82">
        <f t="shared" ca="1" si="4"/>
        <v>45700</v>
      </c>
      <c r="F82" s="1">
        <f t="shared" ca="1" si="5"/>
        <v>1.3727105096303482E-2</v>
      </c>
    </row>
    <row r="83" spans="1:6" x14ac:dyDescent="0.35">
      <c r="A83" s="1">
        <f t="shared" ca="1" si="3"/>
        <v>0.54357926647137866</v>
      </c>
      <c r="B83" s="1">
        <f t="shared" ca="1" si="3"/>
        <v>0.86692873792431768</v>
      </c>
      <c r="C83" s="1">
        <f t="shared" ca="1" si="3"/>
        <v>0.32206114706670053</v>
      </c>
      <c r="D83">
        <f t="shared" ca="1" si="4"/>
        <v>45758</v>
      </c>
      <c r="E83">
        <f t="shared" ca="1" si="4"/>
        <v>45431</v>
      </c>
      <c r="F83" s="1">
        <f t="shared" ca="1" si="5"/>
        <v>0.9616857609436944</v>
      </c>
    </row>
    <row r="84" spans="1:6" x14ac:dyDescent="0.35">
      <c r="A84" s="1">
        <f t="shared" ca="1" si="3"/>
        <v>0.94848876154767259</v>
      </c>
      <c r="B84" s="1">
        <f t="shared" ca="1" si="3"/>
        <v>0.97295886442522206</v>
      </c>
      <c r="C84" s="1">
        <f t="shared" ca="1" si="3"/>
        <v>0.95564416825853793</v>
      </c>
      <c r="D84">
        <f t="shared" ca="1" si="4"/>
        <v>45801</v>
      </c>
      <c r="E84">
        <f t="shared" ca="1" si="4"/>
        <v>45484</v>
      </c>
      <c r="F84" s="1">
        <f t="shared" ca="1" si="5"/>
        <v>0.18977248281272152</v>
      </c>
    </row>
    <row r="85" spans="1:6" x14ac:dyDescent="0.35">
      <c r="A85" s="1">
        <f t="shared" ca="1" si="3"/>
        <v>0.87663490395577925</v>
      </c>
      <c r="B85" s="1">
        <f t="shared" ca="1" si="3"/>
        <v>0.79797451877137693</v>
      </c>
      <c r="C85" s="1">
        <f t="shared" ca="1" si="3"/>
        <v>0.29319257297313106</v>
      </c>
      <c r="D85">
        <f t="shared" ca="1" si="4"/>
        <v>45607</v>
      </c>
      <c r="E85">
        <f t="shared" ca="1" si="4"/>
        <v>45748</v>
      </c>
      <c r="F85" s="1">
        <f t="shared" ca="1" si="5"/>
        <v>0.35250644466134518</v>
      </c>
    </row>
    <row r="86" spans="1:6" x14ac:dyDescent="0.35">
      <c r="A86" s="1">
        <f t="shared" ca="1" si="3"/>
        <v>0.75653863385464182</v>
      </c>
      <c r="B86" s="1">
        <f t="shared" ca="1" si="3"/>
        <v>0.56079075250036647</v>
      </c>
      <c r="C86" s="1">
        <f t="shared" ca="1" si="3"/>
        <v>0.40406052995831188</v>
      </c>
      <c r="D86">
        <f t="shared" ca="1" si="4"/>
        <v>45322</v>
      </c>
      <c r="E86">
        <f t="shared" ca="1" si="4"/>
        <v>45399</v>
      </c>
      <c r="F86" s="1">
        <f t="shared" ca="1" si="5"/>
        <v>0.44393128878982691</v>
      </c>
    </row>
    <row r="87" spans="1:6" x14ac:dyDescent="0.35">
      <c r="A87" s="1">
        <f t="shared" ca="1" si="3"/>
        <v>7.1441274254841813E-2</v>
      </c>
      <c r="B87" s="1">
        <f t="shared" ca="1" si="3"/>
        <v>0.64370743019449306</v>
      </c>
      <c r="C87" s="1">
        <f t="shared" ca="1" si="3"/>
        <v>0.7804549375165819</v>
      </c>
      <c r="D87">
        <f t="shared" ca="1" si="4"/>
        <v>45544</v>
      </c>
      <c r="E87">
        <f t="shared" ca="1" si="4"/>
        <v>45552</v>
      </c>
      <c r="F87" s="1">
        <f t="shared" ca="1" si="5"/>
        <v>0.35059641202319236</v>
      </c>
    </row>
    <row r="88" spans="1:6" x14ac:dyDescent="0.35">
      <c r="A88" s="1">
        <f t="shared" ca="1" si="3"/>
        <v>0.30352748074681257</v>
      </c>
      <c r="B88" s="1">
        <f t="shared" ca="1" si="3"/>
        <v>0.32523128899518372</v>
      </c>
      <c r="C88" s="1">
        <f t="shared" ca="1" si="3"/>
        <v>0.27558378985978016</v>
      </c>
      <c r="D88">
        <f t="shared" ca="1" si="4"/>
        <v>45727</v>
      </c>
      <c r="E88">
        <f t="shared" ca="1" si="4"/>
        <v>45377</v>
      </c>
      <c r="F88" s="1">
        <f t="shared" ca="1" si="5"/>
        <v>0.16851024080100385</v>
      </c>
    </row>
    <row r="89" spans="1:6" x14ac:dyDescent="0.35">
      <c r="A89" s="1">
        <f t="shared" ca="1" si="3"/>
        <v>0.41470158190429185</v>
      </c>
      <c r="B89" s="1">
        <f t="shared" ca="1" si="3"/>
        <v>0.3744822313780275</v>
      </c>
      <c r="C89" s="1">
        <f t="shared" ca="1" si="3"/>
        <v>0.39648749303568143</v>
      </c>
      <c r="D89">
        <f t="shared" ca="1" si="4"/>
        <v>45785</v>
      </c>
      <c r="E89">
        <f t="shared" ca="1" si="4"/>
        <v>45730</v>
      </c>
      <c r="F89" s="1">
        <f t="shared" ca="1" si="5"/>
        <v>0.54445592294146294</v>
      </c>
    </row>
    <row r="90" spans="1:6" x14ac:dyDescent="0.35">
      <c r="A90" s="1">
        <f t="shared" ca="1" si="3"/>
        <v>0.50141418497338053</v>
      </c>
      <c r="B90" s="1">
        <f t="shared" ca="1" si="3"/>
        <v>0.18272640269676055</v>
      </c>
      <c r="C90" s="1">
        <f t="shared" ca="1" si="3"/>
        <v>0.24097727699212412</v>
      </c>
      <c r="D90">
        <f t="shared" ca="1" si="4"/>
        <v>45300</v>
      </c>
      <c r="E90">
        <f t="shared" ca="1" si="4"/>
        <v>45318</v>
      </c>
      <c r="F90" s="1">
        <f t="shared" ca="1" si="5"/>
        <v>0.45533885815695818</v>
      </c>
    </row>
    <row r="91" spans="1:6" x14ac:dyDescent="0.35">
      <c r="A91" s="1">
        <f t="shared" ca="1" si="3"/>
        <v>7.4827405428506744E-2</v>
      </c>
      <c r="B91" s="1">
        <f t="shared" ca="1" si="3"/>
        <v>0.54490892198743124</v>
      </c>
      <c r="C91" s="1">
        <f t="shared" ca="1" si="3"/>
        <v>0.55999441694902985</v>
      </c>
      <c r="D91">
        <f t="shared" ca="1" si="4"/>
        <v>45413</v>
      </c>
      <c r="E91">
        <f t="shared" ca="1" si="4"/>
        <v>45371</v>
      </c>
      <c r="F91" s="1">
        <f t="shared" ca="1" si="5"/>
        <v>0.21124232925230169</v>
      </c>
    </row>
    <row r="92" spans="1:6" x14ac:dyDescent="0.35">
      <c r="A92" s="1">
        <f t="shared" ca="1" si="3"/>
        <v>0.33137430464033335</v>
      </c>
      <c r="B92" s="1">
        <f t="shared" ca="1" si="3"/>
        <v>7.5858569935411291E-2</v>
      </c>
      <c r="C92" s="1">
        <f t="shared" ca="1" si="3"/>
        <v>0.17100956349388574</v>
      </c>
      <c r="D92">
        <f t="shared" ca="1" si="4"/>
        <v>45580</v>
      </c>
      <c r="E92">
        <f t="shared" ca="1" si="4"/>
        <v>45568</v>
      </c>
      <c r="F92" s="1">
        <f t="shared" ca="1" si="5"/>
        <v>0.5720517556693715</v>
      </c>
    </row>
    <row r="93" spans="1:6" x14ac:dyDescent="0.35">
      <c r="A93" s="1">
        <f t="shared" ca="1" si="3"/>
        <v>0.64488305685643799</v>
      </c>
      <c r="B93" s="1">
        <f t="shared" ca="1" si="3"/>
        <v>0.77390418870442013</v>
      </c>
      <c r="C93" s="1">
        <f t="shared" ca="1" si="3"/>
        <v>0.71597147636670944</v>
      </c>
      <c r="D93">
        <f t="shared" ca="1" si="4"/>
        <v>45685</v>
      </c>
      <c r="E93">
        <f t="shared" ca="1" si="4"/>
        <v>45368</v>
      </c>
      <c r="F93" s="1">
        <f t="shared" ca="1" si="5"/>
        <v>1.09813451962949E-2</v>
      </c>
    </row>
    <row r="94" spans="1:6" x14ac:dyDescent="0.35">
      <c r="A94" s="1">
        <f t="shared" ca="1" si="3"/>
        <v>0.71968805226559596</v>
      </c>
      <c r="B94" s="1">
        <f t="shared" ca="1" si="3"/>
        <v>0.60400603956982823</v>
      </c>
      <c r="C94" s="1">
        <f t="shared" ca="1" si="3"/>
        <v>0.96766876556151726</v>
      </c>
      <c r="D94">
        <f t="shared" ca="1" si="4"/>
        <v>45650</v>
      </c>
      <c r="E94">
        <f t="shared" ca="1" si="4"/>
        <v>45675</v>
      </c>
      <c r="F94" s="1">
        <f t="shared" ca="1" si="5"/>
        <v>0.65197797835539617</v>
      </c>
    </row>
    <row r="95" spans="1:6" x14ac:dyDescent="0.35">
      <c r="A95" s="1">
        <f t="shared" ca="1" si="3"/>
        <v>0.75187057211355246</v>
      </c>
      <c r="B95" s="1">
        <f t="shared" ca="1" si="3"/>
        <v>0.58173976448791997</v>
      </c>
      <c r="C95" s="1">
        <f t="shared" ca="1" si="3"/>
        <v>0.86208292176947365</v>
      </c>
      <c r="D95">
        <f t="shared" ca="1" si="4"/>
        <v>45434</v>
      </c>
      <c r="E95">
        <f t="shared" ca="1" si="4"/>
        <v>45424</v>
      </c>
      <c r="F95" s="1">
        <f t="shared" ca="1" si="5"/>
        <v>0.62774711038810538</v>
      </c>
    </row>
    <row r="96" spans="1:6" x14ac:dyDescent="0.35">
      <c r="A96" s="1">
        <f t="shared" ca="1" si="3"/>
        <v>0.81869835816304759</v>
      </c>
      <c r="B96" s="1">
        <f t="shared" ca="1" si="3"/>
        <v>0.75867318679880846</v>
      </c>
      <c r="C96" s="1">
        <f t="shared" ca="1" si="3"/>
        <v>0.72972091239349668</v>
      </c>
      <c r="D96">
        <f t="shared" ca="1" si="4"/>
        <v>45749</v>
      </c>
      <c r="E96">
        <f t="shared" ca="1" si="4"/>
        <v>45459</v>
      </c>
      <c r="F96" s="1">
        <f t="shared" ca="1" si="5"/>
        <v>3.7510531775562184E-2</v>
      </c>
    </row>
    <row r="97" spans="1:6" x14ac:dyDescent="0.35">
      <c r="A97" s="1">
        <f t="shared" ca="1" si="3"/>
        <v>0.13077828568156535</v>
      </c>
      <c r="B97" s="1">
        <f t="shared" ca="1" si="3"/>
        <v>0.15259751576766678</v>
      </c>
      <c r="C97" s="1">
        <f t="shared" ca="1" si="3"/>
        <v>0.90299253541397273</v>
      </c>
      <c r="D97">
        <f t="shared" ca="1" si="4"/>
        <v>45756</v>
      </c>
      <c r="E97">
        <f t="shared" ca="1" si="4"/>
        <v>45434</v>
      </c>
      <c r="F97" s="1">
        <f t="shared" ca="1" si="5"/>
        <v>0.2100438741314663</v>
      </c>
    </row>
    <row r="98" spans="1:6" x14ac:dyDescent="0.35">
      <c r="A98" s="1">
        <f t="shared" ca="1" si="3"/>
        <v>0.13279192858000355</v>
      </c>
      <c r="B98" s="1">
        <f t="shared" ca="1" si="3"/>
        <v>0.67822219040502629</v>
      </c>
      <c r="C98" s="1">
        <f t="shared" ca="1" si="3"/>
        <v>0.89189124286816712</v>
      </c>
      <c r="D98">
        <f t="shared" ca="1" si="4"/>
        <v>45731</v>
      </c>
      <c r="E98">
        <f t="shared" ca="1" si="4"/>
        <v>45457</v>
      </c>
      <c r="F98" s="1">
        <f t="shared" ca="1" si="5"/>
        <v>0.82433109063270771</v>
      </c>
    </row>
    <row r="99" spans="1:6" x14ac:dyDescent="0.35">
      <c r="A99" s="1">
        <f t="shared" ca="1" si="3"/>
        <v>0.82251214258924787</v>
      </c>
      <c r="B99" s="1">
        <f t="shared" ca="1" si="3"/>
        <v>0.48694547843272995</v>
      </c>
      <c r="C99" s="1">
        <f t="shared" ca="1" si="3"/>
        <v>0.50674486820179543</v>
      </c>
      <c r="D99">
        <f t="shared" ca="1" si="4"/>
        <v>45344</v>
      </c>
      <c r="E99">
        <f t="shared" ca="1" si="4"/>
        <v>45705</v>
      </c>
      <c r="F99" s="1">
        <f t="shared" ca="1" si="5"/>
        <v>0.45911905362709671</v>
      </c>
    </row>
    <row r="100" spans="1:6" x14ac:dyDescent="0.35">
      <c r="A100" s="1">
        <f t="shared" ca="1" si="3"/>
        <v>0.29925797544687804</v>
      </c>
      <c r="B100" s="1">
        <f t="shared" ca="1" si="3"/>
        <v>0.55320251033097434</v>
      </c>
      <c r="C100" s="1">
        <f t="shared" ca="1" si="3"/>
        <v>0.98214461403473086</v>
      </c>
      <c r="D100">
        <f t="shared" ca="1" si="4"/>
        <v>45825</v>
      </c>
      <c r="E100">
        <f t="shared" ca="1" si="4"/>
        <v>45685</v>
      </c>
      <c r="F100" s="1">
        <f t="shared" ca="1" si="5"/>
        <v>0.95704923795964325</v>
      </c>
    </row>
    <row r="101" spans="1:6" x14ac:dyDescent="0.35">
      <c r="A101" s="1">
        <f t="shared" ca="1" si="3"/>
        <v>0.56469271011910327</v>
      </c>
      <c r="B101" s="1">
        <f t="shared" ca="1" si="3"/>
        <v>0.59271017781155766</v>
      </c>
      <c r="C101" s="1">
        <f t="shared" ca="1" si="3"/>
        <v>0.96019568581769477</v>
      </c>
      <c r="D101">
        <f t="shared" ca="1" si="4"/>
        <v>45510</v>
      </c>
      <c r="E101">
        <f t="shared" ca="1" si="4"/>
        <v>45397</v>
      </c>
      <c r="F101" s="1">
        <f t="shared" ca="1" si="5"/>
        <v>0.40307425609669856</v>
      </c>
    </row>
    <row r="102" spans="1:6" x14ac:dyDescent="0.35">
      <c r="A102" s="1">
        <f t="shared" ca="1" si="3"/>
        <v>0.59891414467675552</v>
      </c>
      <c r="B102" s="1">
        <f t="shared" ca="1" si="3"/>
        <v>0.56229423084632202</v>
      </c>
      <c r="C102" s="1">
        <f t="shared" ca="1" si="3"/>
        <v>7.4375348656928852E-2</v>
      </c>
      <c r="D102">
        <f t="shared" ca="1" si="4"/>
        <v>45475</v>
      </c>
      <c r="E102">
        <f t="shared" ca="1" si="4"/>
        <v>45807</v>
      </c>
      <c r="F102" s="1">
        <f t="shared" ca="1" si="5"/>
        <v>0.55801353830650513</v>
      </c>
    </row>
    <row r="103" spans="1:6" x14ac:dyDescent="0.35">
      <c r="A103" s="1">
        <f t="shared" ca="1" si="3"/>
        <v>0.28451794405467024</v>
      </c>
      <c r="B103" s="1">
        <f t="shared" ca="1" si="3"/>
        <v>0.35093517135061192</v>
      </c>
      <c r="C103" s="1">
        <f t="shared" ca="1" si="3"/>
        <v>0.72729227688441456</v>
      </c>
      <c r="D103">
        <f t="shared" ca="1" si="4"/>
        <v>45729</v>
      </c>
      <c r="E103">
        <f t="shared" ca="1" si="4"/>
        <v>45764</v>
      </c>
      <c r="F103" s="1">
        <f t="shared" ca="1" si="5"/>
        <v>0.95804024419454703</v>
      </c>
    </row>
    <row r="104" spans="1:6" x14ac:dyDescent="0.35">
      <c r="A104" s="1">
        <f t="shared" ca="1" si="3"/>
        <v>0.907508598302872</v>
      </c>
      <c r="B104" s="1">
        <f t="shared" ca="1" si="3"/>
        <v>0.67175101547157889</v>
      </c>
      <c r="C104" s="1">
        <f t="shared" ca="1" si="3"/>
        <v>0.41272409014198319</v>
      </c>
      <c r="D104">
        <f t="shared" ca="1" si="4"/>
        <v>45775</v>
      </c>
      <c r="E104">
        <f t="shared" ca="1" si="4"/>
        <v>45714</v>
      </c>
      <c r="F104" s="1">
        <f t="shared" ca="1" si="5"/>
        <v>0.2138956251540346</v>
      </c>
    </row>
    <row r="105" spans="1:6" x14ac:dyDescent="0.35">
      <c r="A105" s="1">
        <f t="shared" ca="1" si="3"/>
        <v>0.18647538207847247</v>
      </c>
      <c r="B105" s="1">
        <f t="shared" ca="1" si="3"/>
        <v>0.8859201423579236</v>
      </c>
      <c r="C105" s="1">
        <f t="shared" ca="1" si="3"/>
        <v>0.48583075794114516</v>
      </c>
      <c r="D105">
        <f t="shared" ca="1" si="4"/>
        <v>45390</v>
      </c>
      <c r="E105">
        <f t="shared" ca="1" si="4"/>
        <v>45691</v>
      </c>
      <c r="F105" s="1">
        <f t="shared" ca="1" si="5"/>
        <v>0.95900775028677165</v>
      </c>
    </row>
    <row r="106" spans="1:6" x14ac:dyDescent="0.35">
      <c r="A106" s="1">
        <f t="shared" ca="1" si="3"/>
        <v>1.235710860620276E-2</v>
      </c>
      <c r="B106" s="1">
        <f t="shared" ca="1" si="3"/>
        <v>0.87079730398299626</v>
      </c>
      <c r="C106" s="1">
        <f t="shared" ca="1" si="3"/>
        <v>0.71571060098501715</v>
      </c>
      <c r="D106">
        <f t="shared" ca="1" si="4"/>
        <v>45516</v>
      </c>
      <c r="E106">
        <f t="shared" ca="1" si="4"/>
        <v>45478</v>
      </c>
      <c r="F106" s="1">
        <f t="shared" ca="1" si="5"/>
        <v>0.55736412851582362</v>
      </c>
    </row>
    <row r="107" spans="1:6" x14ac:dyDescent="0.35">
      <c r="A107" s="1">
        <f t="shared" ca="1" si="3"/>
        <v>0.45338783186873832</v>
      </c>
      <c r="B107" s="1">
        <f t="shared" ca="1" si="3"/>
        <v>0.37085945116638008</v>
      </c>
      <c r="C107" s="1">
        <f t="shared" ca="1" si="3"/>
        <v>0.10302910981646651</v>
      </c>
      <c r="D107">
        <f t="shared" ca="1" si="4"/>
        <v>45534</v>
      </c>
      <c r="E107">
        <f t="shared" ca="1" si="4"/>
        <v>45751</v>
      </c>
      <c r="F107" s="1">
        <f t="shared" ca="1" si="5"/>
        <v>0.84807358826431622</v>
      </c>
    </row>
    <row r="108" spans="1:6" x14ac:dyDescent="0.35">
      <c r="A108" s="1">
        <f t="shared" ca="1" si="3"/>
        <v>0.12056437181890323</v>
      </c>
      <c r="B108" s="1">
        <f t="shared" ca="1" si="3"/>
        <v>0.65073894187521941</v>
      </c>
      <c r="C108" s="1">
        <f t="shared" ca="1" si="3"/>
        <v>0.77320836385950942</v>
      </c>
      <c r="D108">
        <f t="shared" ca="1" si="4"/>
        <v>45662</v>
      </c>
      <c r="E108">
        <f t="shared" ca="1" si="4"/>
        <v>45514</v>
      </c>
      <c r="F108" s="1">
        <f t="shared" ca="1" si="5"/>
        <v>0.5301407557483323</v>
      </c>
    </row>
    <row r="109" spans="1:6" x14ac:dyDescent="0.35">
      <c r="A109" s="1">
        <f t="shared" ca="1" si="3"/>
        <v>0.42320572733034079</v>
      </c>
      <c r="B109" s="1">
        <f t="shared" ca="1" si="3"/>
        <v>0.98848450707674151</v>
      </c>
      <c r="C109" s="1">
        <f t="shared" ca="1" si="3"/>
        <v>9.296987540125945E-2</v>
      </c>
      <c r="D109">
        <f t="shared" ca="1" si="4"/>
        <v>45786</v>
      </c>
      <c r="E109">
        <f t="shared" ca="1" si="4"/>
        <v>45520</v>
      </c>
      <c r="F109" s="1">
        <f t="shared" ca="1" si="5"/>
        <v>0.73039919885998428</v>
      </c>
    </row>
    <row r="110" spans="1:6" x14ac:dyDescent="0.35">
      <c r="A110" s="1">
        <f t="shared" ca="1" si="3"/>
        <v>0.28368526767299229</v>
      </c>
      <c r="B110" s="1">
        <f t="shared" ca="1" si="3"/>
        <v>0.84583608613117733</v>
      </c>
      <c r="C110" s="1">
        <f t="shared" ca="1" si="3"/>
        <v>4.2596979675275537E-2</v>
      </c>
      <c r="D110">
        <f t="shared" ca="1" si="4"/>
        <v>45572</v>
      </c>
      <c r="E110">
        <f t="shared" ca="1" si="4"/>
        <v>45617</v>
      </c>
      <c r="F110" s="1">
        <f t="shared" ca="1" si="5"/>
        <v>0.72188792823396231</v>
      </c>
    </row>
    <row r="111" spans="1:6" x14ac:dyDescent="0.35">
      <c r="A111" s="1">
        <f t="shared" ca="1" si="3"/>
        <v>0.50241689753520202</v>
      </c>
      <c r="B111" s="1">
        <f t="shared" ca="1" si="3"/>
        <v>0.33341958202137256</v>
      </c>
      <c r="C111" s="1">
        <f t="shared" ca="1" si="3"/>
        <v>0.14995365260644744</v>
      </c>
      <c r="D111">
        <f t="shared" ca="1" si="4"/>
        <v>45647</v>
      </c>
      <c r="E111">
        <f t="shared" ca="1" si="4"/>
        <v>45347</v>
      </c>
      <c r="F111" s="1">
        <f t="shared" ca="1" si="5"/>
        <v>0.55724181862515199</v>
      </c>
    </row>
    <row r="112" spans="1:6" x14ac:dyDescent="0.35">
      <c r="A112" s="1">
        <f t="shared" ca="1" si="3"/>
        <v>0.53213747106718756</v>
      </c>
      <c r="B112" s="1">
        <f t="shared" ca="1" si="3"/>
        <v>0.80983025699511879</v>
      </c>
      <c r="C112" s="1">
        <f t="shared" ca="1" si="3"/>
        <v>0.69859847827895694</v>
      </c>
      <c r="D112">
        <f t="shared" ca="1" si="4"/>
        <v>45417</v>
      </c>
      <c r="E112">
        <f t="shared" ca="1" si="4"/>
        <v>45641</v>
      </c>
      <c r="F112" s="1">
        <f t="shared" ca="1" si="5"/>
        <v>7.7479502358140051E-2</v>
      </c>
    </row>
    <row r="113" spans="1:6" x14ac:dyDescent="0.35">
      <c r="A113" s="1">
        <f t="shared" ca="1" si="3"/>
        <v>6.0956296889036476E-2</v>
      </c>
      <c r="B113" s="1">
        <f t="shared" ca="1" si="3"/>
        <v>0.8311076718917908</v>
      </c>
      <c r="C113" s="1">
        <f t="shared" ca="1" si="3"/>
        <v>0.96442027813219755</v>
      </c>
      <c r="D113">
        <f t="shared" ca="1" si="4"/>
        <v>45514</v>
      </c>
      <c r="E113">
        <f t="shared" ca="1" si="4"/>
        <v>45567</v>
      </c>
      <c r="F113" s="1">
        <f t="shared" ca="1" si="5"/>
        <v>0.25087984038426958</v>
      </c>
    </row>
    <row r="114" spans="1:6" x14ac:dyDescent="0.35">
      <c r="A114" s="1">
        <f t="shared" ca="1" si="3"/>
        <v>0.85531280038202639</v>
      </c>
      <c r="B114" s="1">
        <f t="shared" ca="1" si="3"/>
        <v>3.9702855501507761E-2</v>
      </c>
      <c r="C114" s="1">
        <f t="shared" ca="1" si="3"/>
        <v>0.57319064808026743</v>
      </c>
      <c r="D114">
        <f t="shared" ca="1" si="4"/>
        <v>45582</v>
      </c>
      <c r="E114">
        <f t="shared" ca="1" si="4"/>
        <v>45636</v>
      </c>
      <c r="F114" s="1">
        <f t="shared" ca="1" si="5"/>
        <v>0.53037618843914669</v>
      </c>
    </row>
    <row r="115" spans="1:6" x14ac:dyDescent="0.35">
      <c r="A115" s="1">
        <f t="shared" ca="1" si="3"/>
        <v>0.27987717287275893</v>
      </c>
      <c r="B115" s="1">
        <f t="shared" ca="1" si="3"/>
        <v>0.78807972171375706</v>
      </c>
      <c r="C115" s="1">
        <f t="shared" ca="1" si="3"/>
        <v>0.86370574782960141</v>
      </c>
      <c r="D115">
        <f t="shared" ca="1" si="4"/>
        <v>45401</v>
      </c>
      <c r="E115">
        <f t="shared" ca="1" si="4"/>
        <v>45512</v>
      </c>
      <c r="F115" s="1">
        <f t="shared" ca="1" si="5"/>
        <v>0.95443207109652861</v>
      </c>
    </row>
    <row r="116" spans="1:6" x14ac:dyDescent="0.35">
      <c r="A116" s="1">
        <f t="shared" ca="1" si="3"/>
        <v>0.12731348184604918</v>
      </c>
      <c r="B116" s="1">
        <f t="shared" ca="1" si="3"/>
        <v>0.65786601241364473</v>
      </c>
      <c r="C116" s="1">
        <f t="shared" ca="1" si="3"/>
        <v>0.7394228456070443</v>
      </c>
      <c r="D116">
        <f t="shared" ca="1" si="4"/>
        <v>45654</v>
      </c>
      <c r="E116">
        <f t="shared" ca="1" si="4"/>
        <v>45683</v>
      </c>
      <c r="F116" s="1">
        <f t="shared" ca="1" si="5"/>
        <v>0.59373724072825063</v>
      </c>
    </row>
    <row r="117" spans="1:6" x14ac:dyDescent="0.35">
      <c r="A117" s="1">
        <f t="shared" ca="1" si="3"/>
        <v>0.92017266934397224</v>
      </c>
      <c r="B117" s="1">
        <f t="shared" ca="1" si="3"/>
        <v>0.19788902295330713</v>
      </c>
      <c r="C117" s="1">
        <f t="shared" ca="1" si="3"/>
        <v>0.31764721458277068</v>
      </c>
      <c r="D117">
        <f t="shared" ca="1" si="4"/>
        <v>45443</v>
      </c>
      <c r="E117">
        <f t="shared" ca="1" si="4"/>
        <v>45649</v>
      </c>
      <c r="F117" s="1">
        <f t="shared" ca="1" si="5"/>
        <v>0.67306108851821778</v>
      </c>
    </row>
    <row r="118" spans="1:6" x14ac:dyDescent="0.35">
      <c r="A118" s="1">
        <f t="shared" ca="1" si="3"/>
        <v>0.44326994049667445</v>
      </c>
      <c r="B118" s="1">
        <f t="shared" ca="1" si="3"/>
        <v>0.77839126141301374</v>
      </c>
      <c r="C118" s="1">
        <f t="shared" ca="1" si="3"/>
        <v>0.75192666839152777</v>
      </c>
      <c r="D118">
        <f t="shared" ca="1" si="4"/>
        <v>45378</v>
      </c>
      <c r="E118">
        <f t="shared" ca="1" si="4"/>
        <v>45571</v>
      </c>
      <c r="F118" s="1">
        <f t="shared" ca="1" si="5"/>
        <v>0.33405785352918715</v>
      </c>
    </row>
    <row r="119" spans="1:6" x14ac:dyDescent="0.35">
      <c r="A119" s="1">
        <f t="shared" ca="1" si="3"/>
        <v>0.21832948928988916</v>
      </c>
      <c r="B119" s="1">
        <f t="shared" ca="1" si="3"/>
        <v>0.93114245000374229</v>
      </c>
      <c r="C119" s="1">
        <f t="shared" ca="1" si="3"/>
        <v>0.5379154786641962</v>
      </c>
      <c r="D119">
        <f t="shared" ca="1" si="4"/>
        <v>45584</v>
      </c>
      <c r="E119">
        <f t="shared" ca="1" si="4"/>
        <v>45409</v>
      </c>
      <c r="F119" s="1">
        <f t="shared" ca="1" si="5"/>
        <v>0.57421634246222253</v>
      </c>
    </row>
    <row r="120" spans="1:6" x14ac:dyDescent="0.35">
      <c r="A120" s="1">
        <f t="shared" ca="1" si="3"/>
        <v>0.9844483593393093</v>
      </c>
      <c r="B120" s="1">
        <f t="shared" ca="1" si="3"/>
        <v>0.8190399168163035</v>
      </c>
      <c r="C120" s="1">
        <f t="shared" ca="1" si="3"/>
        <v>0.24203071959053801</v>
      </c>
      <c r="D120">
        <f t="shared" ca="1" si="4"/>
        <v>45507</v>
      </c>
      <c r="E120">
        <f t="shared" ca="1" si="4"/>
        <v>45591</v>
      </c>
      <c r="F120" s="1">
        <f t="shared" ca="1" si="5"/>
        <v>0.19709782683021271</v>
      </c>
    </row>
    <row r="121" spans="1:6" x14ac:dyDescent="0.35">
      <c r="A121" s="1">
        <f t="shared" ca="1" si="3"/>
        <v>0.73046265328109805</v>
      </c>
      <c r="B121" s="1">
        <f t="shared" ca="1" si="3"/>
        <v>0.33155689295471336</v>
      </c>
      <c r="C121" s="1">
        <f t="shared" ca="1" si="3"/>
        <v>0.71213978241614406</v>
      </c>
      <c r="D121">
        <f t="shared" ca="1" si="4"/>
        <v>45663</v>
      </c>
      <c r="E121">
        <f t="shared" ca="1" si="4"/>
        <v>45688</v>
      </c>
      <c r="F121" s="1">
        <f t="shared" ca="1" si="5"/>
        <v>0.30526190678745335</v>
      </c>
    </row>
    <row r="122" spans="1:6" x14ac:dyDescent="0.35">
      <c r="A122" s="1">
        <f t="shared" ca="1" si="3"/>
        <v>0.3966637116969145</v>
      </c>
      <c r="B122" s="1">
        <f t="shared" ca="1" si="3"/>
        <v>0.67347759348479397</v>
      </c>
      <c r="C122" s="1">
        <f t="shared" ca="1" si="3"/>
        <v>0.41683002859500684</v>
      </c>
      <c r="D122">
        <f t="shared" ca="1" si="4"/>
        <v>45536</v>
      </c>
      <c r="E122">
        <f t="shared" ca="1" si="4"/>
        <v>45416</v>
      </c>
      <c r="F122" s="1">
        <f t="shared" ca="1" si="5"/>
        <v>0.18829567766999944</v>
      </c>
    </row>
    <row r="123" spans="1:6" x14ac:dyDescent="0.35">
      <c r="A123" s="1">
        <f t="shared" ca="1" si="3"/>
        <v>6.8032125320062198E-2</v>
      </c>
      <c r="B123" s="1">
        <f t="shared" ca="1" si="3"/>
        <v>0.89944534815753585</v>
      </c>
      <c r="C123" s="1">
        <f t="shared" ca="1" si="3"/>
        <v>0.74953764190992433</v>
      </c>
      <c r="D123">
        <f t="shared" ca="1" si="4"/>
        <v>45737</v>
      </c>
      <c r="E123">
        <f t="shared" ca="1" si="4"/>
        <v>45716</v>
      </c>
      <c r="F123" s="1">
        <f t="shared" ca="1" si="5"/>
        <v>0.72708319064112603</v>
      </c>
    </row>
    <row r="124" spans="1:6" x14ac:dyDescent="0.35">
      <c r="A124" s="1">
        <f t="shared" ca="1" si="3"/>
        <v>0.9356500201198471</v>
      </c>
      <c r="B124" s="1">
        <f t="shared" ca="1" si="3"/>
        <v>0.40082798333856229</v>
      </c>
      <c r="C124" s="1">
        <f t="shared" ca="1" si="3"/>
        <v>0.13472240242119737</v>
      </c>
      <c r="D124">
        <f t="shared" ca="1" si="4"/>
        <v>45723</v>
      </c>
      <c r="E124">
        <f t="shared" ca="1" si="4"/>
        <v>45356</v>
      </c>
      <c r="F124" s="1">
        <f t="shared" ca="1" si="5"/>
        <v>0.20556283053902513</v>
      </c>
    </row>
    <row r="125" spans="1:6" x14ac:dyDescent="0.35">
      <c r="A125" s="1">
        <f t="shared" ca="1" si="3"/>
        <v>0.84943627982639891</v>
      </c>
      <c r="B125" s="1">
        <f t="shared" ca="1" si="3"/>
        <v>0.44291077772511778</v>
      </c>
      <c r="C125" s="1">
        <f t="shared" ca="1" si="3"/>
        <v>0.25730197322002857</v>
      </c>
      <c r="D125">
        <f t="shared" ca="1" si="4"/>
        <v>45813</v>
      </c>
      <c r="E125">
        <f t="shared" ca="1" si="4"/>
        <v>45309</v>
      </c>
      <c r="F125" s="1">
        <f t="shared" ca="1" si="5"/>
        <v>0.61371134795183457</v>
      </c>
    </row>
    <row r="126" spans="1:6" x14ac:dyDescent="0.35">
      <c r="A126" s="1">
        <f t="shared" ca="1" si="3"/>
        <v>5.4605947069445548E-2</v>
      </c>
      <c r="B126" s="1">
        <f t="shared" ca="1" si="3"/>
        <v>0.81700006399235758</v>
      </c>
      <c r="C126" s="1">
        <f t="shared" ca="1" si="3"/>
        <v>0.44500126258836359</v>
      </c>
      <c r="D126">
        <f t="shared" ca="1" si="4"/>
        <v>45622</v>
      </c>
      <c r="E126">
        <f t="shared" ca="1" si="4"/>
        <v>45529</v>
      </c>
      <c r="F126" s="1">
        <f t="shared" ca="1" si="5"/>
        <v>0.95250615234610114</v>
      </c>
    </row>
    <row r="127" spans="1:6" x14ac:dyDescent="0.35">
      <c r="A127" s="1">
        <f t="shared" ca="1" si="3"/>
        <v>0.34320494890306841</v>
      </c>
      <c r="B127" s="1">
        <f t="shared" ca="1" si="3"/>
        <v>7.1628805436904641E-2</v>
      </c>
      <c r="C127" s="1">
        <f t="shared" ca="1" si="3"/>
        <v>0.41397890313235086</v>
      </c>
      <c r="D127">
        <f t="shared" ca="1" si="4"/>
        <v>45777</v>
      </c>
      <c r="E127">
        <f t="shared" ca="1" si="4"/>
        <v>45406</v>
      </c>
      <c r="F127" s="1">
        <f t="shared" ca="1" si="5"/>
        <v>0.91317098185849221</v>
      </c>
    </row>
    <row r="128" spans="1:6" x14ac:dyDescent="0.35">
      <c r="A128" s="1">
        <f t="shared" ca="1" si="3"/>
        <v>0.2266249331528768</v>
      </c>
      <c r="B128" s="1">
        <f t="shared" ca="1" si="3"/>
        <v>0.18392763115412902</v>
      </c>
      <c r="C128" s="1">
        <f t="shared" ca="1" si="3"/>
        <v>0.95936767581990834</v>
      </c>
      <c r="D128">
        <f t="shared" ca="1" si="4"/>
        <v>45336</v>
      </c>
      <c r="E128">
        <f t="shared" ca="1" si="4"/>
        <v>45344</v>
      </c>
      <c r="F128" s="1">
        <f t="shared" ca="1" si="5"/>
        <v>0.12293416835425797</v>
      </c>
    </row>
    <row r="129" spans="1:6" x14ac:dyDescent="0.35">
      <c r="A129" s="1">
        <f t="shared" ca="1" si="3"/>
        <v>0.83218960096858863</v>
      </c>
      <c r="B129" s="1">
        <f t="shared" ca="1" si="3"/>
        <v>2.1386587979870586E-2</v>
      </c>
      <c r="C129" s="1">
        <f t="shared" ca="1" si="3"/>
        <v>0.90451149038977186</v>
      </c>
      <c r="D129">
        <f t="shared" ca="1" si="4"/>
        <v>45524</v>
      </c>
      <c r="E129">
        <f t="shared" ca="1" si="4"/>
        <v>45548</v>
      </c>
      <c r="F129" s="1">
        <f t="shared" ca="1" si="5"/>
        <v>0.39243023665990351</v>
      </c>
    </row>
    <row r="130" spans="1:6" x14ac:dyDescent="0.35">
      <c r="A130" s="1">
        <f t="shared" ca="1" si="3"/>
        <v>0.67996685295015924</v>
      </c>
      <c r="B130" s="1">
        <f t="shared" ca="1" si="3"/>
        <v>0.87798087806351777</v>
      </c>
      <c r="C130" s="1">
        <f t="shared" ca="1" si="3"/>
        <v>0.74625801888524423</v>
      </c>
      <c r="D130">
        <f t="shared" ca="1" si="4"/>
        <v>45766</v>
      </c>
      <c r="E130">
        <f t="shared" ca="1" si="4"/>
        <v>45484</v>
      </c>
      <c r="F130" s="1">
        <f t="shared" ca="1" si="5"/>
        <v>0.49739044113604303</v>
      </c>
    </row>
    <row r="131" spans="1:6" x14ac:dyDescent="0.35">
      <c r="A131" s="1">
        <f t="shared" ref="A131:C194" ca="1" si="6">RAND()</f>
        <v>0.8474661045086036</v>
      </c>
      <c r="B131" s="1">
        <f t="shared" ca="1" si="6"/>
        <v>2.6395731186191651E-2</v>
      </c>
      <c r="C131" s="1">
        <f t="shared" ca="1" si="6"/>
        <v>0.86433778808711104</v>
      </c>
      <c r="D131">
        <f t="shared" ref="D131:E194" ca="1" si="7">RANDBETWEEN(45292,45838)</f>
        <v>45401</v>
      </c>
      <c r="E131">
        <f t="shared" ca="1" si="7"/>
        <v>45478</v>
      </c>
      <c r="F131" s="1">
        <f t="shared" ref="F131:F194" ca="1" si="8">RAND()</f>
        <v>0.29432778664273718</v>
      </c>
    </row>
    <row r="132" spans="1:6" x14ac:dyDescent="0.35">
      <c r="A132" s="1">
        <f t="shared" ca="1" si="6"/>
        <v>0.78695870450835048</v>
      </c>
      <c r="B132" s="1">
        <f t="shared" ca="1" si="6"/>
        <v>0.81695006416403293</v>
      </c>
      <c r="C132" s="1">
        <f t="shared" ca="1" si="6"/>
        <v>0.20032571680054534</v>
      </c>
      <c r="D132">
        <f t="shared" ca="1" si="7"/>
        <v>45321</v>
      </c>
      <c r="E132">
        <f t="shared" ca="1" si="7"/>
        <v>45547</v>
      </c>
      <c r="F132" s="1">
        <f t="shared" ca="1" si="8"/>
        <v>0.7231748085401829</v>
      </c>
    </row>
    <row r="133" spans="1:6" x14ac:dyDescent="0.35">
      <c r="A133" s="1">
        <f t="shared" ca="1" si="6"/>
        <v>0.73826918035293054</v>
      </c>
      <c r="B133" s="1">
        <f t="shared" ca="1" si="6"/>
        <v>0.81722419229055443</v>
      </c>
      <c r="C133" s="1">
        <f t="shared" ca="1" si="6"/>
        <v>0.96293071332529567</v>
      </c>
      <c r="D133">
        <f t="shared" ca="1" si="7"/>
        <v>45331</v>
      </c>
      <c r="E133">
        <f t="shared" ca="1" si="7"/>
        <v>45533</v>
      </c>
      <c r="F133" s="1">
        <f t="shared" ca="1" si="8"/>
        <v>8.1573946582647383E-2</v>
      </c>
    </row>
    <row r="134" spans="1:6" x14ac:dyDescent="0.35">
      <c r="A134" s="1">
        <f t="shared" ca="1" si="6"/>
        <v>8.187045097169976E-2</v>
      </c>
      <c r="B134" s="1">
        <f t="shared" ca="1" si="6"/>
        <v>0.46742350359699691</v>
      </c>
      <c r="C134" s="1">
        <f t="shared" ca="1" si="6"/>
        <v>0.72870021859732803</v>
      </c>
      <c r="D134">
        <f t="shared" ca="1" si="7"/>
        <v>45527</v>
      </c>
      <c r="E134">
        <f t="shared" ca="1" si="7"/>
        <v>45484</v>
      </c>
      <c r="F134" s="1">
        <f t="shared" ca="1" si="8"/>
        <v>0.70254609997462247</v>
      </c>
    </row>
    <row r="135" spans="1:6" x14ac:dyDescent="0.35">
      <c r="A135" s="1">
        <f t="shared" ca="1" si="6"/>
        <v>0.49088457120688644</v>
      </c>
      <c r="B135" s="1">
        <f t="shared" ca="1" si="6"/>
        <v>0.2193099462391308</v>
      </c>
      <c r="C135" s="1">
        <f t="shared" ca="1" si="6"/>
        <v>0.40364332892592825</v>
      </c>
      <c r="D135">
        <f t="shared" ca="1" si="7"/>
        <v>45710</v>
      </c>
      <c r="E135">
        <f t="shared" ca="1" si="7"/>
        <v>45791</v>
      </c>
      <c r="F135" s="1">
        <f t="shared" ca="1" si="8"/>
        <v>0.8551896392277355</v>
      </c>
    </row>
    <row r="136" spans="1:6" x14ac:dyDescent="0.35">
      <c r="A136" s="1">
        <f t="shared" ca="1" si="6"/>
        <v>0.69413427147503448</v>
      </c>
      <c r="B136" s="1">
        <f t="shared" ca="1" si="6"/>
        <v>9.1217022956454952E-2</v>
      </c>
      <c r="C136" s="1">
        <f t="shared" ca="1" si="6"/>
        <v>0.18246582391164323</v>
      </c>
      <c r="D136">
        <f t="shared" ca="1" si="7"/>
        <v>45484</v>
      </c>
      <c r="E136">
        <f t="shared" ca="1" si="7"/>
        <v>45772</v>
      </c>
      <c r="F136" s="1">
        <f t="shared" ca="1" si="8"/>
        <v>0.61573633997591815</v>
      </c>
    </row>
    <row r="137" spans="1:6" x14ac:dyDescent="0.35">
      <c r="A137" s="1">
        <f t="shared" ca="1" si="6"/>
        <v>0.99779123837408323</v>
      </c>
      <c r="B137" s="1">
        <f t="shared" ca="1" si="6"/>
        <v>0.11031547193032509</v>
      </c>
      <c r="C137" s="1">
        <f t="shared" ca="1" si="6"/>
        <v>0.75347912429777197</v>
      </c>
      <c r="D137">
        <f t="shared" ca="1" si="7"/>
        <v>45750</v>
      </c>
      <c r="E137">
        <f t="shared" ca="1" si="7"/>
        <v>45768</v>
      </c>
      <c r="F137" s="1">
        <f t="shared" ca="1" si="8"/>
        <v>0.45441269158884179</v>
      </c>
    </row>
    <row r="138" spans="1:6" x14ac:dyDescent="0.35">
      <c r="A138" s="1">
        <f t="shared" ca="1" si="6"/>
        <v>0.11629046425561229</v>
      </c>
      <c r="B138" s="1">
        <f t="shared" ca="1" si="6"/>
        <v>0.99759398903308938</v>
      </c>
      <c r="C138" s="1">
        <f t="shared" ca="1" si="6"/>
        <v>0.56798071457291943</v>
      </c>
      <c r="D138">
        <f t="shared" ca="1" si="7"/>
        <v>45443</v>
      </c>
      <c r="E138">
        <f t="shared" ca="1" si="7"/>
        <v>45465</v>
      </c>
      <c r="F138" s="1">
        <f t="shared" ca="1" si="8"/>
        <v>0.97791704996449769</v>
      </c>
    </row>
    <row r="139" spans="1:6" x14ac:dyDescent="0.35">
      <c r="A139" s="1">
        <f t="shared" ca="1" si="6"/>
        <v>0.38903308333928766</v>
      </c>
      <c r="B139" s="1">
        <f t="shared" ca="1" si="6"/>
        <v>0.80337156248777242</v>
      </c>
      <c r="C139" s="1">
        <f t="shared" ca="1" si="6"/>
        <v>0.25815430798177741</v>
      </c>
      <c r="D139">
        <f t="shared" ca="1" si="7"/>
        <v>45505</v>
      </c>
      <c r="E139">
        <f t="shared" ca="1" si="7"/>
        <v>45419</v>
      </c>
      <c r="F139" s="1">
        <f t="shared" ca="1" si="8"/>
        <v>0.86973049062338736</v>
      </c>
    </row>
    <row r="140" spans="1:6" x14ac:dyDescent="0.35">
      <c r="A140" s="1">
        <f t="shared" ca="1" si="6"/>
        <v>0.73228249356131625</v>
      </c>
      <c r="B140" s="1">
        <f t="shared" ca="1" si="6"/>
        <v>0.25112007882938059</v>
      </c>
      <c r="C140" s="1">
        <f t="shared" ca="1" si="6"/>
        <v>0.7152929953506445</v>
      </c>
      <c r="D140">
        <f t="shared" ca="1" si="7"/>
        <v>45666</v>
      </c>
      <c r="E140">
        <f t="shared" ca="1" si="7"/>
        <v>45435</v>
      </c>
      <c r="F140" s="1">
        <f t="shared" ca="1" si="8"/>
        <v>0.75877745181128831</v>
      </c>
    </row>
    <row r="141" spans="1:6" x14ac:dyDescent="0.35">
      <c r="A141" s="1">
        <f t="shared" ca="1" si="6"/>
        <v>0.19057964660365179</v>
      </c>
      <c r="B141" s="1">
        <f t="shared" ca="1" si="6"/>
        <v>0.35172476523456531</v>
      </c>
      <c r="C141" s="1">
        <f t="shared" ca="1" si="6"/>
        <v>0.79075493720325751</v>
      </c>
      <c r="D141">
        <f t="shared" ca="1" si="7"/>
        <v>45369</v>
      </c>
      <c r="E141">
        <f t="shared" ca="1" si="7"/>
        <v>45791</v>
      </c>
      <c r="F141" s="1">
        <f t="shared" ca="1" si="8"/>
        <v>0.27147448919270045</v>
      </c>
    </row>
    <row r="142" spans="1:6" x14ac:dyDescent="0.35">
      <c r="A142" s="1">
        <f t="shared" ca="1" si="6"/>
        <v>0.36567875963738616</v>
      </c>
      <c r="B142" s="1">
        <f t="shared" ca="1" si="6"/>
        <v>0.42301701959558879</v>
      </c>
      <c r="C142" s="1">
        <f t="shared" ca="1" si="6"/>
        <v>0.81802202171288607</v>
      </c>
      <c r="D142">
        <f t="shared" ca="1" si="7"/>
        <v>45738</v>
      </c>
      <c r="E142">
        <f t="shared" ca="1" si="7"/>
        <v>45602</v>
      </c>
      <c r="F142" s="1">
        <f t="shared" ca="1" si="8"/>
        <v>0.26829221364236921</v>
      </c>
    </row>
    <row r="143" spans="1:6" x14ac:dyDescent="0.35">
      <c r="A143" s="1">
        <f t="shared" ca="1" si="6"/>
        <v>9.7055974104427789E-2</v>
      </c>
      <c r="B143" s="1">
        <f t="shared" ca="1" si="6"/>
        <v>0.51183754934647829</v>
      </c>
      <c r="C143" s="1">
        <f t="shared" ca="1" si="6"/>
        <v>0.37601481031881023</v>
      </c>
      <c r="D143">
        <f t="shared" ca="1" si="7"/>
        <v>45388</v>
      </c>
      <c r="E143">
        <f t="shared" ca="1" si="7"/>
        <v>45331</v>
      </c>
      <c r="F143" s="1">
        <f t="shared" ca="1" si="8"/>
        <v>0.62645499926212123</v>
      </c>
    </row>
    <row r="144" spans="1:6" x14ac:dyDescent="0.35">
      <c r="A144" s="1">
        <f t="shared" ca="1" si="6"/>
        <v>0.71277399606684888</v>
      </c>
      <c r="B144" s="1">
        <f t="shared" ca="1" si="6"/>
        <v>0.24224798848491813</v>
      </c>
      <c r="C144" s="1">
        <f t="shared" ca="1" si="6"/>
        <v>0.1668878825631348</v>
      </c>
      <c r="D144">
        <f t="shared" ca="1" si="7"/>
        <v>45541</v>
      </c>
      <c r="E144">
        <f t="shared" ca="1" si="7"/>
        <v>45425</v>
      </c>
      <c r="F144" s="1">
        <f t="shared" ca="1" si="8"/>
        <v>0.34777752234135151</v>
      </c>
    </row>
    <row r="145" spans="1:6" x14ac:dyDescent="0.35">
      <c r="A145" s="1">
        <f t="shared" ca="1" si="6"/>
        <v>0.89825719977706064</v>
      </c>
      <c r="B145" s="1">
        <f t="shared" ca="1" si="6"/>
        <v>0.64052188370154417</v>
      </c>
      <c r="C145" s="1">
        <f t="shared" ca="1" si="6"/>
        <v>0.33460472178912648</v>
      </c>
      <c r="D145">
        <f t="shared" ca="1" si="7"/>
        <v>45713</v>
      </c>
      <c r="E145">
        <f t="shared" ca="1" si="7"/>
        <v>45827</v>
      </c>
      <c r="F145" s="1">
        <f t="shared" ca="1" si="8"/>
        <v>0.45478518452918959</v>
      </c>
    </row>
    <row r="146" spans="1:6" x14ac:dyDescent="0.35">
      <c r="A146" s="1">
        <f t="shared" ca="1" si="6"/>
        <v>0.66212732752237069</v>
      </c>
      <c r="B146" s="1">
        <f t="shared" ca="1" si="6"/>
        <v>3.5315407073525651E-2</v>
      </c>
      <c r="C146" s="1">
        <f t="shared" ca="1" si="6"/>
        <v>0.30157127697028951</v>
      </c>
      <c r="D146">
        <f t="shared" ca="1" si="7"/>
        <v>45524</v>
      </c>
      <c r="E146">
        <f t="shared" ca="1" si="7"/>
        <v>45317</v>
      </c>
      <c r="F146" s="1">
        <f t="shared" ca="1" si="8"/>
        <v>0.21424240185987009</v>
      </c>
    </row>
    <row r="147" spans="1:6" x14ac:dyDescent="0.35">
      <c r="A147" s="1">
        <f t="shared" ca="1" si="6"/>
        <v>0.42533268809685465</v>
      </c>
      <c r="B147" s="1">
        <f t="shared" ca="1" si="6"/>
        <v>0.71468086148740806</v>
      </c>
      <c r="C147" s="1">
        <f t="shared" ca="1" si="6"/>
        <v>0.78584901479675984</v>
      </c>
      <c r="D147">
        <f t="shared" ca="1" si="7"/>
        <v>45614</v>
      </c>
      <c r="E147">
        <f t="shared" ca="1" si="7"/>
        <v>45411</v>
      </c>
      <c r="F147" s="1">
        <f t="shared" ca="1" si="8"/>
        <v>0.66771389904110579</v>
      </c>
    </row>
    <row r="148" spans="1:6" x14ac:dyDescent="0.35">
      <c r="A148" s="1">
        <f t="shared" ca="1" si="6"/>
        <v>7.9452590806952772E-2</v>
      </c>
      <c r="B148" s="1">
        <f t="shared" ca="1" si="6"/>
        <v>0.74023458532294983</v>
      </c>
      <c r="C148" s="1">
        <f t="shared" ca="1" si="6"/>
        <v>0.50072353872617004</v>
      </c>
      <c r="D148">
        <f t="shared" ca="1" si="7"/>
        <v>45539</v>
      </c>
      <c r="E148">
        <f t="shared" ca="1" si="7"/>
        <v>45676</v>
      </c>
      <c r="F148" s="1">
        <f t="shared" ca="1" si="8"/>
        <v>9.5145175853107444E-3</v>
      </c>
    </row>
    <row r="149" spans="1:6" x14ac:dyDescent="0.35">
      <c r="A149" s="1">
        <f t="shared" ca="1" si="6"/>
        <v>0.7334325692760072</v>
      </c>
      <c r="B149" s="1">
        <f t="shared" ca="1" si="6"/>
        <v>0.76489511990900283</v>
      </c>
      <c r="C149" s="1">
        <f t="shared" ca="1" si="6"/>
        <v>0.35920404203348721</v>
      </c>
      <c r="D149">
        <f t="shared" ca="1" si="7"/>
        <v>45693</v>
      </c>
      <c r="E149">
        <f t="shared" ca="1" si="7"/>
        <v>45787</v>
      </c>
      <c r="F149" s="1">
        <f t="shared" ca="1" si="8"/>
        <v>0.58636464371098973</v>
      </c>
    </row>
    <row r="150" spans="1:6" x14ac:dyDescent="0.35">
      <c r="A150" s="1">
        <f t="shared" ca="1" si="6"/>
        <v>0.43982853325124405</v>
      </c>
      <c r="B150" s="1">
        <f t="shared" ca="1" si="6"/>
        <v>0.14733216401367</v>
      </c>
      <c r="C150" s="1">
        <f t="shared" ca="1" si="6"/>
        <v>0.34305163770332003</v>
      </c>
      <c r="D150">
        <f t="shared" ca="1" si="7"/>
        <v>45809</v>
      </c>
      <c r="E150">
        <f t="shared" ca="1" si="7"/>
        <v>45700</v>
      </c>
      <c r="F150" s="1">
        <f t="shared" ca="1" si="8"/>
        <v>0.27728431708217471</v>
      </c>
    </row>
    <row r="151" spans="1:6" x14ac:dyDescent="0.35">
      <c r="A151" s="1">
        <f t="shared" ca="1" si="6"/>
        <v>0.84296217223904646</v>
      </c>
      <c r="B151" s="1">
        <f t="shared" ca="1" si="6"/>
        <v>0.39695178919472252</v>
      </c>
      <c r="C151" s="1">
        <f t="shared" ca="1" si="6"/>
        <v>0.51604964506349471</v>
      </c>
      <c r="D151">
        <f t="shared" ca="1" si="7"/>
        <v>45389</v>
      </c>
      <c r="E151">
        <f t="shared" ca="1" si="7"/>
        <v>45785</v>
      </c>
      <c r="F151" s="1">
        <f t="shared" ca="1" si="8"/>
        <v>0.86086124155425037</v>
      </c>
    </row>
    <row r="152" spans="1:6" x14ac:dyDescent="0.35">
      <c r="A152" s="1">
        <f t="shared" ca="1" si="6"/>
        <v>0.34099010171393285</v>
      </c>
      <c r="B152" s="1">
        <f t="shared" ca="1" si="6"/>
        <v>0.65534372624238013</v>
      </c>
      <c r="C152" s="1">
        <f t="shared" ca="1" si="6"/>
        <v>0.20425626111376238</v>
      </c>
      <c r="D152">
        <f t="shared" ca="1" si="7"/>
        <v>45306</v>
      </c>
      <c r="E152">
        <f t="shared" ca="1" si="7"/>
        <v>45434</v>
      </c>
      <c r="F152" s="1">
        <f t="shared" ca="1" si="8"/>
        <v>0.84901762327682739</v>
      </c>
    </row>
    <row r="153" spans="1:6" x14ac:dyDescent="0.35">
      <c r="A153" s="1">
        <f t="shared" ca="1" si="6"/>
        <v>0.18389368461795008</v>
      </c>
      <c r="B153" s="1">
        <f t="shared" ca="1" si="6"/>
        <v>0.11076238899819679</v>
      </c>
      <c r="C153" s="1">
        <f t="shared" ca="1" si="6"/>
        <v>0.8509120754647187</v>
      </c>
      <c r="D153">
        <f t="shared" ca="1" si="7"/>
        <v>45362</v>
      </c>
      <c r="E153">
        <f t="shared" ca="1" si="7"/>
        <v>45460</v>
      </c>
      <c r="F153" s="1">
        <f t="shared" ca="1" si="8"/>
        <v>0.28726098269668976</v>
      </c>
    </row>
    <row r="154" spans="1:6" x14ac:dyDescent="0.35">
      <c r="A154" s="1">
        <f t="shared" ca="1" si="6"/>
        <v>0.29820754812767414</v>
      </c>
      <c r="B154" s="1">
        <f t="shared" ca="1" si="6"/>
        <v>0.52023300445212994</v>
      </c>
      <c r="C154" s="1">
        <f t="shared" ca="1" si="6"/>
        <v>6.1142982060807038E-2</v>
      </c>
      <c r="D154">
        <f t="shared" ca="1" si="7"/>
        <v>45422</v>
      </c>
      <c r="E154">
        <f t="shared" ca="1" si="7"/>
        <v>45650</v>
      </c>
      <c r="F154" s="1">
        <f t="shared" ca="1" si="8"/>
        <v>0.18162173922531333</v>
      </c>
    </row>
    <row r="155" spans="1:6" x14ac:dyDescent="0.35">
      <c r="A155" s="1">
        <f t="shared" ca="1" si="6"/>
        <v>0.83102536388250736</v>
      </c>
      <c r="B155" s="1">
        <f t="shared" ca="1" si="6"/>
        <v>0.38826718015967354</v>
      </c>
      <c r="C155" s="1">
        <f t="shared" ca="1" si="6"/>
        <v>0.38265843072060124</v>
      </c>
      <c r="D155">
        <f t="shared" ca="1" si="7"/>
        <v>45837</v>
      </c>
      <c r="E155">
        <f t="shared" ca="1" si="7"/>
        <v>45585</v>
      </c>
      <c r="F155" s="1">
        <f t="shared" ca="1" si="8"/>
        <v>0.61567724100760235</v>
      </c>
    </row>
    <row r="156" spans="1:6" x14ac:dyDescent="0.35">
      <c r="A156" s="1">
        <f t="shared" ca="1" si="6"/>
        <v>0.44741025155562453</v>
      </c>
      <c r="B156" s="1">
        <f t="shared" ca="1" si="6"/>
        <v>0.52042713569715837</v>
      </c>
      <c r="C156" s="1">
        <f t="shared" ca="1" si="6"/>
        <v>0.59048881268281039</v>
      </c>
      <c r="D156">
        <f t="shared" ca="1" si="7"/>
        <v>45657</v>
      </c>
      <c r="E156">
        <f t="shared" ca="1" si="7"/>
        <v>45356</v>
      </c>
      <c r="F156" s="1">
        <f t="shared" ca="1" si="8"/>
        <v>0.24477077066423814</v>
      </c>
    </row>
    <row r="157" spans="1:6" x14ac:dyDescent="0.35">
      <c r="A157" s="1">
        <f t="shared" ca="1" si="6"/>
        <v>0.34376811515499428</v>
      </c>
      <c r="B157" s="1">
        <f t="shared" ca="1" si="6"/>
        <v>0.90780109255620178</v>
      </c>
      <c r="C157" s="1">
        <f t="shared" ca="1" si="6"/>
        <v>3.8023498144079904E-2</v>
      </c>
      <c r="D157">
        <f t="shared" ca="1" si="7"/>
        <v>45455</v>
      </c>
      <c r="E157">
        <f t="shared" ca="1" si="7"/>
        <v>45726</v>
      </c>
      <c r="F157" s="1">
        <f t="shared" ca="1" si="8"/>
        <v>0.34444393191111877</v>
      </c>
    </row>
    <row r="158" spans="1:6" x14ac:dyDescent="0.35">
      <c r="A158" s="1">
        <f t="shared" ca="1" si="6"/>
        <v>0.44220835524590885</v>
      </c>
      <c r="B158" s="1">
        <f t="shared" ca="1" si="6"/>
        <v>0.90555104844220102</v>
      </c>
      <c r="C158" s="1">
        <f t="shared" ca="1" si="6"/>
        <v>0.82945511789168558</v>
      </c>
      <c r="D158">
        <f t="shared" ca="1" si="7"/>
        <v>45407</v>
      </c>
      <c r="E158">
        <f t="shared" ca="1" si="7"/>
        <v>45381</v>
      </c>
      <c r="F158" s="1">
        <f t="shared" ca="1" si="8"/>
        <v>0.39523521422306784</v>
      </c>
    </row>
    <row r="159" spans="1:6" x14ac:dyDescent="0.35">
      <c r="A159" s="1">
        <f t="shared" ca="1" si="6"/>
        <v>0.37016103669547673</v>
      </c>
      <c r="B159" s="1">
        <f t="shared" ca="1" si="6"/>
        <v>8.9705937428829707E-2</v>
      </c>
      <c r="C159" s="1">
        <f t="shared" ca="1" si="6"/>
        <v>0.92826928058771307</v>
      </c>
      <c r="D159">
        <f t="shared" ca="1" si="7"/>
        <v>45494</v>
      </c>
      <c r="E159">
        <f t="shared" ca="1" si="7"/>
        <v>45613</v>
      </c>
      <c r="F159" s="1">
        <f t="shared" ca="1" si="8"/>
        <v>0.3481001832606837</v>
      </c>
    </row>
    <row r="160" spans="1:6" x14ac:dyDescent="0.35">
      <c r="A160" s="1">
        <f t="shared" ca="1" si="6"/>
        <v>0.85373159703325652</v>
      </c>
      <c r="B160" s="1">
        <f t="shared" ca="1" si="6"/>
        <v>0.58248717179557907</v>
      </c>
      <c r="C160" s="1">
        <f t="shared" ca="1" si="6"/>
        <v>6.5676311606631677E-3</v>
      </c>
      <c r="D160">
        <f t="shared" ca="1" si="7"/>
        <v>45763</v>
      </c>
      <c r="E160">
        <f t="shared" ca="1" si="7"/>
        <v>45321</v>
      </c>
      <c r="F160" s="1">
        <f t="shared" ca="1" si="8"/>
        <v>0.3349927592381855</v>
      </c>
    </row>
    <row r="161" spans="1:6" x14ac:dyDescent="0.35">
      <c r="A161" s="1">
        <f t="shared" ca="1" si="6"/>
        <v>0.55899210246279629</v>
      </c>
      <c r="B161" s="1">
        <f t="shared" ca="1" si="6"/>
        <v>0.25323486980808485</v>
      </c>
      <c r="C161" s="1">
        <f t="shared" ca="1" si="6"/>
        <v>0.6615547137754052</v>
      </c>
      <c r="D161">
        <f t="shared" ca="1" si="7"/>
        <v>45375</v>
      </c>
      <c r="E161">
        <f t="shared" ca="1" si="7"/>
        <v>45581</v>
      </c>
      <c r="F161" s="1">
        <f t="shared" ca="1" si="8"/>
        <v>0.16092294057592571</v>
      </c>
    </row>
    <row r="162" spans="1:6" x14ac:dyDescent="0.35">
      <c r="A162" s="1">
        <f t="shared" ca="1" si="6"/>
        <v>0.82210291317277462</v>
      </c>
      <c r="B162" s="1">
        <f t="shared" ca="1" si="6"/>
        <v>0.62926727732484511</v>
      </c>
      <c r="C162" s="1">
        <f t="shared" ca="1" si="6"/>
        <v>0.33031354206744734</v>
      </c>
      <c r="D162">
        <f t="shared" ca="1" si="7"/>
        <v>45665</v>
      </c>
      <c r="E162">
        <f t="shared" ca="1" si="7"/>
        <v>45725</v>
      </c>
      <c r="F162" s="1">
        <f t="shared" ca="1" si="8"/>
        <v>0.90610794564126329</v>
      </c>
    </row>
    <row r="163" spans="1:6" x14ac:dyDescent="0.35">
      <c r="A163" s="1">
        <f t="shared" ca="1" si="6"/>
        <v>0.16377408015229078</v>
      </c>
      <c r="B163" s="1">
        <f t="shared" ca="1" si="6"/>
        <v>0.12383634522255393</v>
      </c>
      <c r="C163" s="1">
        <f t="shared" ca="1" si="6"/>
        <v>0.57998051663789141</v>
      </c>
      <c r="D163">
        <f t="shared" ca="1" si="7"/>
        <v>45819</v>
      </c>
      <c r="E163">
        <f t="shared" ca="1" si="7"/>
        <v>45598</v>
      </c>
      <c r="F163" s="1">
        <f t="shared" ca="1" si="8"/>
        <v>0.14467820895915318</v>
      </c>
    </row>
    <row r="164" spans="1:6" x14ac:dyDescent="0.35">
      <c r="A164" s="1">
        <f t="shared" ca="1" si="6"/>
        <v>0.3762636688872506</v>
      </c>
      <c r="B164" s="1">
        <f t="shared" ca="1" si="6"/>
        <v>0.58071708557678936</v>
      </c>
      <c r="C164" s="1">
        <f t="shared" ca="1" si="6"/>
        <v>0.66803605913372732</v>
      </c>
      <c r="D164">
        <f t="shared" ca="1" si="7"/>
        <v>45755</v>
      </c>
      <c r="E164">
        <f t="shared" ca="1" si="7"/>
        <v>45533</v>
      </c>
      <c r="F164" s="1">
        <f t="shared" ca="1" si="8"/>
        <v>0.44387609351229218</v>
      </c>
    </row>
    <row r="165" spans="1:6" x14ac:dyDescent="0.35">
      <c r="A165" s="1">
        <f t="shared" ca="1" si="6"/>
        <v>0.90796390483914657</v>
      </c>
      <c r="B165" s="1">
        <f t="shared" ca="1" si="6"/>
        <v>0.80017229709218796</v>
      </c>
      <c r="C165" s="1">
        <f t="shared" ca="1" si="6"/>
        <v>0.48084430370529629</v>
      </c>
      <c r="D165">
        <f t="shared" ca="1" si="7"/>
        <v>45580</v>
      </c>
      <c r="E165">
        <f t="shared" ca="1" si="7"/>
        <v>45349</v>
      </c>
      <c r="F165" s="1">
        <f t="shared" ca="1" si="8"/>
        <v>0.48708872923383628</v>
      </c>
    </row>
    <row r="166" spans="1:6" x14ac:dyDescent="0.35">
      <c r="A166" s="1">
        <f t="shared" ca="1" si="6"/>
        <v>0.61351568396385059</v>
      </c>
      <c r="B166" s="1">
        <f t="shared" ca="1" si="6"/>
        <v>0.44732310716564483</v>
      </c>
      <c r="C166" s="1">
        <f t="shared" ca="1" si="6"/>
        <v>0.5892352598186249</v>
      </c>
      <c r="D166">
        <f t="shared" ca="1" si="7"/>
        <v>45349</v>
      </c>
      <c r="E166">
        <f t="shared" ca="1" si="7"/>
        <v>45803</v>
      </c>
      <c r="F166" s="1">
        <f t="shared" ca="1" si="8"/>
        <v>0.7690424804322108</v>
      </c>
    </row>
    <row r="167" spans="1:6" x14ac:dyDescent="0.35">
      <c r="A167" s="1">
        <f t="shared" ca="1" si="6"/>
        <v>0.99878223965973967</v>
      </c>
      <c r="B167" s="1">
        <f t="shared" ca="1" si="6"/>
        <v>0.8432996832884373</v>
      </c>
      <c r="C167" s="1">
        <f t="shared" ca="1" si="6"/>
        <v>0.98810513897382801</v>
      </c>
      <c r="D167">
        <f t="shared" ca="1" si="7"/>
        <v>45426</v>
      </c>
      <c r="E167">
        <f t="shared" ca="1" si="7"/>
        <v>45566</v>
      </c>
      <c r="F167" s="1">
        <f t="shared" ca="1" si="8"/>
        <v>0.55654197866218891</v>
      </c>
    </row>
    <row r="168" spans="1:6" x14ac:dyDescent="0.35">
      <c r="A168" s="1">
        <f t="shared" ca="1" si="6"/>
        <v>0.79036132930675074</v>
      </c>
      <c r="B168" s="1">
        <f t="shared" ca="1" si="6"/>
        <v>0.28308852441770815</v>
      </c>
      <c r="C168" s="1">
        <f t="shared" ca="1" si="6"/>
        <v>0.5250593269125583</v>
      </c>
      <c r="D168">
        <f t="shared" ca="1" si="7"/>
        <v>45680</v>
      </c>
      <c r="E168">
        <f t="shared" ca="1" si="7"/>
        <v>45746</v>
      </c>
      <c r="F168" s="1">
        <f t="shared" ca="1" si="8"/>
        <v>0.43133580135961214</v>
      </c>
    </row>
    <row r="169" spans="1:6" x14ac:dyDescent="0.35">
      <c r="A169" s="1">
        <f t="shared" ca="1" si="6"/>
        <v>7.8299726473993969E-2</v>
      </c>
      <c r="B169" s="1">
        <f t="shared" ca="1" si="6"/>
        <v>0.59416897681214531</v>
      </c>
      <c r="C169" s="1">
        <f t="shared" ca="1" si="6"/>
        <v>9.2198608565082552E-2</v>
      </c>
      <c r="D169">
        <f t="shared" ca="1" si="7"/>
        <v>45454</v>
      </c>
      <c r="E169">
        <f t="shared" ca="1" si="7"/>
        <v>45474</v>
      </c>
      <c r="F169" s="1">
        <f t="shared" ca="1" si="8"/>
        <v>0.8308174622650476</v>
      </c>
    </row>
    <row r="170" spans="1:6" x14ac:dyDescent="0.35">
      <c r="A170" s="1">
        <f t="shared" ca="1" si="6"/>
        <v>0.42073089053629142</v>
      </c>
      <c r="B170" s="1">
        <f t="shared" ca="1" si="6"/>
        <v>0.68944280503785982</v>
      </c>
      <c r="C170" s="1">
        <f t="shared" ca="1" si="6"/>
        <v>0.98510440975712676</v>
      </c>
      <c r="D170">
        <f t="shared" ca="1" si="7"/>
        <v>45795</v>
      </c>
      <c r="E170">
        <f t="shared" ca="1" si="7"/>
        <v>45562</v>
      </c>
      <c r="F170" s="1">
        <f t="shared" ca="1" si="8"/>
        <v>0.61144483159598351</v>
      </c>
    </row>
    <row r="171" spans="1:6" x14ac:dyDescent="0.35">
      <c r="A171" s="1">
        <f t="shared" ca="1" si="6"/>
        <v>0.61000983677047815</v>
      </c>
      <c r="B171" s="1">
        <f t="shared" ca="1" si="6"/>
        <v>0.25163236706153991</v>
      </c>
      <c r="C171" s="1">
        <f t="shared" ca="1" si="6"/>
        <v>2.542262225215397E-2</v>
      </c>
      <c r="D171">
        <f t="shared" ca="1" si="7"/>
        <v>45787</v>
      </c>
      <c r="E171">
        <f t="shared" ca="1" si="7"/>
        <v>45611</v>
      </c>
      <c r="F171" s="1">
        <f t="shared" ca="1" si="8"/>
        <v>0.62582086936396608</v>
      </c>
    </row>
    <row r="172" spans="1:6" x14ac:dyDescent="0.35">
      <c r="A172" s="1">
        <f t="shared" ca="1" si="6"/>
        <v>0.23789363188625268</v>
      </c>
      <c r="B172" s="1">
        <f t="shared" ca="1" si="6"/>
        <v>0.27771790971664378</v>
      </c>
      <c r="C172" s="1">
        <f t="shared" ca="1" si="6"/>
        <v>0.12298514345896983</v>
      </c>
      <c r="D172">
        <f t="shared" ca="1" si="7"/>
        <v>45585</v>
      </c>
      <c r="E172">
        <f t="shared" ca="1" si="7"/>
        <v>45491</v>
      </c>
      <c r="F172" s="1">
        <f t="shared" ca="1" si="8"/>
        <v>0.49546563409744149</v>
      </c>
    </row>
    <row r="173" spans="1:6" x14ac:dyDescent="0.35">
      <c r="A173" s="1">
        <f t="shared" ca="1" si="6"/>
        <v>0.65746944480214398</v>
      </c>
      <c r="B173" s="1">
        <f t="shared" ca="1" si="6"/>
        <v>0.33576780326777578</v>
      </c>
      <c r="C173" s="1">
        <f t="shared" ca="1" si="6"/>
        <v>0.82087065013638605</v>
      </c>
      <c r="D173">
        <f t="shared" ca="1" si="7"/>
        <v>45608</v>
      </c>
      <c r="E173">
        <f t="shared" ca="1" si="7"/>
        <v>45438</v>
      </c>
      <c r="F173" s="1">
        <f t="shared" ca="1" si="8"/>
        <v>0.62614583947316715</v>
      </c>
    </row>
    <row r="174" spans="1:6" x14ac:dyDescent="0.35">
      <c r="A174" s="1">
        <f t="shared" ca="1" si="6"/>
        <v>0.14831353309307038</v>
      </c>
      <c r="B174" s="1">
        <f t="shared" ca="1" si="6"/>
        <v>0.9323965526221869</v>
      </c>
      <c r="C174" s="1">
        <f t="shared" ca="1" si="6"/>
        <v>0.58737278173296437</v>
      </c>
      <c r="D174">
        <f t="shared" ca="1" si="7"/>
        <v>45545</v>
      </c>
      <c r="E174">
        <f t="shared" ca="1" si="7"/>
        <v>45471</v>
      </c>
      <c r="F174" s="1">
        <f t="shared" ca="1" si="8"/>
        <v>0.46654096072835272</v>
      </c>
    </row>
    <row r="175" spans="1:6" x14ac:dyDescent="0.35">
      <c r="A175" s="1">
        <f t="shared" ca="1" si="6"/>
        <v>0.77299264982958271</v>
      </c>
      <c r="B175" s="1">
        <f t="shared" ca="1" si="6"/>
        <v>0.74716866844570151</v>
      </c>
      <c r="C175" s="1">
        <f t="shared" ca="1" si="6"/>
        <v>0.53391472145753871</v>
      </c>
      <c r="D175">
        <f t="shared" ca="1" si="7"/>
        <v>45564</v>
      </c>
      <c r="E175">
        <f t="shared" ca="1" si="7"/>
        <v>45809</v>
      </c>
      <c r="F175" s="1">
        <f t="shared" ca="1" si="8"/>
        <v>0.13931688583454827</v>
      </c>
    </row>
    <row r="176" spans="1:6" x14ac:dyDescent="0.35">
      <c r="A176" s="1">
        <f t="shared" ca="1" si="6"/>
        <v>0.67326206076436734</v>
      </c>
      <c r="B176" s="1">
        <f t="shared" ca="1" si="6"/>
        <v>0.28261142876120704</v>
      </c>
      <c r="C176" s="1">
        <f t="shared" ca="1" si="6"/>
        <v>0.423766782991574</v>
      </c>
      <c r="D176">
        <f t="shared" ca="1" si="7"/>
        <v>45702</v>
      </c>
      <c r="E176">
        <f t="shared" ca="1" si="7"/>
        <v>45536</v>
      </c>
      <c r="F176" s="1">
        <f t="shared" ca="1" si="8"/>
        <v>4.3259414180208067E-2</v>
      </c>
    </row>
    <row r="177" spans="1:6" x14ac:dyDescent="0.35">
      <c r="A177" s="1">
        <f t="shared" ca="1" si="6"/>
        <v>0.98930546298762811</v>
      </c>
      <c r="B177" s="1">
        <f t="shared" ca="1" si="6"/>
        <v>0.71316374198479104</v>
      </c>
      <c r="C177" s="1">
        <f t="shared" ca="1" si="6"/>
        <v>0.31460240885306101</v>
      </c>
      <c r="D177">
        <f t="shared" ca="1" si="7"/>
        <v>45715</v>
      </c>
      <c r="E177">
        <f t="shared" ca="1" si="7"/>
        <v>45726</v>
      </c>
      <c r="F177" s="1">
        <f t="shared" ca="1" si="8"/>
        <v>0.21608407462685086</v>
      </c>
    </row>
    <row r="178" spans="1:6" x14ac:dyDescent="0.35">
      <c r="A178" s="1">
        <f t="shared" ca="1" si="6"/>
        <v>2.3516779784453545E-2</v>
      </c>
      <c r="B178" s="1">
        <f t="shared" ca="1" si="6"/>
        <v>5.3197404727052255E-2</v>
      </c>
      <c r="C178" s="1">
        <f t="shared" ca="1" si="6"/>
        <v>0.44820283137014227</v>
      </c>
      <c r="D178">
        <f t="shared" ca="1" si="7"/>
        <v>45556</v>
      </c>
      <c r="E178">
        <f t="shared" ca="1" si="7"/>
        <v>45628</v>
      </c>
      <c r="F178" s="1">
        <f t="shared" ca="1" si="8"/>
        <v>0.4954753703109207</v>
      </c>
    </row>
    <row r="179" spans="1:6" x14ac:dyDescent="0.35">
      <c r="A179" s="1">
        <f t="shared" ca="1" si="6"/>
        <v>0.39772096582666527</v>
      </c>
      <c r="B179" s="1">
        <f t="shared" ca="1" si="6"/>
        <v>0.39470642324495964</v>
      </c>
      <c r="C179" s="1">
        <f t="shared" ca="1" si="6"/>
        <v>0.42902845860665761</v>
      </c>
      <c r="D179">
        <f t="shared" ca="1" si="7"/>
        <v>45648</v>
      </c>
      <c r="E179">
        <f t="shared" ca="1" si="7"/>
        <v>45295</v>
      </c>
      <c r="F179" s="1">
        <f t="shared" ca="1" si="8"/>
        <v>0.16885034888781336</v>
      </c>
    </row>
    <row r="180" spans="1:6" x14ac:dyDescent="0.35">
      <c r="A180" s="1">
        <f t="shared" ca="1" si="6"/>
        <v>0.18447730795767703</v>
      </c>
      <c r="B180" s="1">
        <f t="shared" ca="1" si="6"/>
        <v>0.56630479637108411</v>
      </c>
      <c r="C180" s="1">
        <f t="shared" ca="1" si="6"/>
        <v>0.29148026667103877</v>
      </c>
      <c r="D180">
        <f t="shared" ca="1" si="7"/>
        <v>45681</v>
      </c>
      <c r="E180">
        <f t="shared" ca="1" si="7"/>
        <v>45463</v>
      </c>
      <c r="F180" s="1">
        <f t="shared" ca="1" si="8"/>
        <v>0.81041175704389468</v>
      </c>
    </row>
    <row r="181" spans="1:6" x14ac:dyDescent="0.35">
      <c r="A181" s="1">
        <f t="shared" ca="1" si="6"/>
        <v>0.88570077139498937</v>
      </c>
      <c r="B181" s="1">
        <f t="shared" ca="1" si="6"/>
        <v>0.31077436011135429</v>
      </c>
      <c r="C181" s="1">
        <f t="shared" ca="1" si="6"/>
        <v>0.52497065557644029</v>
      </c>
      <c r="D181">
        <f t="shared" ca="1" si="7"/>
        <v>45378</v>
      </c>
      <c r="E181">
        <f t="shared" ca="1" si="7"/>
        <v>45796</v>
      </c>
      <c r="F181" s="1">
        <f t="shared" ca="1" si="8"/>
        <v>0.34794307891064069</v>
      </c>
    </row>
    <row r="182" spans="1:6" x14ac:dyDescent="0.35">
      <c r="A182" s="1">
        <f t="shared" ca="1" si="6"/>
        <v>0.82981381953820887</v>
      </c>
      <c r="B182" s="1">
        <f t="shared" ca="1" si="6"/>
        <v>0.67696322224595507</v>
      </c>
      <c r="C182" s="1">
        <f t="shared" ca="1" si="6"/>
        <v>0.18247736484079291</v>
      </c>
      <c r="D182">
        <f t="shared" ca="1" si="7"/>
        <v>45669</v>
      </c>
      <c r="E182">
        <f t="shared" ca="1" si="7"/>
        <v>45776</v>
      </c>
      <c r="F182" s="1">
        <f t="shared" ca="1" si="8"/>
        <v>0.22370859724971692</v>
      </c>
    </row>
    <row r="183" spans="1:6" x14ac:dyDescent="0.35">
      <c r="A183" s="1">
        <f t="shared" ca="1" si="6"/>
        <v>0.41269850390952001</v>
      </c>
      <c r="B183" s="1">
        <f t="shared" ca="1" si="6"/>
        <v>0.48775475058438944</v>
      </c>
      <c r="C183" s="1">
        <f t="shared" ca="1" si="6"/>
        <v>1.9446983932755568E-2</v>
      </c>
      <c r="D183">
        <f t="shared" ca="1" si="7"/>
        <v>45361</v>
      </c>
      <c r="E183">
        <f t="shared" ca="1" si="7"/>
        <v>45831</v>
      </c>
      <c r="F183" s="1">
        <f t="shared" ca="1" si="8"/>
        <v>0.91918100939849978</v>
      </c>
    </row>
    <row r="184" spans="1:6" x14ac:dyDescent="0.35">
      <c r="A184" s="1">
        <f t="shared" ca="1" si="6"/>
        <v>0.22411035004233537</v>
      </c>
      <c r="B184" s="1">
        <f t="shared" ca="1" si="6"/>
        <v>0.20603615630723493</v>
      </c>
      <c r="C184" s="1">
        <f t="shared" ca="1" si="6"/>
        <v>0.92177447485388952</v>
      </c>
      <c r="D184">
        <f t="shared" ca="1" si="7"/>
        <v>45522</v>
      </c>
      <c r="E184">
        <f t="shared" ca="1" si="7"/>
        <v>45507</v>
      </c>
      <c r="F184" s="1">
        <f t="shared" ca="1" si="8"/>
        <v>3.4105941397498674E-3</v>
      </c>
    </row>
    <row r="185" spans="1:6" x14ac:dyDescent="0.35">
      <c r="A185" s="1">
        <f t="shared" ca="1" si="6"/>
        <v>0.70565152633510841</v>
      </c>
      <c r="B185" s="1">
        <f t="shared" ca="1" si="6"/>
        <v>3.2354693851057714E-2</v>
      </c>
      <c r="C185" s="1">
        <f t="shared" ca="1" si="6"/>
        <v>0.87563982274068475</v>
      </c>
      <c r="D185">
        <f t="shared" ca="1" si="7"/>
        <v>45777</v>
      </c>
      <c r="E185">
        <f t="shared" ca="1" si="7"/>
        <v>45477</v>
      </c>
      <c r="F185" s="1">
        <f t="shared" ca="1" si="8"/>
        <v>0.64129948418526617</v>
      </c>
    </row>
    <row r="186" spans="1:6" x14ac:dyDescent="0.35">
      <c r="A186" s="1">
        <f t="shared" ca="1" si="6"/>
        <v>0.70672009254518808</v>
      </c>
      <c r="B186" s="1">
        <f t="shared" ca="1" si="6"/>
        <v>0.91736171588010251</v>
      </c>
      <c r="C186" s="1">
        <f t="shared" ca="1" si="6"/>
        <v>0.98021391167126837</v>
      </c>
      <c r="D186">
        <f t="shared" ca="1" si="7"/>
        <v>45823</v>
      </c>
      <c r="E186">
        <f t="shared" ca="1" si="7"/>
        <v>45445</v>
      </c>
      <c r="F186" s="1">
        <f t="shared" ca="1" si="8"/>
        <v>8.9808578165072483E-2</v>
      </c>
    </row>
    <row r="187" spans="1:6" x14ac:dyDescent="0.35">
      <c r="A187" s="1">
        <f t="shared" ca="1" si="6"/>
        <v>0.2737912082327475</v>
      </c>
      <c r="B187" s="1">
        <f t="shared" ca="1" si="6"/>
        <v>0.99999782614556298</v>
      </c>
      <c r="C187" s="1">
        <f t="shared" ca="1" si="6"/>
        <v>0.19087349188926683</v>
      </c>
      <c r="D187">
        <f t="shared" ca="1" si="7"/>
        <v>45388</v>
      </c>
      <c r="E187">
        <f t="shared" ca="1" si="7"/>
        <v>45302</v>
      </c>
      <c r="F187" s="1">
        <f t="shared" ca="1" si="8"/>
        <v>0.21632794138422495</v>
      </c>
    </row>
    <row r="188" spans="1:6" x14ac:dyDescent="0.35">
      <c r="A188" s="1">
        <f t="shared" ca="1" si="6"/>
        <v>0.63149771082574924</v>
      </c>
      <c r="B188" s="1">
        <f t="shared" ca="1" si="6"/>
        <v>0.99177237225194392</v>
      </c>
      <c r="C188" s="1">
        <f t="shared" ca="1" si="6"/>
        <v>0.3892967945605349</v>
      </c>
      <c r="D188">
        <f t="shared" ca="1" si="7"/>
        <v>45597</v>
      </c>
      <c r="E188">
        <f t="shared" ca="1" si="7"/>
        <v>45408</v>
      </c>
      <c r="F188" s="1">
        <f t="shared" ca="1" si="8"/>
        <v>0.46769762824134831</v>
      </c>
    </row>
    <row r="189" spans="1:6" x14ac:dyDescent="0.35">
      <c r="A189" s="1">
        <f t="shared" ca="1" si="6"/>
        <v>0.2847659111071128</v>
      </c>
      <c r="B189" s="1">
        <f t="shared" ca="1" si="6"/>
        <v>0.21903596432453898</v>
      </c>
      <c r="C189" s="1">
        <f t="shared" ca="1" si="6"/>
        <v>0.55810781920830066</v>
      </c>
      <c r="D189">
        <f t="shared" ca="1" si="7"/>
        <v>45543</v>
      </c>
      <c r="E189">
        <f t="shared" ca="1" si="7"/>
        <v>45512</v>
      </c>
      <c r="F189" s="1">
        <f t="shared" ca="1" si="8"/>
        <v>0.11696052661961454</v>
      </c>
    </row>
    <row r="190" spans="1:6" x14ac:dyDescent="0.35">
      <c r="A190" s="1">
        <f t="shared" ca="1" si="6"/>
        <v>0.79277599452759584</v>
      </c>
      <c r="B190" s="1">
        <f t="shared" ca="1" si="6"/>
        <v>0.60366351396994711</v>
      </c>
      <c r="C190" s="1">
        <f t="shared" ca="1" si="6"/>
        <v>0.18506286012781803</v>
      </c>
      <c r="D190">
        <f t="shared" ca="1" si="7"/>
        <v>45538</v>
      </c>
      <c r="E190">
        <f t="shared" ca="1" si="7"/>
        <v>45727</v>
      </c>
      <c r="F190" s="1">
        <f t="shared" ca="1" si="8"/>
        <v>6.0424105790276794E-2</v>
      </c>
    </row>
    <row r="191" spans="1:6" x14ac:dyDescent="0.35">
      <c r="A191" s="1">
        <f t="shared" ca="1" si="6"/>
        <v>0.23414008941196518</v>
      </c>
      <c r="B191" s="1">
        <f t="shared" ca="1" si="6"/>
        <v>0.29447504290646931</v>
      </c>
      <c r="C191" s="1">
        <f t="shared" ca="1" si="6"/>
        <v>3.1319968335300485E-2</v>
      </c>
      <c r="D191">
        <f t="shared" ca="1" si="7"/>
        <v>45558</v>
      </c>
      <c r="E191">
        <f t="shared" ca="1" si="7"/>
        <v>45755</v>
      </c>
      <c r="F191" s="1">
        <f t="shared" ca="1" si="8"/>
        <v>8.9611444141121654E-2</v>
      </c>
    </row>
    <row r="192" spans="1:6" x14ac:dyDescent="0.35">
      <c r="A192" s="1">
        <f t="shared" ca="1" si="6"/>
        <v>6.4663601740840404E-2</v>
      </c>
      <c r="B192" s="1">
        <f t="shared" ca="1" si="6"/>
        <v>0.98996732166818258</v>
      </c>
      <c r="C192" s="1">
        <f t="shared" ca="1" si="6"/>
        <v>0.86125936989990615</v>
      </c>
      <c r="D192">
        <f t="shared" ca="1" si="7"/>
        <v>45382</v>
      </c>
      <c r="E192">
        <f t="shared" ca="1" si="7"/>
        <v>45443</v>
      </c>
      <c r="F192" s="1">
        <f t="shared" ca="1" si="8"/>
        <v>0.87353487264508645</v>
      </c>
    </row>
    <row r="193" spans="1:6" x14ac:dyDescent="0.35">
      <c r="A193" s="1">
        <f t="shared" ca="1" si="6"/>
        <v>0.24702715017365062</v>
      </c>
      <c r="B193" s="1">
        <f t="shared" ca="1" si="6"/>
        <v>9.1710272107659696E-2</v>
      </c>
      <c r="C193" s="1">
        <f t="shared" ca="1" si="6"/>
        <v>0.99787489261495799</v>
      </c>
      <c r="D193">
        <f t="shared" ca="1" si="7"/>
        <v>45440</v>
      </c>
      <c r="E193">
        <f t="shared" ca="1" si="7"/>
        <v>45692</v>
      </c>
      <c r="F193" s="1">
        <f t="shared" ca="1" si="8"/>
        <v>0.56477760175647929</v>
      </c>
    </row>
    <row r="194" spans="1:6" x14ac:dyDescent="0.35">
      <c r="A194" s="1">
        <f t="shared" ca="1" si="6"/>
        <v>0.31015456005586939</v>
      </c>
      <c r="B194" s="1">
        <f t="shared" ca="1" si="6"/>
        <v>0.50610823075637312</v>
      </c>
      <c r="C194" s="1">
        <f t="shared" ca="1" si="6"/>
        <v>0.58754288065300286</v>
      </c>
      <c r="D194">
        <f t="shared" ca="1" si="7"/>
        <v>45355</v>
      </c>
      <c r="E194">
        <f t="shared" ca="1" si="7"/>
        <v>45483</v>
      </c>
      <c r="F194" s="1">
        <f t="shared" ca="1" si="8"/>
        <v>0.13280266506953498</v>
      </c>
    </row>
    <row r="195" spans="1:6" x14ac:dyDescent="0.35">
      <c r="A195" s="1">
        <f t="shared" ref="A195:C258" ca="1" si="9">RAND()</f>
        <v>0.4301371805345674</v>
      </c>
      <c r="B195" s="1">
        <f t="shared" ca="1" si="9"/>
        <v>0.38161518136494066</v>
      </c>
      <c r="C195" s="1">
        <f t="shared" ca="1" si="9"/>
        <v>0.32832863340929153</v>
      </c>
      <c r="D195">
        <f t="shared" ref="D195:E258" ca="1" si="10">RANDBETWEEN(45292,45838)</f>
        <v>45511</v>
      </c>
      <c r="E195">
        <f t="shared" ca="1" si="10"/>
        <v>45689</v>
      </c>
      <c r="F195" s="1">
        <f t="shared" ref="F195:F258" ca="1" si="11">RAND()</f>
        <v>0.19016069096283872</v>
      </c>
    </row>
    <row r="196" spans="1:6" x14ac:dyDescent="0.35">
      <c r="A196" s="1">
        <f t="shared" ca="1" si="9"/>
        <v>0.58734229163855833</v>
      </c>
      <c r="B196" s="1">
        <f t="shared" ca="1" si="9"/>
        <v>6.5783183804332679E-2</v>
      </c>
      <c r="C196" s="1">
        <f t="shared" ca="1" si="9"/>
        <v>0.47208337636941311</v>
      </c>
      <c r="D196">
        <f t="shared" ca="1" si="10"/>
        <v>45601</v>
      </c>
      <c r="E196">
        <f t="shared" ca="1" si="10"/>
        <v>45628</v>
      </c>
      <c r="F196" s="1">
        <f t="shared" ca="1" si="11"/>
        <v>0.1648695276072919</v>
      </c>
    </row>
    <row r="197" spans="1:6" x14ac:dyDescent="0.35">
      <c r="A197" s="1">
        <f t="shared" ca="1" si="9"/>
        <v>0.65854547489750936</v>
      </c>
      <c r="B197" s="1">
        <f t="shared" ca="1" si="9"/>
        <v>0.53489733142832685</v>
      </c>
      <c r="C197" s="1">
        <f t="shared" ca="1" si="9"/>
        <v>0.24131877990459627</v>
      </c>
      <c r="D197">
        <f t="shared" ca="1" si="10"/>
        <v>45771</v>
      </c>
      <c r="E197">
        <f t="shared" ca="1" si="10"/>
        <v>45639</v>
      </c>
      <c r="F197" s="1">
        <f t="shared" ca="1" si="11"/>
        <v>0.83794177984380425</v>
      </c>
    </row>
    <row r="198" spans="1:6" x14ac:dyDescent="0.35">
      <c r="A198" s="1">
        <f t="shared" ca="1" si="9"/>
        <v>0.40151993473552283</v>
      </c>
      <c r="B198" s="1">
        <f t="shared" ca="1" si="9"/>
        <v>0.629777420960423</v>
      </c>
      <c r="C198" s="1">
        <f t="shared" ca="1" si="9"/>
        <v>0.51082404378234059</v>
      </c>
      <c r="D198">
        <f t="shared" ca="1" si="10"/>
        <v>45472</v>
      </c>
      <c r="E198">
        <f t="shared" ca="1" si="10"/>
        <v>45763</v>
      </c>
      <c r="F198" s="1">
        <f t="shared" ca="1" si="11"/>
        <v>0.36581025373471499</v>
      </c>
    </row>
    <row r="199" spans="1:6" x14ac:dyDescent="0.35">
      <c r="A199" s="1">
        <f t="shared" ca="1" si="9"/>
        <v>0.11631713628475504</v>
      </c>
      <c r="B199" s="1">
        <f t="shared" ca="1" si="9"/>
        <v>0.46792787374719336</v>
      </c>
      <c r="C199" s="1">
        <f t="shared" ca="1" si="9"/>
        <v>0.68058541804094752</v>
      </c>
      <c r="D199">
        <f t="shared" ca="1" si="10"/>
        <v>45811</v>
      </c>
      <c r="E199">
        <f t="shared" ca="1" si="10"/>
        <v>45709</v>
      </c>
      <c r="F199" s="1">
        <f t="shared" ca="1" si="11"/>
        <v>0.11607571611184186</v>
      </c>
    </row>
    <row r="200" spans="1:6" x14ac:dyDescent="0.35">
      <c r="A200" s="1">
        <f t="shared" ca="1" si="9"/>
        <v>0.54013839672537056</v>
      </c>
      <c r="B200" s="1">
        <f t="shared" ca="1" si="9"/>
        <v>0.3981547541307956</v>
      </c>
      <c r="C200" s="1">
        <f t="shared" ca="1" si="9"/>
        <v>4.5111398402100544E-2</v>
      </c>
      <c r="D200">
        <f t="shared" ca="1" si="10"/>
        <v>45340</v>
      </c>
      <c r="E200">
        <f t="shared" ca="1" si="10"/>
        <v>45734</v>
      </c>
      <c r="F200" s="1">
        <f t="shared" ca="1" si="11"/>
        <v>0.46649671580127594</v>
      </c>
    </row>
    <row r="201" spans="1:6" x14ac:dyDescent="0.35">
      <c r="A201" s="1">
        <f t="shared" ca="1" si="9"/>
        <v>0.76783159412727353</v>
      </c>
      <c r="B201" s="1">
        <f t="shared" ca="1" si="9"/>
        <v>0.30350418523728984</v>
      </c>
      <c r="C201" s="1">
        <f t="shared" ca="1" si="9"/>
        <v>0.92643756640261632</v>
      </c>
      <c r="D201">
        <f t="shared" ca="1" si="10"/>
        <v>45455</v>
      </c>
      <c r="E201">
        <f t="shared" ca="1" si="10"/>
        <v>45489</v>
      </c>
      <c r="F201" s="1">
        <f t="shared" ca="1" si="11"/>
        <v>0.73188698137756403</v>
      </c>
    </row>
    <row r="202" spans="1:6" x14ac:dyDescent="0.35">
      <c r="A202" s="1">
        <f t="shared" ca="1" si="9"/>
        <v>0.91250488888655579</v>
      </c>
      <c r="B202" s="1">
        <f t="shared" ca="1" si="9"/>
        <v>0.11067150994011166</v>
      </c>
      <c r="C202" s="1">
        <f t="shared" ca="1" si="9"/>
        <v>0.82306717189834411</v>
      </c>
      <c r="D202">
        <f t="shared" ca="1" si="10"/>
        <v>45536</v>
      </c>
      <c r="E202">
        <f t="shared" ca="1" si="10"/>
        <v>45553</v>
      </c>
      <c r="F202" s="1">
        <f t="shared" ca="1" si="11"/>
        <v>0.72075885433425468</v>
      </c>
    </row>
    <row r="203" spans="1:6" x14ac:dyDescent="0.35">
      <c r="A203" s="1">
        <f t="shared" ca="1" si="9"/>
        <v>0.26820903861948231</v>
      </c>
      <c r="B203" s="1">
        <f t="shared" ca="1" si="9"/>
        <v>0.5303039876054978</v>
      </c>
      <c r="C203" s="1">
        <f t="shared" ca="1" si="9"/>
        <v>0.55503370012705311</v>
      </c>
      <c r="D203">
        <f t="shared" ca="1" si="10"/>
        <v>45595</v>
      </c>
      <c r="E203">
        <f t="shared" ca="1" si="10"/>
        <v>45343</v>
      </c>
      <c r="F203" s="1">
        <f t="shared" ca="1" si="11"/>
        <v>0.23374175800150165</v>
      </c>
    </row>
    <row r="204" spans="1:6" x14ac:dyDescent="0.35">
      <c r="A204" s="1">
        <f t="shared" ca="1" si="9"/>
        <v>9.4305404086551636E-2</v>
      </c>
      <c r="B204" s="1">
        <f t="shared" ca="1" si="9"/>
        <v>0.69718457424767011</v>
      </c>
      <c r="C204" s="1">
        <f t="shared" ca="1" si="9"/>
        <v>0.90258257367560624</v>
      </c>
      <c r="D204">
        <f t="shared" ca="1" si="10"/>
        <v>45722</v>
      </c>
      <c r="E204">
        <f t="shared" ca="1" si="10"/>
        <v>45621</v>
      </c>
      <c r="F204" s="1">
        <f t="shared" ca="1" si="11"/>
        <v>0.72458210555798674</v>
      </c>
    </row>
    <row r="205" spans="1:6" x14ac:dyDescent="0.35">
      <c r="A205" s="1">
        <f t="shared" ca="1" si="9"/>
        <v>0.65822313617690786</v>
      </c>
      <c r="B205" s="1">
        <f t="shared" ca="1" si="9"/>
        <v>0.10556324849343512</v>
      </c>
      <c r="C205" s="1">
        <f t="shared" ca="1" si="9"/>
        <v>0.38060160196814874</v>
      </c>
      <c r="D205">
        <f t="shared" ca="1" si="10"/>
        <v>45349</v>
      </c>
      <c r="E205">
        <f t="shared" ca="1" si="10"/>
        <v>45349</v>
      </c>
      <c r="F205" s="1">
        <f t="shared" ca="1" si="11"/>
        <v>0.17045912954233955</v>
      </c>
    </row>
    <row r="206" spans="1:6" x14ac:dyDescent="0.35">
      <c r="A206" s="1">
        <f t="shared" ca="1" si="9"/>
        <v>0.24543129538039465</v>
      </c>
      <c r="B206" s="1">
        <f t="shared" ca="1" si="9"/>
        <v>0.87626554345750574</v>
      </c>
      <c r="C206" s="1">
        <f t="shared" ca="1" si="9"/>
        <v>0.73511831152318841</v>
      </c>
      <c r="D206">
        <f t="shared" ca="1" si="10"/>
        <v>45818</v>
      </c>
      <c r="E206">
        <f t="shared" ca="1" si="10"/>
        <v>45366</v>
      </c>
      <c r="F206" s="1">
        <f t="shared" ca="1" si="11"/>
        <v>0.82862395750512108</v>
      </c>
    </row>
    <row r="207" spans="1:6" x14ac:dyDescent="0.35">
      <c r="A207" s="1">
        <f t="shared" ca="1" si="9"/>
        <v>0.69370700485654402</v>
      </c>
      <c r="B207" s="1">
        <f t="shared" ca="1" si="9"/>
        <v>0.50614264822346999</v>
      </c>
      <c r="C207" s="1">
        <f t="shared" ca="1" si="9"/>
        <v>0.52960845734972195</v>
      </c>
      <c r="D207">
        <f t="shared" ca="1" si="10"/>
        <v>45626</v>
      </c>
      <c r="E207">
        <f t="shared" ca="1" si="10"/>
        <v>45732</v>
      </c>
      <c r="F207" s="1">
        <f t="shared" ca="1" si="11"/>
        <v>0.19470084904867591</v>
      </c>
    </row>
    <row r="208" spans="1:6" x14ac:dyDescent="0.35">
      <c r="A208" s="1">
        <f t="shared" ca="1" si="9"/>
        <v>0.64628980109362633</v>
      </c>
      <c r="B208" s="1">
        <f t="shared" ca="1" si="9"/>
        <v>0.6295838388587478</v>
      </c>
      <c r="C208" s="1">
        <f t="shared" ca="1" si="9"/>
        <v>0.10663236156098999</v>
      </c>
      <c r="D208">
        <f t="shared" ca="1" si="10"/>
        <v>45624</v>
      </c>
      <c r="E208">
        <f t="shared" ca="1" si="10"/>
        <v>45634</v>
      </c>
      <c r="F208" s="1">
        <f t="shared" ca="1" si="11"/>
        <v>0.84527162058113081</v>
      </c>
    </row>
    <row r="209" spans="1:6" x14ac:dyDescent="0.35">
      <c r="A209" s="1">
        <f t="shared" ca="1" si="9"/>
        <v>0.83510579398413121</v>
      </c>
      <c r="B209" s="1">
        <f t="shared" ca="1" si="9"/>
        <v>0.8748884493794189</v>
      </c>
      <c r="C209" s="1">
        <f t="shared" ca="1" si="9"/>
        <v>0.68238190942576282</v>
      </c>
      <c r="D209">
        <f t="shared" ca="1" si="10"/>
        <v>45484</v>
      </c>
      <c r="E209">
        <f t="shared" ca="1" si="10"/>
        <v>45726</v>
      </c>
      <c r="F209" s="1">
        <f t="shared" ca="1" si="11"/>
        <v>0.16571963885688057</v>
      </c>
    </row>
    <row r="210" spans="1:6" x14ac:dyDescent="0.35">
      <c r="A210" s="1">
        <f t="shared" ca="1" si="9"/>
        <v>0.64020703459411044</v>
      </c>
      <c r="B210" s="1">
        <f t="shared" ca="1" si="9"/>
        <v>0.18848083987626374</v>
      </c>
      <c r="C210" s="1">
        <f t="shared" ca="1" si="9"/>
        <v>0.37308288521385025</v>
      </c>
      <c r="D210">
        <f t="shared" ca="1" si="10"/>
        <v>45455</v>
      </c>
      <c r="E210">
        <f t="shared" ca="1" si="10"/>
        <v>45812</v>
      </c>
      <c r="F210" s="1">
        <f t="shared" ca="1" si="11"/>
        <v>0.12817426367013196</v>
      </c>
    </row>
    <row r="211" spans="1:6" x14ac:dyDescent="0.35">
      <c r="A211" s="1">
        <f t="shared" ca="1" si="9"/>
        <v>0.64266492199158243</v>
      </c>
      <c r="B211" s="1">
        <f t="shared" ca="1" si="9"/>
        <v>0.36826880876267798</v>
      </c>
      <c r="C211" s="1">
        <f t="shared" ca="1" si="9"/>
        <v>0.77233710084051244</v>
      </c>
      <c r="D211">
        <f t="shared" ca="1" si="10"/>
        <v>45833</v>
      </c>
      <c r="E211">
        <f t="shared" ca="1" si="10"/>
        <v>45784</v>
      </c>
      <c r="F211" s="1">
        <f t="shared" ca="1" si="11"/>
        <v>0.94262582291128383</v>
      </c>
    </row>
    <row r="212" spans="1:6" x14ac:dyDescent="0.35">
      <c r="A212" s="1">
        <f t="shared" ca="1" si="9"/>
        <v>0.62694733334212716</v>
      </c>
      <c r="B212" s="1">
        <f t="shared" ca="1" si="9"/>
        <v>0.59649456272448464</v>
      </c>
      <c r="C212" s="1">
        <f t="shared" ca="1" si="9"/>
        <v>0.82027861521652568</v>
      </c>
      <c r="D212">
        <f t="shared" ca="1" si="10"/>
        <v>45546</v>
      </c>
      <c r="E212">
        <f t="shared" ca="1" si="10"/>
        <v>45715</v>
      </c>
      <c r="F212" s="1">
        <f t="shared" ca="1" si="11"/>
        <v>0.19616123614850578</v>
      </c>
    </row>
    <row r="213" spans="1:6" x14ac:dyDescent="0.35">
      <c r="A213" s="1">
        <f t="shared" ca="1" si="9"/>
        <v>0.60419346910615856</v>
      </c>
      <c r="B213" s="1">
        <f t="shared" ca="1" si="9"/>
        <v>0.21533477461594519</v>
      </c>
      <c r="C213" s="1">
        <f t="shared" ca="1" si="9"/>
        <v>0.69661239293405819</v>
      </c>
      <c r="D213">
        <f t="shared" ca="1" si="10"/>
        <v>45681</v>
      </c>
      <c r="E213">
        <f t="shared" ca="1" si="10"/>
        <v>45502</v>
      </c>
      <c r="F213" s="1">
        <f t="shared" ca="1" si="11"/>
        <v>0.47880963808976962</v>
      </c>
    </row>
    <row r="214" spans="1:6" x14ac:dyDescent="0.35">
      <c r="A214" s="1">
        <f t="shared" ca="1" si="9"/>
        <v>0.15239037935530897</v>
      </c>
      <c r="B214" s="1">
        <f t="shared" ca="1" si="9"/>
        <v>0.56482698893069372</v>
      </c>
      <c r="C214" s="1">
        <f t="shared" ca="1" si="9"/>
        <v>3.9415080654725543E-4</v>
      </c>
      <c r="D214">
        <f t="shared" ca="1" si="10"/>
        <v>45670</v>
      </c>
      <c r="E214">
        <f t="shared" ca="1" si="10"/>
        <v>45556</v>
      </c>
      <c r="F214" s="1">
        <f t="shared" ca="1" si="11"/>
        <v>0.39232411585550675</v>
      </c>
    </row>
    <row r="215" spans="1:6" x14ac:dyDescent="0.35">
      <c r="A215" s="1">
        <f t="shared" ca="1" si="9"/>
        <v>0.67839128790483683</v>
      </c>
      <c r="B215" s="1">
        <f t="shared" ca="1" si="9"/>
        <v>2.6877565953103533E-2</v>
      </c>
      <c r="C215" s="1">
        <f t="shared" ca="1" si="9"/>
        <v>0.49667557897484271</v>
      </c>
      <c r="D215">
        <f t="shared" ca="1" si="10"/>
        <v>45633</v>
      </c>
      <c r="E215">
        <f t="shared" ca="1" si="10"/>
        <v>45358</v>
      </c>
      <c r="F215" s="1">
        <f t="shared" ca="1" si="11"/>
        <v>0.65376504162213855</v>
      </c>
    </row>
    <row r="216" spans="1:6" x14ac:dyDescent="0.35">
      <c r="A216" s="1">
        <f t="shared" ca="1" si="9"/>
        <v>1.61782608013743E-2</v>
      </c>
      <c r="B216" s="1">
        <f t="shared" ca="1" si="9"/>
        <v>0.57353801093579193</v>
      </c>
      <c r="C216" s="1">
        <f t="shared" ca="1" si="9"/>
        <v>0.34984014414301456</v>
      </c>
      <c r="D216">
        <f t="shared" ca="1" si="10"/>
        <v>45720</v>
      </c>
      <c r="E216">
        <f t="shared" ca="1" si="10"/>
        <v>45580</v>
      </c>
      <c r="F216" s="1">
        <f t="shared" ca="1" si="11"/>
        <v>0.91217918316703439</v>
      </c>
    </row>
    <row r="217" spans="1:6" x14ac:dyDescent="0.35">
      <c r="A217" s="1">
        <f t="shared" ca="1" si="9"/>
        <v>7.0670074852139608E-2</v>
      </c>
      <c r="B217" s="1">
        <f t="shared" ca="1" si="9"/>
        <v>0.31382285581859737</v>
      </c>
      <c r="C217" s="1">
        <f t="shared" ca="1" si="9"/>
        <v>0.21503052576391068</v>
      </c>
      <c r="D217">
        <f t="shared" ca="1" si="10"/>
        <v>45422</v>
      </c>
      <c r="E217">
        <f t="shared" ca="1" si="10"/>
        <v>45343</v>
      </c>
      <c r="F217" s="1">
        <f t="shared" ca="1" si="11"/>
        <v>0.50107557148957671</v>
      </c>
    </row>
    <row r="218" spans="1:6" x14ac:dyDescent="0.35">
      <c r="A218" s="1">
        <f t="shared" ca="1" si="9"/>
        <v>0.17190958843690363</v>
      </c>
      <c r="B218" s="1">
        <f t="shared" ca="1" si="9"/>
        <v>6.1883968773596698E-2</v>
      </c>
      <c r="C218" s="1">
        <f t="shared" ca="1" si="9"/>
        <v>0.99166949253064718</v>
      </c>
      <c r="D218">
        <f t="shared" ca="1" si="10"/>
        <v>45430</v>
      </c>
      <c r="E218">
        <f t="shared" ca="1" si="10"/>
        <v>45521</v>
      </c>
      <c r="F218" s="1">
        <f t="shared" ca="1" si="11"/>
        <v>0.64426808128711044</v>
      </c>
    </row>
    <row r="219" spans="1:6" x14ac:dyDescent="0.35">
      <c r="A219" s="1">
        <f t="shared" ca="1" si="9"/>
        <v>0.89643217568064404</v>
      </c>
      <c r="B219" s="1">
        <f t="shared" ca="1" si="9"/>
        <v>0.75856424419302393</v>
      </c>
      <c r="C219" s="1">
        <f t="shared" ca="1" si="9"/>
        <v>2.252014807604763E-2</v>
      </c>
      <c r="D219">
        <f t="shared" ca="1" si="10"/>
        <v>45366</v>
      </c>
      <c r="E219">
        <f t="shared" ca="1" si="10"/>
        <v>45375</v>
      </c>
      <c r="F219" s="1">
        <f t="shared" ca="1" si="11"/>
        <v>0.19308427776295989</v>
      </c>
    </row>
    <row r="220" spans="1:6" x14ac:dyDescent="0.35">
      <c r="A220" s="1">
        <f t="shared" ca="1" si="9"/>
        <v>0.47761225512961036</v>
      </c>
      <c r="B220" s="1">
        <f t="shared" ca="1" si="9"/>
        <v>0.85449071580385283</v>
      </c>
      <c r="C220" s="1">
        <f t="shared" ca="1" si="9"/>
        <v>0.57433650336104702</v>
      </c>
      <c r="D220">
        <f t="shared" ca="1" si="10"/>
        <v>45792</v>
      </c>
      <c r="E220">
        <f t="shared" ca="1" si="10"/>
        <v>45445</v>
      </c>
      <c r="F220" s="1">
        <f t="shared" ca="1" si="11"/>
        <v>0.14746234445741924</v>
      </c>
    </row>
    <row r="221" spans="1:6" x14ac:dyDescent="0.35">
      <c r="A221" s="1">
        <f t="shared" ca="1" si="9"/>
        <v>0.39207155244903502</v>
      </c>
      <c r="B221" s="1">
        <f t="shared" ca="1" si="9"/>
        <v>0.43570357623541922</v>
      </c>
      <c r="C221" s="1">
        <f t="shared" ca="1" si="9"/>
        <v>0.8342640994754108</v>
      </c>
      <c r="D221">
        <f t="shared" ca="1" si="10"/>
        <v>45316</v>
      </c>
      <c r="E221">
        <f t="shared" ca="1" si="10"/>
        <v>45451</v>
      </c>
      <c r="F221" s="1">
        <f t="shared" ca="1" si="11"/>
        <v>0.93414899827668396</v>
      </c>
    </row>
    <row r="222" spans="1:6" x14ac:dyDescent="0.35">
      <c r="A222" s="1">
        <f t="shared" ca="1" si="9"/>
        <v>0.63482489717309898</v>
      </c>
      <c r="B222" s="1">
        <f t="shared" ca="1" si="9"/>
        <v>4.8656266512514534E-5</v>
      </c>
      <c r="C222" s="1">
        <f t="shared" ca="1" si="9"/>
        <v>0.23743430821930245</v>
      </c>
      <c r="D222">
        <f t="shared" ca="1" si="10"/>
        <v>45702</v>
      </c>
      <c r="E222">
        <f t="shared" ca="1" si="10"/>
        <v>45567</v>
      </c>
      <c r="F222" s="1">
        <f t="shared" ca="1" si="11"/>
        <v>0.12716375677596636</v>
      </c>
    </row>
    <row r="223" spans="1:6" x14ac:dyDescent="0.35">
      <c r="A223" s="1">
        <f t="shared" ca="1" si="9"/>
        <v>0.92789687207237148</v>
      </c>
      <c r="B223" s="1">
        <f t="shared" ca="1" si="9"/>
        <v>0.27804274544658469</v>
      </c>
      <c r="C223" s="1">
        <f t="shared" ca="1" si="9"/>
        <v>0.60368258465480418</v>
      </c>
      <c r="D223">
        <f t="shared" ca="1" si="10"/>
        <v>45456</v>
      </c>
      <c r="E223">
        <f t="shared" ca="1" si="10"/>
        <v>45647</v>
      </c>
      <c r="F223" s="1">
        <f t="shared" ca="1" si="11"/>
        <v>0.99883193718401042</v>
      </c>
    </row>
    <row r="224" spans="1:6" x14ac:dyDescent="0.35">
      <c r="A224" s="1">
        <f t="shared" ca="1" si="9"/>
        <v>0.67164537087225817</v>
      </c>
      <c r="B224" s="1">
        <f t="shared" ca="1" si="9"/>
        <v>1.0772481214188279E-2</v>
      </c>
      <c r="C224" s="1">
        <f t="shared" ca="1" si="9"/>
        <v>0.47371240062756137</v>
      </c>
      <c r="D224">
        <f t="shared" ca="1" si="10"/>
        <v>45441</v>
      </c>
      <c r="E224">
        <f t="shared" ca="1" si="10"/>
        <v>45806</v>
      </c>
      <c r="F224" s="1">
        <f t="shared" ca="1" si="11"/>
        <v>0.12009009993180675</v>
      </c>
    </row>
    <row r="225" spans="1:6" x14ac:dyDescent="0.35">
      <c r="A225" s="1">
        <f t="shared" ca="1" si="9"/>
        <v>0.37114373639616671</v>
      </c>
      <c r="B225" s="1">
        <f t="shared" ca="1" si="9"/>
        <v>0.95744345467367176</v>
      </c>
      <c r="C225" s="1">
        <f t="shared" ca="1" si="9"/>
        <v>0.40134513835335994</v>
      </c>
      <c r="D225">
        <f t="shared" ca="1" si="10"/>
        <v>45572</v>
      </c>
      <c r="E225">
        <f t="shared" ca="1" si="10"/>
        <v>45603</v>
      </c>
      <c r="F225" s="1">
        <f t="shared" ca="1" si="11"/>
        <v>0.51230510898669157</v>
      </c>
    </row>
    <row r="226" spans="1:6" x14ac:dyDescent="0.35">
      <c r="A226" s="1">
        <f t="shared" ca="1" si="9"/>
        <v>0.31434019553334669</v>
      </c>
      <c r="B226" s="1">
        <f t="shared" ca="1" si="9"/>
        <v>0.3145268977915644</v>
      </c>
      <c r="C226" s="1">
        <f t="shared" ca="1" si="9"/>
        <v>0.45557549338383641</v>
      </c>
      <c r="D226">
        <f t="shared" ca="1" si="10"/>
        <v>45475</v>
      </c>
      <c r="E226">
        <f t="shared" ca="1" si="10"/>
        <v>45810</v>
      </c>
      <c r="F226" s="1">
        <f t="shared" ca="1" si="11"/>
        <v>0.90832260121823516</v>
      </c>
    </row>
    <row r="227" spans="1:6" x14ac:dyDescent="0.35">
      <c r="A227" s="1">
        <f t="shared" ca="1" si="9"/>
        <v>0.9868757876377503</v>
      </c>
      <c r="B227" s="1">
        <f t="shared" ca="1" si="9"/>
        <v>0.21284527772242745</v>
      </c>
      <c r="C227" s="1">
        <f t="shared" ca="1" si="9"/>
        <v>0.62459270702549419</v>
      </c>
      <c r="D227">
        <f t="shared" ca="1" si="10"/>
        <v>45757</v>
      </c>
      <c r="E227">
        <f t="shared" ca="1" si="10"/>
        <v>45812</v>
      </c>
      <c r="F227" s="1">
        <f t="shared" ca="1" si="11"/>
        <v>0.99364516180349716</v>
      </c>
    </row>
    <row r="228" spans="1:6" x14ac:dyDescent="0.35">
      <c r="A228" s="1">
        <f t="shared" ca="1" si="9"/>
        <v>0.3968604354353803</v>
      </c>
      <c r="B228" s="1">
        <f t="shared" ca="1" si="9"/>
        <v>0.31550706187693267</v>
      </c>
      <c r="C228" s="1">
        <f t="shared" ca="1" si="9"/>
        <v>0.62775334710749175</v>
      </c>
      <c r="D228">
        <f t="shared" ca="1" si="10"/>
        <v>45595</v>
      </c>
      <c r="E228">
        <f t="shared" ca="1" si="10"/>
        <v>45537</v>
      </c>
      <c r="F228" s="1">
        <f t="shared" ca="1" si="11"/>
        <v>0.26355078369946194</v>
      </c>
    </row>
    <row r="229" spans="1:6" x14ac:dyDescent="0.35">
      <c r="A229" s="1">
        <f t="shared" ca="1" si="9"/>
        <v>0.23036378843212624</v>
      </c>
      <c r="B229" s="1">
        <f t="shared" ca="1" si="9"/>
        <v>0.33211827325670407</v>
      </c>
      <c r="C229" s="1">
        <f t="shared" ca="1" si="9"/>
        <v>0.97863704664587325</v>
      </c>
      <c r="D229">
        <f t="shared" ca="1" si="10"/>
        <v>45519</v>
      </c>
      <c r="E229">
        <f t="shared" ca="1" si="10"/>
        <v>45788</v>
      </c>
      <c r="F229" s="1">
        <f t="shared" ca="1" si="11"/>
        <v>8.7130309656927363E-2</v>
      </c>
    </row>
    <row r="230" spans="1:6" x14ac:dyDescent="0.35">
      <c r="A230" s="1">
        <f t="shared" ca="1" si="9"/>
        <v>0.40303446264900222</v>
      </c>
      <c r="B230" s="1">
        <f t="shared" ca="1" si="9"/>
        <v>0.84336665667479094</v>
      </c>
      <c r="C230" s="1">
        <f t="shared" ca="1" si="9"/>
        <v>0.77367076217236441</v>
      </c>
      <c r="D230">
        <f t="shared" ca="1" si="10"/>
        <v>45522</v>
      </c>
      <c r="E230">
        <f t="shared" ca="1" si="10"/>
        <v>45694</v>
      </c>
      <c r="F230" s="1">
        <f t="shared" ca="1" si="11"/>
        <v>7.2917694443569547E-2</v>
      </c>
    </row>
    <row r="231" spans="1:6" x14ac:dyDescent="0.35">
      <c r="A231" s="1">
        <f t="shared" ca="1" si="9"/>
        <v>0.57707488168237042</v>
      </c>
      <c r="B231" s="1">
        <f t="shared" ca="1" si="9"/>
        <v>0.74373876156940433</v>
      </c>
      <c r="C231" s="1">
        <f t="shared" ca="1" si="9"/>
        <v>0.67091081487890214</v>
      </c>
      <c r="D231">
        <f t="shared" ca="1" si="10"/>
        <v>45533</v>
      </c>
      <c r="E231">
        <f t="shared" ca="1" si="10"/>
        <v>45649</v>
      </c>
      <c r="F231" s="1">
        <f t="shared" ca="1" si="11"/>
        <v>0.11739495954814649</v>
      </c>
    </row>
    <row r="232" spans="1:6" x14ac:dyDescent="0.35">
      <c r="A232" s="1">
        <f t="shared" ca="1" si="9"/>
        <v>0.44058174190638277</v>
      </c>
      <c r="B232" s="1">
        <f t="shared" ca="1" si="9"/>
        <v>0.3069253036177374</v>
      </c>
      <c r="C232" s="1">
        <f t="shared" ca="1" si="9"/>
        <v>0.64735063964457917</v>
      </c>
      <c r="D232">
        <f t="shared" ca="1" si="10"/>
        <v>45799</v>
      </c>
      <c r="E232">
        <f t="shared" ca="1" si="10"/>
        <v>45697</v>
      </c>
      <c r="F232" s="1">
        <f t="shared" ca="1" si="11"/>
        <v>0.74945978562262283</v>
      </c>
    </row>
    <row r="233" spans="1:6" x14ac:dyDescent="0.35">
      <c r="A233" s="1">
        <f t="shared" ca="1" si="9"/>
        <v>0.4235455207553086</v>
      </c>
      <c r="B233" s="1">
        <f t="shared" ca="1" si="9"/>
        <v>0.26831007461821021</v>
      </c>
      <c r="C233" s="1">
        <f t="shared" ca="1" si="9"/>
        <v>0.41001709850763068</v>
      </c>
      <c r="D233">
        <f t="shared" ca="1" si="10"/>
        <v>45809</v>
      </c>
      <c r="E233">
        <f t="shared" ca="1" si="10"/>
        <v>45601</v>
      </c>
      <c r="F233" s="1">
        <f t="shared" ca="1" si="11"/>
        <v>0.90120648087087263</v>
      </c>
    </row>
    <row r="234" spans="1:6" x14ac:dyDescent="0.35">
      <c r="A234" s="1">
        <f t="shared" ca="1" si="9"/>
        <v>2.741000888751921E-2</v>
      </c>
      <c r="B234" s="1">
        <f t="shared" ca="1" si="9"/>
        <v>0.95306661401819281</v>
      </c>
      <c r="C234" s="1">
        <f t="shared" ca="1" si="9"/>
        <v>6.9234681285726185E-2</v>
      </c>
      <c r="D234">
        <f t="shared" ca="1" si="10"/>
        <v>45431</v>
      </c>
      <c r="E234">
        <f t="shared" ca="1" si="10"/>
        <v>45404</v>
      </c>
      <c r="F234" s="1">
        <f t="shared" ca="1" si="11"/>
        <v>0.46881378269212437</v>
      </c>
    </row>
    <row r="235" spans="1:6" x14ac:dyDescent="0.35">
      <c r="A235" s="1">
        <f t="shared" ca="1" si="9"/>
        <v>0.67296534322637036</v>
      </c>
      <c r="B235" s="1">
        <f t="shared" ca="1" si="9"/>
        <v>0.56807693363359069</v>
      </c>
      <c r="C235" s="1">
        <f t="shared" ca="1" si="9"/>
        <v>0.67094939652985008</v>
      </c>
      <c r="D235">
        <f t="shared" ca="1" si="10"/>
        <v>45530</v>
      </c>
      <c r="E235">
        <f t="shared" ca="1" si="10"/>
        <v>45384</v>
      </c>
      <c r="F235" s="1">
        <f t="shared" ca="1" si="11"/>
        <v>0.47537629336521381</v>
      </c>
    </row>
    <row r="236" spans="1:6" x14ac:dyDescent="0.35">
      <c r="A236" s="1">
        <f t="shared" ca="1" si="9"/>
        <v>0.99734117790354238</v>
      </c>
      <c r="B236" s="1">
        <f t="shared" ca="1" si="9"/>
        <v>0.56404648429615012</v>
      </c>
      <c r="C236" s="1">
        <f t="shared" ca="1" si="9"/>
        <v>0.34575128763297014</v>
      </c>
      <c r="D236">
        <f t="shared" ca="1" si="10"/>
        <v>45402</v>
      </c>
      <c r="E236">
        <f t="shared" ca="1" si="10"/>
        <v>45481</v>
      </c>
      <c r="F236" s="1">
        <f t="shared" ca="1" si="11"/>
        <v>0.16189445294663651</v>
      </c>
    </row>
    <row r="237" spans="1:6" x14ac:dyDescent="0.35">
      <c r="A237" s="1">
        <f t="shared" ca="1" si="9"/>
        <v>0.49657367117434492</v>
      </c>
      <c r="B237" s="1">
        <f t="shared" ca="1" si="9"/>
        <v>0.35067189420202494</v>
      </c>
      <c r="C237" s="1">
        <f t="shared" ca="1" si="9"/>
        <v>0.51424760974038763</v>
      </c>
      <c r="D237">
        <f t="shared" ca="1" si="10"/>
        <v>45697</v>
      </c>
      <c r="E237">
        <f t="shared" ca="1" si="10"/>
        <v>45405</v>
      </c>
      <c r="F237" s="1">
        <f t="shared" ca="1" si="11"/>
        <v>0.9896795835946014</v>
      </c>
    </row>
    <row r="238" spans="1:6" x14ac:dyDescent="0.35">
      <c r="A238" s="1">
        <f t="shared" ca="1" si="9"/>
        <v>0.27229103900259866</v>
      </c>
      <c r="B238" s="1">
        <f t="shared" ca="1" si="9"/>
        <v>0.41708532256092357</v>
      </c>
      <c r="C238" s="1">
        <f t="shared" ca="1" si="9"/>
        <v>0.64219756930194871</v>
      </c>
      <c r="D238">
        <f t="shared" ca="1" si="10"/>
        <v>45454</v>
      </c>
      <c r="E238">
        <f t="shared" ca="1" si="10"/>
        <v>45762</v>
      </c>
      <c r="F238" s="1">
        <f t="shared" ca="1" si="11"/>
        <v>0.66233028692848273</v>
      </c>
    </row>
    <row r="239" spans="1:6" x14ac:dyDescent="0.35">
      <c r="A239" s="1">
        <f t="shared" ca="1" si="9"/>
        <v>0.92413787016823656</v>
      </c>
      <c r="B239" s="1">
        <f t="shared" ca="1" si="9"/>
        <v>0.59066785346424877</v>
      </c>
      <c r="C239" s="1">
        <f t="shared" ca="1" si="9"/>
        <v>0.78267754489723895</v>
      </c>
      <c r="D239">
        <f t="shared" ca="1" si="10"/>
        <v>45724</v>
      </c>
      <c r="E239">
        <f t="shared" ca="1" si="10"/>
        <v>45401</v>
      </c>
      <c r="F239" s="1">
        <f t="shared" ca="1" si="11"/>
        <v>0.76771928168088699</v>
      </c>
    </row>
    <row r="240" spans="1:6" x14ac:dyDescent="0.35">
      <c r="A240" s="1">
        <f t="shared" ca="1" si="9"/>
        <v>0.92411167581854547</v>
      </c>
      <c r="B240" s="1">
        <f t="shared" ca="1" si="9"/>
        <v>0.51627099529080123</v>
      </c>
      <c r="C240" s="1">
        <f t="shared" ca="1" si="9"/>
        <v>0.34885449974208638</v>
      </c>
      <c r="D240">
        <f t="shared" ca="1" si="10"/>
        <v>45754</v>
      </c>
      <c r="E240">
        <f t="shared" ca="1" si="10"/>
        <v>45529</v>
      </c>
      <c r="F240" s="1">
        <f t="shared" ca="1" si="11"/>
        <v>0.33635453994033337</v>
      </c>
    </row>
    <row r="241" spans="1:6" x14ac:dyDescent="0.35">
      <c r="A241" s="1">
        <f t="shared" ca="1" si="9"/>
        <v>1.7400238656703926E-2</v>
      </c>
      <c r="B241" s="1">
        <f t="shared" ca="1" si="9"/>
        <v>0.78657301032260918</v>
      </c>
      <c r="C241" s="1">
        <f t="shared" ca="1" si="9"/>
        <v>0.92188733697708447</v>
      </c>
      <c r="D241">
        <f t="shared" ca="1" si="10"/>
        <v>45527</v>
      </c>
      <c r="E241">
        <f t="shared" ca="1" si="10"/>
        <v>45404</v>
      </c>
      <c r="F241" s="1">
        <f t="shared" ca="1" si="11"/>
        <v>0.76476424253713637</v>
      </c>
    </row>
    <row r="242" spans="1:6" x14ac:dyDescent="0.35">
      <c r="A242" s="1">
        <f t="shared" ca="1" si="9"/>
        <v>0.34495066141567132</v>
      </c>
      <c r="B242" s="1">
        <f t="shared" ca="1" si="9"/>
        <v>0.3211264731760306</v>
      </c>
      <c r="C242" s="1">
        <f t="shared" ca="1" si="9"/>
        <v>1.1883309880760695E-2</v>
      </c>
      <c r="D242">
        <f t="shared" ca="1" si="10"/>
        <v>45447</v>
      </c>
      <c r="E242">
        <f t="shared" ca="1" si="10"/>
        <v>45318</v>
      </c>
      <c r="F242" s="1">
        <f t="shared" ca="1" si="11"/>
        <v>0.40277351277500961</v>
      </c>
    </row>
    <row r="243" spans="1:6" x14ac:dyDescent="0.35">
      <c r="A243" s="1">
        <f t="shared" ca="1" si="9"/>
        <v>0.38996299814091528</v>
      </c>
      <c r="B243" s="1">
        <f t="shared" ca="1" si="9"/>
        <v>0.89662013788433204</v>
      </c>
      <c r="C243" s="1">
        <f t="shared" ca="1" si="9"/>
        <v>0.16621961951772435</v>
      </c>
      <c r="D243">
        <f t="shared" ca="1" si="10"/>
        <v>45334</v>
      </c>
      <c r="E243">
        <f t="shared" ca="1" si="10"/>
        <v>45521</v>
      </c>
      <c r="F243" s="1">
        <f t="shared" ca="1" si="11"/>
        <v>0.5014287454464037</v>
      </c>
    </row>
    <row r="244" spans="1:6" x14ac:dyDescent="0.35">
      <c r="A244" s="1">
        <f t="shared" ca="1" si="9"/>
        <v>0.20000925493648491</v>
      </c>
      <c r="B244" s="1">
        <f t="shared" ca="1" si="9"/>
        <v>0.48744625822104348</v>
      </c>
      <c r="C244" s="1">
        <f t="shared" ca="1" si="9"/>
        <v>0.47191021699099522</v>
      </c>
      <c r="D244">
        <f t="shared" ca="1" si="10"/>
        <v>45649</v>
      </c>
      <c r="E244">
        <f t="shared" ca="1" si="10"/>
        <v>45781</v>
      </c>
      <c r="F244" s="1">
        <f t="shared" ca="1" si="11"/>
        <v>0.65877571621117115</v>
      </c>
    </row>
    <row r="245" spans="1:6" x14ac:dyDescent="0.35">
      <c r="A245" s="1">
        <f t="shared" ca="1" si="9"/>
        <v>0.18383417406153701</v>
      </c>
      <c r="B245" s="1">
        <f t="shared" ca="1" si="9"/>
        <v>0.91467937245223507</v>
      </c>
      <c r="C245" s="1">
        <f t="shared" ca="1" si="9"/>
        <v>0.27906068124410266</v>
      </c>
      <c r="D245">
        <f t="shared" ca="1" si="10"/>
        <v>45500</v>
      </c>
      <c r="E245">
        <f t="shared" ca="1" si="10"/>
        <v>45675</v>
      </c>
      <c r="F245" s="1">
        <f t="shared" ca="1" si="11"/>
        <v>0.31679677275222951</v>
      </c>
    </row>
    <row r="246" spans="1:6" x14ac:dyDescent="0.35">
      <c r="A246" s="1">
        <f t="shared" ca="1" si="9"/>
        <v>0.51336504091181256</v>
      </c>
      <c r="B246" s="1">
        <f t="shared" ca="1" si="9"/>
        <v>0.46965858813161443</v>
      </c>
      <c r="C246" s="1">
        <f t="shared" ca="1" si="9"/>
        <v>0.82482318992180792</v>
      </c>
      <c r="D246">
        <f t="shared" ca="1" si="10"/>
        <v>45769</v>
      </c>
      <c r="E246">
        <f t="shared" ca="1" si="10"/>
        <v>45535</v>
      </c>
      <c r="F246" s="1">
        <f t="shared" ca="1" si="11"/>
        <v>0.70201589745710324</v>
      </c>
    </row>
    <row r="247" spans="1:6" x14ac:dyDescent="0.35">
      <c r="A247" s="1">
        <f t="shared" ca="1" si="9"/>
        <v>0.32962896271464859</v>
      </c>
      <c r="B247" s="1">
        <f t="shared" ca="1" si="9"/>
        <v>0.61145783283751665</v>
      </c>
      <c r="C247" s="1">
        <f t="shared" ca="1" si="9"/>
        <v>0.14526391271085914</v>
      </c>
      <c r="D247">
        <f t="shared" ca="1" si="10"/>
        <v>45759</v>
      </c>
      <c r="E247">
        <f t="shared" ca="1" si="10"/>
        <v>45804</v>
      </c>
      <c r="F247" s="1">
        <f t="shared" ca="1" si="11"/>
        <v>4.4505518643689346E-3</v>
      </c>
    </row>
    <row r="248" spans="1:6" x14ac:dyDescent="0.35">
      <c r="A248" s="1">
        <f t="shared" ca="1" si="9"/>
        <v>0.79493055593748563</v>
      </c>
      <c r="B248" s="1">
        <f t="shared" ca="1" si="9"/>
        <v>8.2396970532377933E-3</v>
      </c>
      <c r="C248" s="1">
        <f t="shared" ca="1" si="9"/>
        <v>0.47473923605539936</v>
      </c>
      <c r="D248">
        <f t="shared" ca="1" si="10"/>
        <v>45734</v>
      </c>
      <c r="E248">
        <f t="shared" ca="1" si="10"/>
        <v>45558</v>
      </c>
      <c r="F248" s="1">
        <f t="shared" ca="1" si="11"/>
        <v>8.0835557042996831E-2</v>
      </c>
    </row>
    <row r="249" spans="1:6" x14ac:dyDescent="0.35">
      <c r="A249" s="1">
        <f t="shared" ca="1" si="9"/>
        <v>0.44600520901224672</v>
      </c>
      <c r="B249" s="1">
        <f t="shared" ca="1" si="9"/>
        <v>0.13837106755213491</v>
      </c>
      <c r="C249" s="1">
        <f t="shared" ca="1" si="9"/>
        <v>0.7359800819532869</v>
      </c>
      <c r="D249">
        <f t="shared" ca="1" si="10"/>
        <v>45458</v>
      </c>
      <c r="E249">
        <f t="shared" ca="1" si="10"/>
        <v>45668</v>
      </c>
      <c r="F249" s="1">
        <f t="shared" ca="1" si="11"/>
        <v>0.56400939780810544</v>
      </c>
    </row>
    <row r="250" spans="1:6" x14ac:dyDescent="0.35">
      <c r="A250" s="1">
        <f t="shared" ca="1" si="9"/>
        <v>0.58178681607915783</v>
      </c>
      <c r="B250" s="1">
        <f t="shared" ca="1" si="9"/>
        <v>0.73709397144306599</v>
      </c>
      <c r="C250" s="1">
        <f t="shared" ca="1" si="9"/>
        <v>0.8136168908891166</v>
      </c>
      <c r="D250">
        <f t="shared" ca="1" si="10"/>
        <v>45672</v>
      </c>
      <c r="E250">
        <f t="shared" ca="1" si="10"/>
        <v>45662</v>
      </c>
      <c r="F250" s="1">
        <f t="shared" ca="1" si="11"/>
        <v>5.2022611090527748E-2</v>
      </c>
    </row>
    <row r="251" spans="1:6" x14ac:dyDescent="0.35">
      <c r="A251" s="1">
        <f t="shared" ca="1" si="9"/>
        <v>3.3095573778398557E-2</v>
      </c>
      <c r="B251" s="1">
        <f t="shared" ca="1" si="9"/>
        <v>0.27828899490170178</v>
      </c>
      <c r="C251" s="1">
        <f t="shared" ca="1" si="9"/>
        <v>2.1769702582728478E-2</v>
      </c>
      <c r="D251">
        <f t="shared" ca="1" si="10"/>
        <v>45605</v>
      </c>
      <c r="E251">
        <f t="shared" ca="1" si="10"/>
        <v>45552</v>
      </c>
      <c r="F251" s="1">
        <f t="shared" ca="1" si="11"/>
        <v>0.4325829953204966</v>
      </c>
    </row>
    <row r="252" spans="1:6" x14ac:dyDescent="0.35">
      <c r="A252" s="1">
        <f t="shared" ca="1" si="9"/>
        <v>0.78590474362197704</v>
      </c>
      <c r="B252" s="1">
        <f t="shared" ca="1" si="9"/>
        <v>0.60786960831872705</v>
      </c>
      <c r="C252" s="1">
        <f t="shared" ca="1" si="9"/>
        <v>0.74028122085739623</v>
      </c>
      <c r="D252">
        <f t="shared" ca="1" si="10"/>
        <v>45509</v>
      </c>
      <c r="E252">
        <f t="shared" ca="1" si="10"/>
        <v>45413</v>
      </c>
      <c r="F252" s="1">
        <f t="shared" ca="1" si="11"/>
        <v>0.44669396460296218</v>
      </c>
    </row>
    <row r="253" spans="1:6" x14ac:dyDescent="0.35">
      <c r="A253" s="1">
        <f t="shared" ca="1" si="9"/>
        <v>0.4256583136324501</v>
      </c>
      <c r="B253" s="1">
        <f t="shared" ca="1" si="9"/>
        <v>0.32170726422763118</v>
      </c>
      <c r="C253" s="1">
        <f t="shared" ca="1" si="9"/>
        <v>0.12778769759333486</v>
      </c>
      <c r="D253">
        <f t="shared" ca="1" si="10"/>
        <v>45778</v>
      </c>
      <c r="E253">
        <f t="shared" ca="1" si="10"/>
        <v>45495</v>
      </c>
      <c r="F253" s="1">
        <f t="shared" ca="1" si="11"/>
        <v>0.14404986329668235</v>
      </c>
    </row>
    <row r="254" spans="1:6" x14ac:dyDescent="0.35">
      <c r="A254" s="1">
        <f t="shared" ca="1" si="9"/>
        <v>6.7332889487894509E-2</v>
      </c>
      <c r="B254" s="1">
        <f t="shared" ca="1" si="9"/>
        <v>0.77840870138125084</v>
      </c>
      <c r="C254" s="1">
        <f t="shared" ca="1" si="9"/>
        <v>0.61552551771070219</v>
      </c>
      <c r="D254">
        <f t="shared" ca="1" si="10"/>
        <v>45710</v>
      </c>
      <c r="E254">
        <f t="shared" ca="1" si="10"/>
        <v>45722</v>
      </c>
      <c r="F254" s="1">
        <f t="shared" ca="1" si="11"/>
        <v>0.90364014035099161</v>
      </c>
    </row>
    <row r="255" spans="1:6" x14ac:dyDescent="0.35">
      <c r="A255" s="1">
        <f t="shared" ca="1" si="9"/>
        <v>0.41773205467708463</v>
      </c>
      <c r="B255" s="1">
        <f t="shared" ca="1" si="9"/>
        <v>0.15476437468485715</v>
      </c>
      <c r="C255" s="1">
        <f t="shared" ca="1" si="9"/>
        <v>0.99262058535426145</v>
      </c>
      <c r="D255">
        <f t="shared" ca="1" si="10"/>
        <v>45518</v>
      </c>
      <c r="E255">
        <f t="shared" ca="1" si="10"/>
        <v>45782</v>
      </c>
      <c r="F255" s="1">
        <f t="shared" ca="1" si="11"/>
        <v>0.86509207669959753</v>
      </c>
    </row>
    <row r="256" spans="1:6" x14ac:dyDescent="0.35">
      <c r="A256" s="1">
        <f t="shared" ca="1" si="9"/>
        <v>0.69824609268385729</v>
      </c>
      <c r="B256" s="1">
        <f t="shared" ca="1" si="9"/>
        <v>0.63518177057119418</v>
      </c>
      <c r="C256" s="1">
        <f t="shared" ca="1" si="9"/>
        <v>0.40521255282475865</v>
      </c>
      <c r="D256">
        <f t="shared" ca="1" si="10"/>
        <v>45766</v>
      </c>
      <c r="E256">
        <f t="shared" ca="1" si="10"/>
        <v>45572</v>
      </c>
      <c r="F256" s="1">
        <f t="shared" ca="1" si="11"/>
        <v>0.91510270264124272</v>
      </c>
    </row>
    <row r="257" spans="1:6" x14ac:dyDescent="0.35">
      <c r="A257" s="1">
        <f t="shared" ca="1" si="9"/>
        <v>0.39428669354467194</v>
      </c>
      <c r="B257" s="1">
        <f t="shared" ca="1" si="9"/>
        <v>0.29205154371221542</v>
      </c>
      <c r="C257" s="1">
        <f t="shared" ca="1" si="9"/>
        <v>0.51959704101436255</v>
      </c>
      <c r="D257">
        <f t="shared" ca="1" si="10"/>
        <v>45759</v>
      </c>
      <c r="E257">
        <f t="shared" ca="1" si="10"/>
        <v>45790</v>
      </c>
      <c r="F257" s="1">
        <f t="shared" ca="1" si="11"/>
        <v>0.52932377630990024</v>
      </c>
    </row>
    <row r="258" spans="1:6" x14ac:dyDescent="0.35">
      <c r="A258" s="1">
        <f t="shared" ca="1" si="9"/>
        <v>9.2710947056831472E-2</v>
      </c>
      <c r="B258" s="1">
        <f t="shared" ca="1" si="9"/>
        <v>0.92168551869632054</v>
      </c>
      <c r="C258" s="1">
        <f t="shared" ca="1" si="9"/>
        <v>0.42463477669161065</v>
      </c>
      <c r="D258">
        <f t="shared" ca="1" si="10"/>
        <v>45617</v>
      </c>
      <c r="E258">
        <f t="shared" ca="1" si="10"/>
        <v>45444</v>
      </c>
      <c r="F258" s="1">
        <f t="shared" ca="1" si="11"/>
        <v>0.51459864108124564</v>
      </c>
    </row>
    <row r="259" spans="1:6" x14ac:dyDescent="0.35">
      <c r="A259" s="1">
        <f t="shared" ref="A259:C322" ca="1" si="12">RAND()</f>
        <v>0.72135736857699928</v>
      </c>
      <c r="B259" s="1">
        <f t="shared" ca="1" si="12"/>
        <v>0.82711873679496728</v>
      </c>
      <c r="C259" s="1">
        <f t="shared" ca="1" si="12"/>
        <v>0.28917486089239541</v>
      </c>
      <c r="D259">
        <f t="shared" ref="D259:E322" ca="1" si="13">RANDBETWEEN(45292,45838)</f>
        <v>45325</v>
      </c>
      <c r="E259">
        <f t="shared" ca="1" si="13"/>
        <v>45455</v>
      </c>
      <c r="F259" s="1">
        <f t="shared" ref="F259:F322" ca="1" si="14">RAND()</f>
        <v>0.38943132873422615</v>
      </c>
    </row>
    <row r="260" spans="1:6" x14ac:dyDescent="0.35">
      <c r="A260" s="1">
        <f t="shared" ca="1" si="12"/>
        <v>0.15959551482829337</v>
      </c>
      <c r="B260" s="1">
        <f t="shared" ca="1" si="12"/>
        <v>0.10302311622660965</v>
      </c>
      <c r="C260" s="1">
        <f t="shared" ca="1" si="12"/>
        <v>0.56550646733238319</v>
      </c>
      <c r="D260">
        <f t="shared" ca="1" si="13"/>
        <v>45709</v>
      </c>
      <c r="E260">
        <f t="shared" ca="1" si="13"/>
        <v>45522</v>
      </c>
      <c r="F260" s="1">
        <f t="shared" ca="1" si="14"/>
        <v>0.14659333409598962</v>
      </c>
    </row>
    <row r="261" spans="1:6" x14ac:dyDescent="0.35">
      <c r="A261" s="1">
        <f t="shared" ca="1" si="12"/>
        <v>4.5311026212222272E-2</v>
      </c>
      <c r="B261" s="1">
        <f t="shared" ca="1" si="12"/>
        <v>0.82919120679148628</v>
      </c>
      <c r="C261" s="1">
        <f t="shared" ca="1" si="12"/>
        <v>0.23797951110752835</v>
      </c>
      <c r="D261">
        <f t="shared" ca="1" si="13"/>
        <v>45457</v>
      </c>
      <c r="E261">
        <f t="shared" ca="1" si="13"/>
        <v>45300</v>
      </c>
      <c r="F261" s="1">
        <f t="shared" ca="1" si="14"/>
        <v>0.22898455195839362</v>
      </c>
    </row>
    <row r="262" spans="1:6" x14ac:dyDescent="0.35">
      <c r="A262" s="1">
        <f t="shared" ca="1" si="12"/>
        <v>0.21307164345981178</v>
      </c>
      <c r="B262" s="1">
        <f t="shared" ca="1" si="12"/>
        <v>0.47928665234471191</v>
      </c>
      <c r="C262" s="1">
        <f t="shared" ca="1" si="12"/>
        <v>0.56379699088545021</v>
      </c>
      <c r="D262">
        <f t="shared" ca="1" si="13"/>
        <v>45534</v>
      </c>
      <c r="E262">
        <f t="shared" ca="1" si="13"/>
        <v>45470</v>
      </c>
      <c r="F262" s="1">
        <f t="shared" ca="1" si="14"/>
        <v>0.9605753496001399</v>
      </c>
    </row>
    <row r="263" spans="1:6" x14ac:dyDescent="0.35">
      <c r="A263" s="1">
        <f t="shared" ca="1" si="12"/>
        <v>0.52425240761254044</v>
      </c>
      <c r="B263" s="1">
        <f t="shared" ca="1" si="12"/>
        <v>0.66748812807971747</v>
      </c>
      <c r="C263" s="1">
        <f t="shared" ca="1" si="12"/>
        <v>4.4344420960868436E-2</v>
      </c>
      <c r="D263">
        <f t="shared" ca="1" si="13"/>
        <v>45833</v>
      </c>
      <c r="E263">
        <f t="shared" ca="1" si="13"/>
        <v>45637</v>
      </c>
      <c r="F263" s="1">
        <f t="shared" ca="1" si="14"/>
        <v>0.98709311142749068</v>
      </c>
    </row>
    <row r="264" spans="1:6" x14ac:dyDescent="0.35">
      <c r="A264" s="1">
        <f t="shared" ca="1" si="12"/>
        <v>0.58062529928117257</v>
      </c>
      <c r="B264" s="1">
        <f t="shared" ca="1" si="12"/>
        <v>0.66034313464075978</v>
      </c>
      <c r="C264" s="1">
        <f t="shared" ca="1" si="12"/>
        <v>2.6894134376803547E-2</v>
      </c>
      <c r="D264">
        <f t="shared" ca="1" si="13"/>
        <v>45339</v>
      </c>
      <c r="E264">
        <f t="shared" ca="1" si="13"/>
        <v>45604</v>
      </c>
      <c r="F264" s="1">
        <f t="shared" ca="1" si="14"/>
        <v>9.2807169618251084E-2</v>
      </c>
    </row>
    <row r="265" spans="1:6" x14ac:dyDescent="0.35">
      <c r="A265" s="1">
        <f t="shared" ca="1" si="12"/>
        <v>0.63247995578893279</v>
      </c>
      <c r="B265" s="1">
        <f t="shared" ca="1" si="12"/>
        <v>0.62067206806401032</v>
      </c>
      <c r="C265" s="1">
        <f t="shared" ca="1" si="12"/>
        <v>0.58303791352370682</v>
      </c>
      <c r="D265">
        <f t="shared" ca="1" si="13"/>
        <v>45311</v>
      </c>
      <c r="E265">
        <f t="shared" ca="1" si="13"/>
        <v>45431</v>
      </c>
      <c r="F265" s="1">
        <f t="shared" ca="1" si="14"/>
        <v>0.49721175657431604</v>
      </c>
    </row>
    <row r="266" spans="1:6" x14ac:dyDescent="0.35">
      <c r="A266" s="1">
        <f t="shared" ca="1" si="12"/>
        <v>0.29474090242014706</v>
      </c>
      <c r="B266" s="1">
        <f t="shared" ca="1" si="12"/>
        <v>0.29368186942399133</v>
      </c>
      <c r="C266" s="1">
        <f t="shared" ca="1" si="12"/>
        <v>0.19994756265810321</v>
      </c>
      <c r="D266">
        <f t="shared" ca="1" si="13"/>
        <v>45603</v>
      </c>
      <c r="E266">
        <f t="shared" ca="1" si="13"/>
        <v>45557</v>
      </c>
      <c r="F266" s="1">
        <f t="shared" ca="1" si="14"/>
        <v>0.77729875077626964</v>
      </c>
    </row>
    <row r="267" spans="1:6" x14ac:dyDescent="0.35">
      <c r="A267" s="1">
        <f t="shared" ca="1" si="12"/>
        <v>0.28410379062722579</v>
      </c>
      <c r="B267" s="1">
        <f t="shared" ca="1" si="12"/>
        <v>0.63440493464735781</v>
      </c>
      <c r="C267" s="1">
        <f t="shared" ca="1" si="12"/>
        <v>0.92889388189883715</v>
      </c>
      <c r="D267">
        <f t="shared" ca="1" si="13"/>
        <v>45698</v>
      </c>
      <c r="E267">
        <f t="shared" ca="1" si="13"/>
        <v>45349</v>
      </c>
      <c r="F267" s="1">
        <f t="shared" ca="1" si="14"/>
        <v>0.6663786446408525</v>
      </c>
    </row>
    <row r="268" spans="1:6" x14ac:dyDescent="0.35">
      <c r="A268" s="1">
        <f t="shared" ca="1" si="12"/>
        <v>0.1573783617832597</v>
      </c>
      <c r="B268" s="1">
        <f t="shared" ca="1" si="12"/>
        <v>0.66119486835619923</v>
      </c>
      <c r="C268" s="1">
        <f t="shared" ca="1" si="12"/>
        <v>0.84846916222239277</v>
      </c>
      <c r="D268">
        <f t="shared" ca="1" si="13"/>
        <v>45508</v>
      </c>
      <c r="E268">
        <f t="shared" ca="1" si="13"/>
        <v>45340</v>
      </c>
      <c r="F268" s="1">
        <f t="shared" ca="1" si="14"/>
        <v>0.27032047327263442</v>
      </c>
    </row>
    <row r="269" spans="1:6" x14ac:dyDescent="0.35">
      <c r="A269" s="1">
        <f t="shared" ca="1" si="12"/>
        <v>7.3212674618711837E-2</v>
      </c>
      <c r="B269" s="1">
        <f t="shared" ca="1" si="12"/>
        <v>0.72795724059532663</v>
      </c>
      <c r="C269" s="1">
        <f t="shared" ca="1" si="12"/>
        <v>0.14576112296146815</v>
      </c>
      <c r="D269">
        <f t="shared" ca="1" si="13"/>
        <v>45598</v>
      </c>
      <c r="E269">
        <f t="shared" ca="1" si="13"/>
        <v>45369</v>
      </c>
      <c r="F269" s="1">
        <f t="shared" ca="1" si="14"/>
        <v>0.81350221321328231</v>
      </c>
    </row>
    <row r="270" spans="1:6" x14ac:dyDescent="0.35">
      <c r="A270" s="1">
        <f t="shared" ca="1" si="12"/>
        <v>3.5165067129811045E-2</v>
      </c>
      <c r="B270" s="1">
        <f t="shared" ca="1" si="12"/>
        <v>0.7387393930032129</v>
      </c>
      <c r="C270" s="1">
        <f t="shared" ca="1" si="12"/>
        <v>0.49193597116077492</v>
      </c>
      <c r="D270">
        <f t="shared" ca="1" si="13"/>
        <v>45468</v>
      </c>
      <c r="E270">
        <f t="shared" ca="1" si="13"/>
        <v>45605</v>
      </c>
      <c r="F270" s="1">
        <f t="shared" ca="1" si="14"/>
        <v>0.18732310020236964</v>
      </c>
    </row>
    <row r="271" spans="1:6" x14ac:dyDescent="0.35">
      <c r="A271" s="1">
        <f t="shared" ca="1" si="12"/>
        <v>7.8459198730796098E-2</v>
      </c>
      <c r="B271" s="1">
        <f t="shared" ca="1" si="12"/>
        <v>0.72889796550954922</v>
      </c>
      <c r="C271" s="1">
        <f t="shared" ca="1" si="12"/>
        <v>8.7409463333392057E-2</v>
      </c>
      <c r="D271">
        <f t="shared" ca="1" si="13"/>
        <v>45640</v>
      </c>
      <c r="E271">
        <f t="shared" ca="1" si="13"/>
        <v>45548</v>
      </c>
      <c r="F271" s="1">
        <f t="shared" ca="1" si="14"/>
        <v>0.74157923879343679</v>
      </c>
    </row>
    <row r="272" spans="1:6" x14ac:dyDescent="0.35">
      <c r="A272" s="1">
        <f t="shared" ca="1" si="12"/>
        <v>0.36979829307497669</v>
      </c>
      <c r="B272" s="1">
        <f t="shared" ca="1" si="12"/>
        <v>0.98251308370912016</v>
      </c>
      <c r="C272" s="1">
        <f t="shared" ca="1" si="12"/>
        <v>0.15015203167307734</v>
      </c>
      <c r="D272">
        <f t="shared" ca="1" si="13"/>
        <v>45343</v>
      </c>
      <c r="E272">
        <f t="shared" ca="1" si="13"/>
        <v>45763</v>
      </c>
      <c r="F272" s="1">
        <f t="shared" ca="1" si="14"/>
        <v>0.33085666633777644</v>
      </c>
    </row>
    <row r="273" spans="1:6" x14ac:dyDescent="0.35">
      <c r="A273" s="1">
        <f t="shared" ca="1" si="12"/>
        <v>0.82175610812662825</v>
      </c>
      <c r="B273" s="1">
        <f t="shared" ca="1" si="12"/>
        <v>0.3130643977161538</v>
      </c>
      <c r="C273" s="1">
        <f t="shared" ca="1" si="12"/>
        <v>0.37812328136829487</v>
      </c>
      <c r="D273">
        <f t="shared" ca="1" si="13"/>
        <v>45821</v>
      </c>
      <c r="E273">
        <f t="shared" ca="1" si="13"/>
        <v>45478</v>
      </c>
      <c r="F273" s="1">
        <f t="shared" ca="1" si="14"/>
        <v>0.89883222846430877</v>
      </c>
    </row>
    <row r="274" spans="1:6" x14ac:dyDescent="0.35">
      <c r="A274" s="1">
        <f t="shared" ca="1" si="12"/>
        <v>0.55961623475814803</v>
      </c>
      <c r="B274" s="1">
        <f t="shared" ca="1" si="12"/>
        <v>0.70262019413022303</v>
      </c>
      <c r="C274" s="1">
        <f t="shared" ca="1" si="12"/>
        <v>0.20795160339210905</v>
      </c>
      <c r="D274">
        <f t="shared" ca="1" si="13"/>
        <v>45483</v>
      </c>
      <c r="E274">
        <f t="shared" ca="1" si="13"/>
        <v>45323</v>
      </c>
      <c r="F274" s="1">
        <f t="shared" ca="1" si="14"/>
        <v>0.88985692367028024</v>
      </c>
    </row>
    <row r="275" spans="1:6" x14ac:dyDescent="0.35">
      <c r="A275" s="1">
        <f t="shared" ca="1" si="12"/>
        <v>0.46891656874000809</v>
      </c>
      <c r="B275" s="1">
        <f t="shared" ca="1" si="12"/>
        <v>0.18477872364450476</v>
      </c>
      <c r="C275" s="1">
        <f t="shared" ca="1" si="12"/>
        <v>0.8530044087332519</v>
      </c>
      <c r="D275">
        <f t="shared" ca="1" si="13"/>
        <v>45530</v>
      </c>
      <c r="E275">
        <f t="shared" ca="1" si="13"/>
        <v>45354</v>
      </c>
      <c r="F275" s="1">
        <f t="shared" ca="1" si="14"/>
        <v>0.86499950668471981</v>
      </c>
    </row>
    <row r="276" spans="1:6" x14ac:dyDescent="0.35">
      <c r="A276" s="1">
        <f t="shared" ca="1" si="12"/>
        <v>0.66833788695943486</v>
      </c>
      <c r="B276" s="1">
        <f t="shared" ca="1" si="12"/>
        <v>0.2759999769030228</v>
      </c>
      <c r="C276" s="1">
        <f t="shared" ca="1" si="12"/>
        <v>0.49257800346454672</v>
      </c>
      <c r="D276">
        <f t="shared" ca="1" si="13"/>
        <v>45474</v>
      </c>
      <c r="E276">
        <f t="shared" ca="1" si="13"/>
        <v>45660</v>
      </c>
      <c r="F276" s="1">
        <f t="shared" ca="1" si="14"/>
        <v>0.77634915011174721</v>
      </c>
    </row>
    <row r="277" spans="1:6" x14ac:dyDescent="0.35">
      <c r="A277" s="1">
        <f t="shared" ca="1" si="12"/>
        <v>0.80736765088922968</v>
      </c>
      <c r="B277" s="1">
        <f t="shared" ca="1" si="12"/>
        <v>0.47276776194009462</v>
      </c>
      <c r="C277" s="1">
        <f t="shared" ca="1" si="12"/>
        <v>0.44703323095419156</v>
      </c>
      <c r="D277">
        <f t="shared" ca="1" si="13"/>
        <v>45496</v>
      </c>
      <c r="E277">
        <f t="shared" ca="1" si="13"/>
        <v>45593</v>
      </c>
      <c r="F277" s="1">
        <f t="shared" ca="1" si="14"/>
        <v>0.91864674458103579</v>
      </c>
    </row>
    <row r="278" spans="1:6" x14ac:dyDescent="0.35">
      <c r="A278" s="1">
        <f t="shared" ca="1" si="12"/>
        <v>0.33142873250709048</v>
      </c>
      <c r="B278" s="1">
        <f t="shared" ca="1" si="12"/>
        <v>0.26532731860336645</v>
      </c>
      <c r="C278" s="1">
        <f t="shared" ca="1" si="12"/>
        <v>0.30778956799089863</v>
      </c>
      <c r="D278">
        <f t="shared" ca="1" si="13"/>
        <v>45740</v>
      </c>
      <c r="E278">
        <f t="shared" ca="1" si="13"/>
        <v>45481</v>
      </c>
      <c r="F278" s="1">
        <f t="shared" ca="1" si="14"/>
        <v>0.84058888057577541</v>
      </c>
    </row>
    <row r="279" spans="1:6" x14ac:dyDescent="0.35">
      <c r="A279" s="1">
        <f t="shared" ca="1" si="12"/>
        <v>0.15165740406693962</v>
      </c>
      <c r="B279" s="1">
        <f t="shared" ca="1" si="12"/>
        <v>1.7091246384298708E-3</v>
      </c>
      <c r="C279" s="1">
        <f t="shared" ca="1" si="12"/>
        <v>0.18069365073021171</v>
      </c>
      <c r="D279">
        <f t="shared" ca="1" si="13"/>
        <v>45522</v>
      </c>
      <c r="E279">
        <f t="shared" ca="1" si="13"/>
        <v>45634</v>
      </c>
      <c r="F279" s="1">
        <f t="shared" ca="1" si="14"/>
        <v>0.77201718669106156</v>
      </c>
    </row>
    <row r="280" spans="1:6" x14ac:dyDescent="0.35">
      <c r="A280" s="1">
        <f t="shared" ca="1" si="12"/>
        <v>0.9037477542168364</v>
      </c>
      <c r="B280" s="1">
        <f t="shared" ca="1" si="12"/>
        <v>1.7357153025914007E-2</v>
      </c>
      <c r="C280" s="1">
        <f t="shared" ca="1" si="12"/>
        <v>0.49874368855983631</v>
      </c>
      <c r="D280">
        <f t="shared" ca="1" si="13"/>
        <v>45358</v>
      </c>
      <c r="E280">
        <f t="shared" ca="1" si="13"/>
        <v>45534</v>
      </c>
      <c r="F280" s="1">
        <f t="shared" ca="1" si="14"/>
        <v>0.5954525684529296</v>
      </c>
    </row>
    <row r="281" spans="1:6" x14ac:dyDescent="0.35">
      <c r="A281" s="1">
        <f t="shared" ca="1" si="12"/>
        <v>0.72547868861950782</v>
      </c>
      <c r="B281" s="1">
        <f t="shared" ca="1" si="12"/>
        <v>0.78777127339285857</v>
      </c>
      <c r="C281" s="1">
        <f t="shared" ca="1" si="12"/>
        <v>0.77598006299050981</v>
      </c>
      <c r="D281">
        <f t="shared" ca="1" si="13"/>
        <v>45779</v>
      </c>
      <c r="E281">
        <f t="shared" ca="1" si="13"/>
        <v>45577</v>
      </c>
      <c r="F281" s="1">
        <f t="shared" ca="1" si="14"/>
        <v>0.7290855005621909</v>
      </c>
    </row>
    <row r="282" spans="1:6" x14ac:dyDescent="0.35">
      <c r="A282" s="1">
        <f t="shared" ca="1" si="12"/>
        <v>0.61822040236064435</v>
      </c>
      <c r="B282" s="1">
        <f t="shared" ca="1" si="12"/>
        <v>0.17313001667220096</v>
      </c>
      <c r="C282" s="1">
        <f t="shared" ca="1" si="12"/>
        <v>0.68855292204561869</v>
      </c>
      <c r="D282">
        <f t="shared" ca="1" si="13"/>
        <v>45440</v>
      </c>
      <c r="E282">
        <f t="shared" ca="1" si="13"/>
        <v>45379</v>
      </c>
      <c r="F282" s="1">
        <f t="shared" ca="1" si="14"/>
        <v>0.76618068943737427</v>
      </c>
    </row>
    <row r="283" spans="1:6" x14ac:dyDescent="0.35">
      <c r="A283" s="1">
        <f t="shared" ca="1" si="12"/>
        <v>0.76619506835939488</v>
      </c>
      <c r="B283" s="1">
        <f t="shared" ca="1" si="12"/>
        <v>0.18749803978262158</v>
      </c>
      <c r="C283" s="1">
        <f t="shared" ca="1" si="12"/>
        <v>3.3989088008133828E-2</v>
      </c>
      <c r="D283">
        <f t="shared" ca="1" si="13"/>
        <v>45407</v>
      </c>
      <c r="E283">
        <f t="shared" ca="1" si="13"/>
        <v>45566</v>
      </c>
      <c r="F283" s="1">
        <f t="shared" ca="1" si="14"/>
        <v>0.10832556390878911</v>
      </c>
    </row>
    <row r="284" spans="1:6" x14ac:dyDescent="0.35">
      <c r="A284" s="1">
        <f t="shared" ca="1" si="12"/>
        <v>0.39397422805705795</v>
      </c>
      <c r="B284" s="1">
        <f t="shared" ca="1" si="12"/>
        <v>0.14773304467040738</v>
      </c>
      <c r="C284" s="1">
        <f t="shared" ca="1" si="12"/>
        <v>0.2450167985163062</v>
      </c>
      <c r="D284">
        <f t="shared" ca="1" si="13"/>
        <v>45786</v>
      </c>
      <c r="E284">
        <f t="shared" ca="1" si="13"/>
        <v>45732</v>
      </c>
      <c r="F284" s="1">
        <f t="shared" ca="1" si="14"/>
        <v>0.8127548305022172</v>
      </c>
    </row>
    <row r="285" spans="1:6" x14ac:dyDescent="0.35">
      <c r="A285" s="1">
        <f t="shared" ca="1" si="12"/>
        <v>0.18170009379462082</v>
      </c>
      <c r="B285" s="1">
        <f t="shared" ca="1" si="12"/>
        <v>0.21707690976135463</v>
      </c>
      <c r="C285" s="1">
        <f t="shared" ca="1" si="12"/>
        <v>0.88512123039638224</v>
      </c>
      <c r="D285">
        <f t="shared" ca="1" si="13"/>
        <v>45552</v>
      </c>
      <c r="E285">
        <f t="shared" ca="1" si="13"/>
        <v>45829</v>
      </c>
      <c r="F285" s="1">
        <f t="shared" ca="1" si="14"/>
        <v>0.5861799941170488</v>
      </c>
    </row>
    <row r="286" spans="1:6" x14ac:dyDescent="0.35">
      <c r="A286" s="1">
        <f t="shared" ca="1" si="12"/>
        <v>0.83568580807420767</v>
      </c>
      <c r="B286" s="1">
        <f t="shared" ca="1" si="12"/>
        <v>0.17916624219367894</v>
      </c>
      <c r="C286" s="1">
        <f t="shared" ca="1" si="12"/>
        <v>0.78677499903505177</v>
      </c>
      <c r="D286">
        <f t="shared" ca="1" si="13"/>
        <v>45478</v>
      </c>
      <c r="E286">
        <f t="shared" ca="1" si="13"/>
        <v>45628</v>
      </c>
      <c r="F286" s="1">
        <f t="shared" ca="1" si="14"/>
        <v>0.30563571900250197</v>
      </c>
    </row>
    <row r="287" spans="1:6" x14ac:dyDescent="0.35">
      <c r="A287" s="1">
        <f t="shared" ca="1" si="12"/>
        <v>0.46643194636724994</v>
      </c>
      <c r="B287" s="1">
        <f t="shared" ca="1" si="12"/>
        <v>0.39479122424682234</v>
      </c>
      <c r="C287" s="1">
        <f t="shared" ca="1" si="12"/>
        <v>0.58864311341890041</v>
      </c>
      <c r="D287">
        <f t="shared" ca="1" si="13"/>
        <v>45565</v>
      </c>
      <c r="E287">
        <f t="shared" ca="1" si="13"/>
        <v>45555</v>
      </c>
      <c r="F287" s="1">
        <f t="shared" ca="1" si="14"/>
        <v>0.71656223281969234</v>
      </c>
    </row>
    <row r="288" spans="1:6" x14ac:dyDescent="0.35">
      <c r="A288" s="1">
        <f t="shared" ca="1" si="12"/>
        <v>0.74490852722693468</v>
      </c>
      <c r="B288" s="1">
        <f t="shared" ca="1" si="12"/>
        <v>4.5262114261410358E-2</v>
      </c>
      <c r="C288" s="1">
        <f t="shared" ca="1" si="12"/>
        <v>0.52736499583053331</v>
      </c>
      <c r="D288">
        <f t="shared" ca="1" si="13"/>
        <v>45550</v>
      </c>
      <c r="E288">
        <f t="shared" ca="1" si="13"/>
        <v>45439</v>
      </c>
      <c r="F288" s="1">
        <f t="shared" ca="1" si="14"/>
        <v>0.73738766026695968</v>
      </c>
    </row>
    <row r="289" spans="1:6" x14ac:dyDescent="0.35">
      <c r="A289" s="1">
        <f t="shared" ca="1" si="12"/>
        <v>0.97014240219360781</v>
      </c>
      <c r="B289" s="1">
        <f t="shared" ca="1" si="12"/>
        <v>0.68924902475329486</v>
      </c>
      <c r="C289" s="1">
        <f t="shared" ca="1" si="12"/>
        <v>0.67607513835702882</v>
      </c>
      <c r="D289">
        <f t="shared" ca="1" si="13"/>
        <v>45737</v>
      </c>
      <c r="E289">
        <f t="shared" ca="1" si="13"/>
        <v>45547</v>
      </c>
      <c r="F289" s="1">
        <f t="shared" ca="1" si="14"/>
        <v>9.909512466292103E-2</v>
      </c>
    </row>
    <row r="290" spans="1:6" x14ac:dyDescent="0.35">
      <c r="A290" s="1">
        <f t="shared" ca="1" si="12"/>
        <v>4.5008569489633943E-2</v>
      </c>
      <c r="B290" s="1">
        <f t="shared" ca="1" si="12"/>
        <v>0.27844283492578736</v>
      </c>
      <c r="C290" s="1">
        <f t="shared" ca="1" si="12"/>
        <v>0.6405850924556713</v>
      </c>
      <c r="D290">
        <f t="shared" ca="1" si="13"/>
        <v>45428</v>
      </c>
      <c r="E290">
        <f t="shared" ca="1" si="13"/>
        <v>45812</v>
      </c>
      <c r="F290" s="1">
        <f t="shared" ca="1" si="14"/>
        <v>1.3371734858178441E-2</v>
      </c>
    </row>
    <row r="291" spans="1:6" x14ac:dyDescent="0.35">
      <c r="A291" s="1">
        <f t="shared" ca="1" si="12"/>
        <v>0.7748549311563655</v>
      </c>
      <c r="B291" s="1">
        <f t="shared" ca="1" si="12"/>
        <v>1.044592873218797E-2</v>
      </c>
      <c r="C291" s="1">
        <f t="shared" ca="1" si="12"/>
        <v>7.6750704159993299E-2</v>
      </c>
      <c r="D291">
        <f t="shared" ca="1" si="13"/>
        <v>45599</v>
      </c>
      <c r="E291">
        <f t="shared" ca="1" si="13"/>
        <v>45621</v>
      </c>
      <c r="F291" s="1">
        <f t="shared" ca="1" si="14"/>
        <v>0.46535950433664475</v>
      </c>
    </row>
    <row r="292" spans="1:6" x14ac:dyDescent="0.35">
      <c r="A292" s="1">
        <f t="shared" ca="1" si="12"/>
        <v>0.61650536993713889</v>
      </c>
      <c r="B292" s="1">
        <f t="shared" ca="1" si="12"/>
        <v>1.0761160560911476E-3</v>
      </c>
      <c r="C292" s="1">
        <f t="shared" ca="1" si="12"/>
        <v>0.60170599662080593</v>
      </c>
      <c r="D292">
        <f t="shared" ca="1" si="13"/>
        <v>45369</v>
      </c>
      <c r="E292">
        <f t="shared" ca="1" si="13"/>
        <v>45726</v>
      </c>
      <c r="F292" s="1">
        <f t="shared" ca="1" si="14"/>
        <v>0.39129629960366785</v>
      </c>
    </row>
    <row r="293" spans="1:6" x14ac:dyDescent="0.35">
      <c r="A293" s="1">
        <f t="shared" ca="1" si="12"/>
        <v>0.25481681349336138</v>
      </c>
      <c r="B293" s="1">
        <f t="shared" ca="1" si="12"/>
        <v>0.17353968271524645</v>
      </c>
      <c r="C293" s="1">
        <f t="shared" ca="1" si="12"/>
        <v>0.43526636236046201</v>
      </c>
      <c r="D293">
        <f t="shared" ca="1" si="13"/>
        <v>45532</v>
      </c>
      <c r="E293">
        <f t="shared" ca="1" si="13"/>
        <v>45704</v>
      </c>
      <c r="F293" s="1">
        <f t="shared" ca="1" si="14"/>
        <v>0.58928442643580103</v>
      </c>
    </row>
    <row r="294" spans="1:6" x14ac:dyDescent="0.35">
      <c r="A294" s="1">
        <f t="shared" ca="1" si="12"/>
        <v>0.58053589740504341</v>
      </c>
      <c r="B294" s="1">
        <f t="shared" ca="1" si="12"/>
        <v>0.36223960183418724</v>
      </c>
      <c r="C294" s="1">
        <f t="shared" ca="1" si="12"/>
        <v>0.6855028078573856</v>
      </c>
      <c r="D294">
        <f t="shared" ca="1" si="13"/>
        <v>45769</v>
      </c>
      <c r="E294">
        <f t="shared" ca="1" si="13"/>
        <v>45828</v>
      </c>
      <c r="F294" s="1">
        <f t="shared" ca="1" si="14"/>
        <v>0.44979253641339856</v>
      </c>
    </row>
    <row r="295" spans="1:6" x14ac:dyDescent="0.35">
      <c r="A295" s="1">
        <f t="shared" ca="1" si="12"/>
        <v>0.62545457134749705</v>
      </c>
      <c r="B295" s="1">
        <f t="shared" ca="1" si="12"/>
        <v>0.79344930874843245</v>
      </c>
      <c r="C295" s="1">
        <f t="shared" ca="1" si="12"/>
        <v>0.37629601175857186</v>
      </c>
      <c r="D295">
        <f t="shared" ca="1" si="13"/>
        <v>45359</v>
      </c>
      <c r="E295">
        <f t="shared" ca="1" si="13"/>
        <v>45635</v>
      </c>
      <c r="F295" s="1">
        <f t="shared" ca="1" si="14"/>
        <v>1.9278619218428772E-2</v>
      </c>
    </row>
    <row r="296" spans="1:6" x14ac:dyDescent="0.35">
      <c r="A296" s="1">
        <f t="shared" ca="1" si="12"/>
        <v>0.73488515390704889</v>
      </c>
      <c r="B296" s="1">
        <f t="shared" ca="1" si="12"/>
        <v>0.7996276057828039</v>
      </c>
      <c r="C296" s="1">
        <f t="shared" ca="1" si="12"/>
        <v>0.90416013068101198</v>
      </c>
      <c r="D296">
        <f t="shared" ca="1" si="13"/>
        <v>45656</v>
      </c>
      <c r="E296">
        <f t="shared" ca="1" si="13"/>
        <v>45519</v>
      </c>
      <c r="F296" s="1">
        <f t="shared" ca="1" si="14"/>
        <v>0.78494873486494965</v>
      </c>
    </row>
    <row r="297" spans="1:6" x14ac:dyDescent="0.35">
      <c r="A297" s="1">
        <f t="shared" ca="1" si="12"/>
        <v>0.65127877302981541</v>
      </c>
      <c r="B297" s="1">
        <f t="shared" ca="1" si="12"/>
        <v>0.76240801866722474</v>
      </c>
      <c r="C297" s="1">
        <f t="shared" ca="1" si="12"/>
        <v>3.6499151654947326E-3</v>
      </c>
      <c r="D297">
        <f t="shared" ca="1" si="13"/>
        <v>45715</v>
      </c>
      <c r="E297">
        <f t="shared" ca="1" si="13"/>
        <v>45770</v>
      </c>
      <c r="F297" s="1">
        <f t="shared" ca="1" si="14"/>
        <v>0.31685118189573691</v>
      </c>
    </row>
    <row r="298" spans="1:6" x14ac:dyDescent="0.35">
      <c r="A298" s="1">
        <f t="shared" ca="1" si="12"/>
        <v>0.56290581584392307</v>
      </c>
      <c r="B298" s="1">
        <f t="shared" ca="1" si="12"/>
        <v>4.0150978958787942E-2</v>
      </c>
      <c r="C298" s="1">
        <f t="shared" ca="1" si="12"/>
        <v>0.26676074794338733</v>
      </c>
      <c r="D298">
        <f t="shared" ca="1" si="13"/>
        <v>45516</v>
      </c>
      <c r="E298">
        <f t="shared" ca="1" si="13"/>
        <v>45427</v>
      </c>
      <c r="F298" s="1">
        <f t="shared" ca="1" si="14"/>
        <v>0.83461135929055819</v>
      </c>
    </row>
    <row r="299" spans="1:6" x14ac:dyDescent="0.35">
      <c r="A299" s="1">
        <f t="shared" ca="1" si="12"/>
        <v>0.25331074623837435</v>
      </c>
      <c r="B299" s="1">
        <f t="shared" ca="1" si="12"/>
        <v>0.92046628967341193</v>
      </c>
      <c r="C299" s="1">
        <f t="shared" ca="1" si="12"/>
        <v>9.3238346406293915E-2</v>
      </c>
      <c r="D299">
        <f t="shared" ca="1" si="13"/>
        <v>45688</v>
      </c>
      <c r="E299">
        <f t="shared" ca="1" si="13"/>
        <v>45398</v>
      </c>
      <c r="F299" s="1">
        <f t="shared" ca="1" si="14"/>
        <v>0.53751734988554045</v>
      </c>
    </row>
    <row r="300" spans="1:6" x14ac:dyDescent="0.35">
      <c r="A300" s="1">
        <f t="shared" ca="1" si="12"/>
        <v>0.5989602704148419</v>
      </c>
      <c r="B300" s="1">
        <f t="shared" ca="1" si="12"/>
        <v>0.81752598492725959</v>
      </c>
      <c r="C300" s="1">
        <f t="shared" ca="1" si="12"/>
        <v>0.99052907870467621</v>
      </c>
      <c r="D300">
        <f t="shared" ca="1" si="13"/>
        <v>45761</v>
      </c>
      <c r="E300">
        <f t="shared" ca="1" si="13"/>
        <v>45655</v>
      </c>
      <c r="F300" s="1">
        <f t="shared" ca="1" si="14"/>
        <v>0.69329932820998097</v>
      </c>
    </row>
    <row r="301" spans="1:6" x14ac:dyDescent="0.35">
      <c r="A301" s="1">
        <f t="shared" ca="1" si="12"/>
        <v>0.44855755006183873</v>
      </c>
      <c r="B301" s="1">
        <f t="shared" ca="1" si="12"/>
        <v>0.71453240126878814</v>
      </c>
      <c r="C301" s="1">
        <f t="shared" ca="1" si="12"/>
        <v>0.91002570649716752</v>
      </c>
      <c r="D301">
        <f t="shared" ca="1" si="13"/>
        <v>45512</v>
      </c>
      <c r="E301">
        <f t="shared" ca="1" si="13"/>
        <v>45643</v>
      </c>
      <c r="F301" s="1">
        <f t="shared" ca="1" si="14"/>
        <v>0.27587389396264739</v>
      </c>
    </row>
    <row r="302" spans="1:6" x14ac:dyDescent="0.35">
      <c r="A302" s="1">
        <f t="shared" ca="1" si="12"/>
        <v>0.8702116810974686</v>
      </c>
      <c r="B302" s="1">
        <f t="shared" ca="1" si="12"/>
        <v>0.7283558676065538</v>
      </c>
      <c r="C302" s="1">
        <f t="shared" ca="1" si="12"/>
        <v>0.61921014095616456</v>
      </c>
      <c r="D302">
        <f t="shared" ca="1" si="13"/>
        <v>45318</v>
      </c>
      <c r="E302">
        <f t="shared" ca="1" si="13"/>
        <v>45532</v>
      </c>
      <c r="F302" s="1">
        <f t="shared" ca="1" si="14"/>
        <v>8.4518808085040309E-2</v>
      </c>
    </row>
    <row r="303" spans="1:6" x14ac:dyDescent="0.35">
      <c r="A303" s="1">
        <f t="shared" ca="1" si="12"/>
        <v>0.63938541379100022</v>
      </c>
      <c r="B303" s="1">
        <f t="shared" ca="1" si="12"/>
        <v>0.15066934495946016</v>
      </c>
      <c r="C303" s="1">
        <f t="shared" ca="1" si="12"/>
        <v>0.6879193734632052</v>
      </c>
      <c r="D303">
        <f t="shared" ca="1" si="13"/>
        <v>45739</v>
      </c>
      <c r="E303">
        <f t="shared" ca="1" si="13"/>
        <v>45582</v>
      </c>
      <c r="F303" s="1">
        <f t="shared" ca="1" si="14"/>
        <v>0.48678022348393113</v>
      </c>
    </row>
    <row r="304" spans="1:6" x14ac:dyDescent="0.35">
      <c r="A304" s="1">
        <f t="shared" ca="1" si="12"/>
        <v>0.16756383711775991</v>
      </c>
      <c r="B304" s="1">
        <f t="shared" ca="1" si="12"/>
        <v>0.49844117008227662</v>
      </c>
      <c r="C304" s="1">
        <f t="shared" ca="1" si="12"/>
        <v>0.95868174161349784</v>
      </c>
      <c r="D304">
        <f t="shared" ca="1" si="13"/>
        <v>45602</v>
      </c>
      <c r="E304">
        <f t="shared" ca="1" si="13"/>
        <v>45454</v>
      </c>
      <c r="F304" s="1">
        <f t="shared" ca="1" si="14"/>
        <v>0.34867345986201648</v>
      </c>
    </row>
    <row r="305" spans="1:6" x14ac:dyDescent="0.35">
      <c r="A305" s="1">
        <f t="shared" ca="1" si="12"/>
        <v>0.82756105148570913</v>
      </c>
      <c r="B305" s="1">
        <f t="shared" ca="1" si="12"/>
        <v>0.53442477854193193</v>
      </c>
      <c r="C305" s="1">
        <f t="shared" ca="1" si="12"/>
        <v>0.22828254010172111</v>
      </c>
      <c r="D305">
        <f t="shared" ca="1" si="13"/>
        <v>45541</v>
      </c>
      <c r="E305">
        <f t="shared" ca="1" si="13"/>
        <v>45405</v>
      </c>
      <c r="F305" s="1">
        <f t="shared" ca="1" si="14"/>
        <v>0.54835770927970151</v>
      </c>
    </row>
    <row r="306" spans="1:6" x14ac:dyDescent="0.35">
      <c r="A306" s="1">
        <f t="shared" ca="1" si="12"/>
        <v>0.57177087283477401</v>
      </c>
      <c r="B306" s="1">
        <f t="shared" ca="1" si="12"/>
        <v>0.93644948265148653</v>
      </c>
      <c r="C306" s="1">
        <f t="shared" ca="1" si="12"/>
        <v>0.18810849032235277</v>
      </c>
      <c r="D306">
        <f t="shared" ca="1" si="13"/>
        <v>45308</v>
      </c>
      <c r="E306">
        <f t="shared" ca="1" si="13"/>
        <v>45474</v>
      </c>
      <c r="F306" s="1">
        <f t="shared" ca="1" si="14"/>
        <v>0.48341795719974812</v>
      </c>
    </row>
    <row r="307" spans="1:6" x14ac:dyDescent="0.35">
      <c r="A307" s="1">
        <f t="shared" ca="1" si="12"/>
        <v>0.19354935164718767</v>
      </c>
      <c r="B307" s="1">
        <f t="shared" ca="1" si="12"/>
        <v>0.50715265536793042</v>
      </c>
      <c r="C307" s="1">
        <f t="shared" ca="1" si="12"/>
        <v>0.87189011664718019</v>
      </c>
      <c r="D307">
        <f t="shared" ca="1" si="13"/>
        <v>45738</v>
      </c>
      <c r="E307">
        <f t="shared" ca="1" si="13"/>
        <v>45556</v>
      </c>
      <c r="F307" s="1">
        <f t="shared" ca="1" si="14"/>
        <v>0.42907635086524698</v>
      </c>
    </row>
    <row r="308" spans="1:6" x14ac:dyDescent="0.35">
      <c r="A308" s="1">
        <f t="shared" ca="1" si="12"/>
        <v>0.22485500248030843</v>
      </c>
      <c r="B308" s="1">
        <f t="shared" ca="1" si="12"/>
        <v>0.39119106471222331</v>
      </c>
      <c r="C308" s="1">
        <f t="shared" ca="1" si="12"/>
        <v>0.18482269369933813</v>
      </c>
      <c r="D308">
        <f t="shared" ca="1" si="13"/>
        <v>45553</v>
      </c>
      <c r="E308">
        <f t="shared" ca="1" si="13"/>
        <v>45757</v>
      </c>
      <c r="F308" s="1">
        <f t="shared" ca="1" si="14"/>
        <v>0.78583076386004092</v>
      </c>
    </row>
    <row r="309" spans="1:6" x14ac:dyDescent="0.35">
      <c r="A309" s="1">
        <f t="shared" ca="1" si="12"/>
        <v>0.64100634088025199</v>
      </c>
      <c r="B309" s="1">
        <f t="shared" ca="1" si="12"/>
        <v>0.31655444528058552</v>
      </c>
      <c r="C309" s="1">
        <f t="shared" ca="1" si="12"/>
        <v>0.87579908275037355</v>
      </c>
      <c r="D309">
        <f t="shared" ca="1" si="13"/>
        <v>45677</v>
      </c>
      <c r="E309">
        <f t="shared" ca="1" si="13"/>
        <v>45351</v>
      </c>
      <c r="F309" s="1">
        <f t="shared" ca="1" si="14"/>
        <v>0.54086837267467502</v>
      </c>
    </row>
    <row r="310" spans="1:6" x14ac:dyDescent="0.35">
      <c r="A310" s="1">
        <f t="shared" ca="1" si="12"/>
        <v>0.57307132589470744</v>
      </c>
      <c r="B310" s="1">
        <f t="shared" ca="1" si="12"/>
        <v>0.61208508672240192</v>
      </c>
      <c r="C310" s="1">
        <f t="shared" ca="1" si="12"/>
        <v>0.20262302844062097</v>
      </c>
      <c r="D310">
        <f t="shared" ca="1" si="13"/>
        <v>45757</v>
      </c>
      <c r="E310">
        <f t="shared" ca="1" si="13"/>
        <v>45320</v>
      </c>
      <c r="F310" s="1">
        <f t="shared" ca="1" si="14"/>
        <v>0.34716063313724155</v>
      </c>
    </row>
    <row r="311" spans="1:6" x14ac:dyDescent="0.35">
      <c r="A311" s="1">
        <f t="shared" ca="1" si="12"/>
        <v>0.8487223965045535</v>
      </c>
      <c r="B311" s="1">
        <f t="shared" ca="1" si="12"/>
        <v>0.36108767899004202</v>
      </c>
      <c r="C311" s="1">
        <f t="shared" ca="1" si="12"/>
        <v>0.22515698323190714</v>
      </c>
      <c r="D311">
        <f t="shared" ca="1" si="13"/>
        <v>45531</v>
      </c>
      <c r="E311">
        <f t="shared" ca="1" si="13"/>
        <v>45303</v>
      </c>
      <c r="F311" s="1">
        <f t="shared" ca="1" si="14"/>
        <v>1.3882893246981887E-2</v>
      </c>
    </row>
    <row r="312" spans="1:6" x14ac:dyDescent="0.35">
      <c r="A312" s="1">
        <f t="shared" ca="1" si="12"/>
        <v>7.64169231999825E-2</v>
      </c>
      <c r="B312" s="1">
        <f t="shared" ca="1" si="12"/>
        <v>0.6528148344692023</v>
      </c>
      <c r="C312" s="1">
        <f t="shared" ca="1" si="12"/>
        <v>0.48975311867548554</v>
      </c>
      <c r="D312">
        <f t="shared" ca="1" si="13"/>
        <v>45585</v>
      </c>
      <c r="E312">
        <f t="shared" ca="1" si="13"/>
        <v>45526</v>
      </c>
      <c r="F312" s="1">
        <f t="shared" ca="1" si="14"/>
        <v>0.92033612471644077</v>
      </c>
    </row>
    <row r="313" spans="1:6" x14ac:dyDescent="0.35">
      <c r="A313" s="1">
        <f t="shared" ca="1" si="12"/>
        <v>0.96518258541644231</v>
      </c>
      <c r="B313" s="1">
        <f t="shared" ca="1" si="12"/>
        <v>0.67136799219680388</v>
      </c>
      <c r="C313" s="1">
        <f t="shared" ca="1" si="12"/>
        <v>2.389578379105195E-2</v>
      </c>
      <c r="D313">
        <f t="shared" ca="1" si="13"/>
        <v>45411</v>
      </c>
      <c r="E313">
        <f t="shared" ca="1" si="13"/>
        <v>45771</v>
      </c>
      <c r="F313" s="1">
        <f t="shared" ca="1" si="14"/>
        <v>0.87345260618898923</v>
      </c>
    </row>
    <row r="314" spans="1:6" x14ac:dyDescent="0.35">
      <c r="A314" s="1">
        <f t="shared" ca="1" si="12"/>
        <v>0.89367129710441284</v>
      </c>
      <c r="B314" s="1">
        <f t="shared" ca="1" si="12"/>
        <v>0.25622042625356578</v>
      </c>
      <c r="C314" s="1">
        <f t="shared" ca="1" si="12"/>
        <v>0.8162992614471728</v>
      </c>
      <c r="D314">
        <f t="shared" ca="1" si="13"/>
        <v>45390</v>
      </c>
      <c r="E314">
        <f t="shared" ca="1" si="13"/>
        <v>45617</v>
      </c>
      <c r="F314" s="1">
        <f t="shared" ca="1" si="14"/>
        <v>0.53146069673808738</v>
      </c>
    </row>
    <row r="315" spans="1:6" x14ac:dyDescent="0.35">
      <c r="A315" s="1">
        <f t="shared" ca="1" si="12"/>
        <v>0.1569875866233178</v>
      </c>
      <c r="B315" s="1">
        <f t="shared" ca="1" si="12"/>
        <v>9.1908254572453663E-3</v>
      </c>
      <c r="C315" s="1">
        <f t="shared" ca="1" si="12"/>
        <v>0.5580976187667217</v>
      </c>
      <c r="D315">
        <f t="shared" ca="1" si="13"/>
        <v>45404</v>
      </c>
      <c r="E315">
        <f t="shared" ca="1" si="13"/>
        <v>45374</v>
      </c>
      <c r="F315" s="1">
        <f t="shared" ca="1" si="14"/>
        <v>0.90677974361483582</v>
      </c>
    </row>
    <row r="316" spans="1:6" x14ac:dyDescent="0.35">
      <c r="A316" s="1">
        <f t="shared" ca="1" si="12"/>
        <v>0.63103919146246545</v>
      </c>
      <c r="B316" s="1">
        <f t="shared" ca="1" si="12"/>
        <v>0.13970718746268873</v>
      </c>
      <c r="C316" s="1">
        <f t="shared" ca="1" si="12"/>
        <v>0.19008188907502555</v>
      </c>
      <c r="D316">
        <f t="shared" ca="1" si="13"/>
        <v>45707</v>
      </c>
      <c r="E316">
        <f t="shared" ca="1" si="13"/>
        <v>45536</v>
      </c>
      <c r="F316" s="1">
        <f t="shared" ca="1" si="14"/>
        <v>0.37823693391591107</v>
      </c>
    </row>
    <row r="317" spans="1:6" x14ac:dyDescent="0.35">
      <c r="A317" s="1">
        <f t="shared" ca="1" si="12"/>
        <v>0.63649392309678265</v>
      </c>
      <c r="B317" s="1">
        <f t="shared" ca="1" si="12"/>
        <v>0.75704489409545506</v>
      </c>
      <c r="C317" s="1">
        <f t="shared" ca="1" si="12"/>
        <v>0.71627458701326496</v>
      </c>
      <c r="D317">
        <f t="shared" ca="1" si="13"/>
        <v>45549</v>
      </c>
      <c r="E317">
        <f t="shared" ca="1" si="13"/>
        <v>45745</v>
      </c>
      <c r="F317" s="1">
        <f t="shared" ca="1" si="14"/>
        <v>0.10737206425993207</v>
      </c>
    </row>
    <row r="318" spans="1:6" x14ac:dyDescent="0.35">
      <c r="A318" s="1">
        <f t="shared" ca="1" si="12"/>
        <v>0.64034158878291436</v>
      </c>
      <c r="B318" s="1">
        <f t="shared" ca="1" si="12"/>
        <v>0.62987196664366918</v>
      </c>
      <c r="C318" s="1">
        <f t="shared" ca="1" si="12"/>
        <v>0.47099892300120272</v>
      </c>
      <c r="D318">
        <f t="shared" ca="1" si="13"/>
        <v>45417</v>
      </c>
      <c r="E318">
        <f t="shared" ca="1" si="13"/>
        <v>45784</v>
      </c>
      <c r="F318" s="1">
        <f t="shared" ca="1" si="14"/>
        <v>0.34009485140264195</v>
      </c>
    </row>
    <row r="319" spans="1:6" x14ac:dyDescent="0.35">
      <c r="A319" s="1">
        <f t="shared" ca="1" si="12"/>
        <v>0.74206601808770134</v>
      </c>
      <c r="B319" s="1">
        <f t="shared" ca="1" si="12"/>
        <v>0.44232095821869621</v>
      </c>
      <c r="C319" s="1">
        <f t="shared" ca="1" si="12"/>
        <v>3.5981984831620739E-2</v>
      </c>
      <c r="D319">
        <f t="shared" ca="1" si="13"/>
        <v>45652</v>
      </c>
      <c r="E319">
        <f t="shared" ca="1" si="13"/>
        <v>45527</v>
      </c>
      <c r="F319" s="1">
        <f t="shared" ca="1" si="14"/>
        <v>0.97362575531078255</v>
      </c>
    </row>
    <row r="320" spans="1:6" x14ac:dyDescent="0.35">
      <c r="A320" s="1">
        <f t="shared" ca="1" si="12"/>
        <v>2.0621724983828971E-2</v>
      </c>
      <c r="B320" s="1">
        <f t="shared" ca="1" si="12"/>
        <v>0.35768286094690194</v>
      </c>
      <c r="C320" s="1">
        <f t="shared" ca="1" si="12"/>
        <v>0.31850426145380983</v>
      </c>
      <c r="D320">
        <f t="shared" ca="1" si="13"/>
        <v>45501</v>
      </c>
      <c r="E320">
        <f t="shared" ca="1" si="13"/>
        <v>45377</v>
      </c>
      <c r="F320" s="1">
        <f t="shared" ca="1" si="14"/>
        <v>0.82913448050240235</v>
      </c>
    </row>
    <row r="321" spans="1:6" x14ac:dyDescent="0.35">
      <c r="A321" s="1">
        <f t="shared" ca="1" si="12"/>
        <v>0.16015343407022953</v>
      </c>
      <c r="B321" s="1">
        <f t="shared" ca="1" si="12"/>
        <v>0.68699330495033006</v>
      </c>
      <c r="C321" s="1">
        <f t="shared" ca="1" si="12"/>
        <v>0.42419123971114236</v>
      </c>
      <c r="D321">
        <f t="shared" ca="1" si="13"/>
        <v>45485</v>
      </c>
      <c r="E321">
        <f t="shared" ca="1" si="13"/>
        <v>45806</v>
      </c>
      <c r="F321" s="1">
        <f t="shared" ca="1" si="14"/>
        <v>0.12542121429506292</v>
      </c>
    </row>
    <row r="322" spans="1:6" x14ac:dyDescent="0.35">
      <c r="A322" s="1">
        <f t="shared" ca="1" si="12"/>
        <v>0.68336237997569405</v>
      </c>
      <c r="B322" s="1">
        <f t="shared" ca="1" si="12"/>
        <v>0.56878307555502805</v>
      </c>
      <c r="C322" s="1">
        <f t="shared" ca="1" si="12"/>
        <v>0.11185772775428604</v>
      </c>
      <c r="D322">
        <f t="shared" ca="1" si="13"/>
        <v>45371</v>
      </c>
      <c r="E322">
        <f t="shared" ca="1" si="13"/>
        <v>45779</v>
      </c>
      <c r="F322" s="1">
        <f t="shared" ca="1" si="14"/>
        <v>8.7336829550582085E-2</v>
      </c>
    </row>
    <row r="323" spans="1:6" x14ac:dyDescent="0.35">
      <c r="A323" s="1">
        <f t="shared" ref="A323:C386" ca="1" si="15">RAND()</f>
        <v>0.95415842989168764</v>
      </c>
      <c r="B323" s="1">
        <f t="shared" ca="1" si="15"/>
        <v>0.68926987202798251</v>
      </c>
      <c r="C323" s="1">
        <f t="shared" ca="1" si="15"/>
        <v>0.83282158389079974</v>
      </c>
      <c r="D323">
        <f t="shared" ref="D323:E386" ca="1" si="16">RANDBETWEEN(45292,45838)</f>
        <v>45454</v>
      </c>
      <c r="E323">
        <f t="shared" ca="1" si="16"/>
        <v>45734</v>
      </c>
      <c r="F323" s="1">
        <f t="shared" ref="F323:F386" ca="1" si="17">RAND()</f>
        <v>0.53442479087861738</v>
      </c>
    </row>
    <row r="324" spans="1:6" x14ac:dyDescent="0.35">
      <c r="A324" s="1">
        <f t="shared" ca="1" si="15"/>
        <v>0.22733069779394888</v>
      </c>
      <c r="B324" s="1">
        <f t="shared" ca="1" si="15"/>
        <v>0.61934537228963626</v>
      </c>
      <c r="C324" s="1">
        <f t="shared" ca="1" si="15"/>
        <v>0.72189979999107345</v>
      </c>
      <c r="D324">
        <f t="shared" ca="1" si="16"/>
        <v>45466</v>
      </c>
      <c r="E324">
        <f t="shared" ca="1" si="16"/>
        <v>45452</v>
      </c>
      <c r="F324" s="1">
        <f t="shared" ca="1" si="17"/>
        <v>0.73730005243945518</v>
      </c>
    </row>
    <row r="325" spans="1:6" x14ac:dyDescent="0.35">
      <c r="A325" s="1">
        <f t="shared" ca="1" si="15"/>
        <v>0.66107917971782415</v>
      </c>
      <c r="B325" s="1">
        <f t="shared" ca="1" si="15"/>
        <v>0.79531353963843532</v>
      </c>
      <c r="C325" s="1">
        <f t="shared" ca="1" si="15"/>
        <v>0.10837393887389957</v>
      </c>
      <c r="D325">
        <f t="shared" ca="1" si="16"/>
        <v>45521</v>
      </c>
      <c r="E325">
        <f t="shared" ca="1" si="16"/>
        <v>45697</v>
      </c>
      <c r="F325" s="1">
        <f t="shared" ca="1" si="17"/>
        <v>0.91029597336895596</v>
      </c>
    </row>
    <row r="326" spans="1:6" x14ac:dyDescent="0.35">
      <c r="A326" s="1">
        <f t="shared" ca="1" si="15"/>
        <v>0.42959475099745814</v>
      </c>
      <c r="B326" s="1">
        <f t="shared" ca="1" si="15"/>
        <v>0.84114544115273415</v>
      </c>
      <c r="C326" s="1">
        <f t="shared" ca="1" si="15"/>
        <v>0.98163895156763004</v>
      </c>
      <c r="D326">
        <f t="shared" ca="1" si="16"/>
        <v>45726</v>
      </c>
      <c r="E326">
        <f t="shared" ca="1" si="16"/>
        <v>45443</v>
      </c>
      <c r="F326" s="1">
        <f t="shared" ca="1" si="17"/>
        <v>0.10363900132768045</v>
      </c>
    </row>
    <row r="327" spans="1:6" x14ac:dyDescent="0.35">
      <c r="A327" s="1">
        <f t="shared" ca="1" si="15"/>
        <v>0.5484903274449372</v>
      </c>
      <c r="B327" s="1">
        <f t="shared" ca="1" si="15"/>
        <v>0.78535953919284474</v>
      </c>
      <c r="C327" s="1">
        <f t="shared" ca="1" si="15"/>
        <v>0.14672738392269646</v>
      </c>
      <c r="D327">
        <f t="shared" ca="1" si="16"/>
        <v>45838</v>
      </c>
      <c r="E327">
        <f t="shared" ca="1" si="16"/>
        <v>45616</v>
      </c>
      <c r="F327" s="1">
        <f t="shared" ca="1" si="17"/>
        <v>0.53708959648939203</v>
      </c>
    </row>
    <row r="328" spans="1:6" x14ac:dyDescent="0.35">
      <c r="A328" s="1">
        <f t="shared" ca="1" si="15"/>
        <v>0.47548551153373431</v>
      </c>
      <c r="B328" s="1">
        <f t="shared" ca="1" si="15"/>
        <v>0.2802038741948879</v>
      </c>
      <c r="C328" s="1">
        <f t="shared" ca="1" si="15"/>
        <v>0.9993898755970112</v>
      </c>
      <c r="D328">
        <f t="shared" ca="1" si="16"/>
        <v>45776</v>
      </c>
      <c r="E328">
        <f t="shared" ca="1" si="16"/>
        <v>45435</v>
      </c>
      <c r="F328" s="1">
        <f t="shared" ca="1" si="17"/>
        <v>0.29793417530242394</v>
      </c>
    </row>
    <row r="329" spans="1:6" x14ac:dyDescent="0.35">
      <c r="A329" s="1">
        <f t="shared" ca="1" si="15"/>
        <v>0.7348021665884803</v>
      </c>
      <c r="B329" s="1">
        <f t="shared" ca="1" si="15"/>
        <v>0.39184805188021166</v>
      </c>
      <c r="C329" s="1">
        <f t="shared" ca="1" si="15"/>
        <v>0.67650146605573203</v>
      </c>
      <c r="D329">
        <f t="shared" ca="1" si="16"/>
        <v>45622</v>
      </c>
      <c r="E329">
        <f t="shared" ca="1" si="16"/>
        <v>45758</v>
      </c>
      <c r="F329" s="1">
        <f t="shared" ca="1" si="17"/>
        <v>0.61339343003861191</v>
      </c>
    </row>
    <row r="330" spans="1:6" x14ac:dyDescent="0.35">
      <c r="A330" s="1">
        <f t="shared" ca="1" si="15"/>
        <v>0.84904743712405628</v>
      </c>
      <c r="B330" s="1">
        <f t="shared" ca="1" si="15"/>
        <v>0.38331356030117114</v>
      </c>
      <c r="C330" s="1">
        <f t="shared" ca="1" si="15"/>
        <v>0.72606772735098746</v>
      </c>
      <c r="D330">
        <f t="shared" ca="1" si="16"/>
        <v>45327</v>
      </c>
      <c r="E330">
        <f t="shared" ca="1" si="16"/>
        <v>45755</v>
      </c>
      <c r="F330" s="1">
        <f t="shared" ca="1" si="17"/>
        <v>0.5797220345422659</v>
      </c>
    </row>
    <row r="331" spans="1:6" x14ac:dyDescent="0.35">
      <c r="A331" s="1">
        <f t="shared" ca="1" si="15"/>
        <v>0.56712338078310121</v>
      </c>
      <c r="B331" s="1">
        <f t="shared" ca="1" si="15"/>
        <v>0.73124880806002879</v>
      </c>
      <c r="C331" s="1">
        <f t="shared" ca="1" si="15"/>
        <v>0.41822991720061231</v>
      </c>
      <c r="D331">
        <f t="shared" ca="1" si="16"/>
        <v>45587</v>
      </c>
      <c r="E331">
        <f t="shared" ca="1" si="16"/>
        <v>45447</v>
      </c>
      <c r="F331" s="1">
        <f t="shared" ca="1" si="17"/>
        <v>0.98625180757186026</v>
      </c>
    </row>
    <row r="332" spans="1:6" x14ac:dyDescent="0.35">
      <c r="A332" s="1">
        <f t="shared" ca="1" si="15"/>
        <v>0.22462792551155653</v>
      </c>
      <c r="B332" s="1">
        <f t="shared" ca="1" si="15"/>
        <v>0.97657126026740826</v>
      </c>
      <c r="C332" s="1">
        <f t="shared" ca="1" si="15"/>
        <v>0.47333572446374339</v>
      </c>
      <c r="D332">
        <f t="shared" ca="1" si="16"/>
        <v>45585</v>
      </c>
      <c r="E332">
        <f t="shared" ca="1" si="16"/>
        <v>45809</v>
      </c>
      <c r="F332" s="1">
        <f t="shared" ca="1" si="17"/>
        <v>0.91116371937550533</v>
      </c>
    </row>
    <row r="333" spans="1:6" x14ac:dyDescent="0.35">
      <c r="A333" s="1">
        <f t="shared" ca="1" si="15"/>
        <v>0.93829533368376439</v>
      </c>
      <c r="B333" s="1">
        <f t="shared" ca="1" si="15"/>
        <v>0.77786562862512987</v>
      </c>
      <c r="C333" s="1">
        <f t="shared" ca="1" si="15"/>
        <v>0.81922603089014745</v>
      </c>
      <c r="D333">
        <f t="shared" ca="1" si="16"/>
        <v>45442</v>
      </c>
      <c r="E333">
        <f t="shared" ca="1" si="16"/>
        <v>45454</v>
      </c>
      <c r="F333" s="1">
        <f t="shared" ca="1" si="17"/>
        <v>0.29559242881350822</v>
      </c>
    </row>
    <row r="334" spans="1:6" x14ac:dyDescent="0.35">
      <c r="A334" s="1">
        <f t="shared" ca="1" si="15"/>
        <v>0.97744031464067294</v>
      </c>
      <c r="B334" s="1">
        <f t="shared" ca="1" si="15"/>
        <v>0.74155782051745156</v>
      </c>
      <c r="C334" s="1">
        <f t="shared" ca="1" si="15"/>
        <v>0.11839784897348382</v>
      </c>
      <c r="D334">
        <f t="shared" ca="1" si="16"/>
        <v>45821</v>
      </c>
      <c r="E334">
        <f t="shared" ca="1" si="16"/>
        <v>45656</v>
      </c>
      <c r="F334" s="1">
        <f t="shared" ca="1" si="17"/>
        <v>0.32160638787661555</v>
      </c>
    </row>
    <row r="335" spans="1:6" x14ac:dyDescent="0.35">
      <c r="A335" s="1">
        <f t="shared" ca="1" si="15"/>
        <v>0.40978877330739527</v>
      </c>
      <c r="B335" s="1">
        <f t="shared" ca="1" si="15"/>
        <v>0.44865779433494246</v>
      </c>
      <c r="C335" s="1">
        <f t="shared" ca="1" si="15"/>
        <v>0.20545896127630314</v>
      </c>
      <c r="D335">
        <f t="shared" ca="1" si="16"/>
        <v>45468</v>
      </c>
      <c r="E335">
        <f t="shared" ca="1" si="16"/>
        <v>45522</v>
      </c>
      <c r="F335" s="1">
        <f t="shared" ca="1" si="17"/>
        <v>0.11101096461980897</v>
      </c>
    </row>
    <row r="336" spans="1:6" x14ac:dyDescent="0.35">
      <c r="A336" s="1">
        <f t="shared" ca="1" si="15"/>
        <v>4.273206022310716E-2</v>
      </c>
      <c r="B336" s="1">
        <f t="shared" ca="1" si="15"/>
        <v>0.92766305099662905</v>
      </c>
      <c r="C336" s="1">
        <f t="shared" ca="1" si="15"/>
        <v>0.32026861638324144</v>
      </c>
      <c r="D336">
        <f t="shared" ca="1" si="16"/>
        <v>45658</v>
      </c>
      <c r="E336">
        <f t="shared" ca="1" si="16"/>
        <v>45409</v>
      </c>
      <c r="F336" s="1">
        <f t="shared" ca="1" si="17"/>
        <v>0.50763331884877505</v>
      </c>
    </row>
    <row r="337" spans="1:6" x14ac:dyDescent="0.35">
      <c r="A337" s="1">
        <f t="shared" ca="1" si="15"/>
        <v>0.34894784396868939</v>
      </c>
      <c r="B337" s="1">
        <f t="shared" ca="1" si="15"/>
        <v>0.99867981595293587</v>
      </c>
      <c r="C337" s="1">
        <f t="shared" ca="1" si="15"/>
        <v>0.44645539483941654</v>
      </c>
      <c r="D337">
        <f t="shared" ca="1" si="16"/>
        <v>45590</v>
      </c>
      <c r="E337">
        <f t="shared" ca="1" si="16"/>
        <v>45431</v>
      </c>
      <c r="F337" s="1">
        <f t="shared" ca="1" si="17"/>
        <v>0.12388201040606073</v>
      </c>
    </row>
    <row r="338" spans="1:6" x14ac:dyDescent="0.35">
      <c r="A338" s="1">
        <f t="shared" ca="1" si="15"/>
        <v>0.14749101544450405</v>
      </c>
      <c r="B338" s="1">
        <f t="shared" ca="1" si="15"/>
        <v>0.47836152597404547</v>
      </c>
      <c r="C338" s="1">
        <f t="shared" ca="1" si="15"/>
        <v>0.48879143307366801</v>
      </c>
      <c r="D338">
        <f t="shared" ca="1" si="16"/>
        <v>45411</v>
      </c>
      <c r="E338">
        <f t="shared" ca="1" si="16"/>
        <v>45468</v>
      </c>
      <c r="F338" s="1">
        <f t="shared" ca="1" si="17"/>
        <v>0.27404908219134883</v>
      </c>
    </row>
    <row r="339" spans="1:6" x14ac:dyDescent="0.35">
      <c r="A339" s="1">
        <f t="shared" ca="1" si="15"/>
        <v>0.34626143687929545</v>
      </c>
      <c r="B339" s="1">
        <f t="shared" ca="1" si="15"/>
        <v>0.11294163142874414</v>
      </c>
      <c r="C339" s="1">
        <f t="shared" ca="1" si="15"/>
        <v>0.12351325698169835</v>
      </c>
      <c r="D339">
        <f t="shared" ca="1" si="16"/>
        <v>45352</v>
      </c>
      <c r="E339">
        <f t="shared" ca="1" si="16"/>
        <v>45730</v>
      </c>
      <c r="F339" s="1">
        <f t="shared" ca="1" si="17"/>
        <v>0.3260301211600094</v>
      </c>
    </row>
    <row r="340" spans="1:6" x14ac:dyDescent="0.35">
      <c r="A340" s="1">
        <f t="shared" ca="1" si="15"/>
        <v>0.82918606633705827</v>
      </c>
      <c r="B340" s="1">
        <f t="shared" ca="1" si="15"/>
        <v>0.61297200749453185</v>
      </c>
      <c r="C340" s="1">
        <f t="shared" ca="1" si="15"/>
        <v>0.13873191118111439</v>
      </c>
      <c r="D340">
        <f t="shared" ca="1" si="16"/>
        <v>45327</v>
      </c>
      <c r="E340">
        <f t="shared" ca="1" si="16"/>
        <v>45472</v>
      </c>
      <c r="F340" s="1">
        <f t="shared" ca="1" si="17"/>
        <v>0.44292287834531108</v>
      </c>
    </row>
    <row r="341" spans="1:6" x14ac:dyDescent="0.35">
      <c r="A341" s="1">
        <f t="shared" ca="1" si="15"/>
        <v>0.23425805887056783</v>
      </c>
      <c r="B341" s="1">
        <f t="shared" ca="1" si="15"/>
        <v>0.4003831682107194</v>
      </c>
      <c r="C341" s="1">
        <f t="shared" ca="1" si="15"/>
        <v>0.85717215379393685</v>
      </c>
      <c r="D341">
        <f t="shared" ca="1" si="16"/>
        <v>45636</v>
      </c>
      <c r="E341">
        <f t="shared" ca="1" si="16"/>
        <v>45601</v>
      </c>
      <c r="F341" s="1">
        <f t="shared" ca="1" si="17"/>
        <v>0.48013619762553672</v>
      </c>
    </row>
    <row r="342" spans="1:6" x14ac:dyDescent="0.35">
      <c r="A342" s="1">
        <f t="shared" ca="1" si="15"/>
        <v>0.40025727648138343</v>
      </c>
      <c r="B342" s="1">
        <f t="shared" ca="1" si="15"/>
        <v>0.41107062549800533</v>
      </c>
      <c r="C342" s="1">
        <f t="shared" ca="1" si="15"/>
        <v>1.8710923431237036E-2</v>
      </c>
      <c r="D342">
        <f t="shared" ca="1" si="16"/>
        <v>45301</v>
      </c>
      <c r="E342">
        <f t="shared" ca="1" si="16"/>
        <v>45592</v>
      </c>
      <c r="F342" s="1">
        <f t="shared" ca="1" si="17"/>
        <v>0.33595885122878977</v>
      </c>
    </row>
    <row r="343" spans="1:6" x14ac:dyDescent="0.35">
      <c r="A343" s="1">
        <f t="shared" ca="1" si="15"/>
        <v>0.53126535541162034</v>
      </c>
      <c r="B343" s="1">
        <f t="shared" ca="1" si="15"/>
        <v>1.7577434260003133E-2</v>
      </c>
      <c r="C343" s="1">
        <f t="shared" ca="1" si="15"/>
        <v>1.938950882968038E-2</v>
      </c>
      <c r="D343">
        <f t="shared" ca="1" si="16"/>
        <v>45610</v>
      </c>
      <c r="E343">
        <f t="shared" ca="1" si="16"/>
        <v>45341</v>
      </c>
      <c r="F343" s="1">
        <f t="shared" ca="1" si="17"/>
        <v>4.2036712433726975E-2</v>
      </c>
    </row>
    <row r="344" spans="1:6" x14ac:dyDescent="0.35">
      <c r="A344" s="1">
        <f t="shared" ca="1" si="15"/>
        <v>0.12311212856234399</v>
      </c>
      <c r="B344" s="1">
        <f t="shared" ca="1" si="15"/>
        <v>0.22410468785748638</v>
      </c>
      <c r="C344" s="1">
        <f t="shared" ca="1" si="15"/>
        <v>2.8451124413514495E-2</v>
      </c>
      <c r="D344">
        <f t="shared" ca="1" si="16"/>
        <v>45705</v>
      </c>
      <c r="E344">
        <f t="shared" ca="1" si="16"/>
        <v>45301</v>
      </c>
      <c r="F344" s="1">
        <f t="shared" ca="1" si="17"/>
        <v>0.13563883177733571</v>
      </c>
    </row>
    <row r="345" spans="1:6" x14ac:dyDescent="0.35">
      <c r="A345" s="1">
        <f t="shared" ca="1" si="15"/>
        <v>0.27924787240066506</v>
      </c>
      <c r="B345" s="1">
        <f t="shared" ca="1" si="15"/>
        <v>0.19741881603771205</v>
      </c>
      <c r="C345" s="1">
        <f t="shared" ca="1" si="15"/>
        <v>0.8930283475037204</v>
      </c>
      <c r="D345">
        <f t="shared" ca="1" si="16"/>
        <v>45319</v>
      </c>
      <c r="E345">
        <f t="shared" ca="1" si="16"/>
        <v>45802</v>
      </c>
      <c r="F345" s="1">
        <f t="shared" ca="1" si="17"/>
        <v>0.11089435796520231</v>
      </c>
    </row>
    <row r="346" spans="1:6" x14ac:dyDescent="0.35">
      <c r="A346" s="1">
        <f t="shared" ca="1" si="15"/>
        <v>0.32825111705217647</v>
      </c>
      <c r="B346" s="1">
        <f t="shared" ca="1" si="15"/>
        <v>0.64435134141853656</v>
      </c>
      <c r="C346" s="1">
        <f t="shared" ca="1" si="15"/>
        <v>6.2159593290174842E-2</v>
      </c>
      <c r="D346">
        <f t="shared" ca="1" si="16"/>
        <v>45418</v>
      </c>
      <c r="E346">
        <f t="shared" ca="1" si="16"/>
        <v>45360</v>
      </c>
      <c r="F346" s="1">
        <f t="shared" ca="1" si="17"/>
        <v>0.56300104095483083</v>
      </c>
    </row>
    <row r="347" spans="1:6" x14ac:dyDescent="0.35">
      <c r="A347" s="1">
        <f t="shared" ca="1" si="15"/>
        <v>5.8434047904448727E-3</v>
      </c>
      <c r="B347" s="1">
        <f t="shared" ca="1" si="15"/>
        <v>6.6333147296217532E-2</v>
      </c>
      <c r="C347" s="1">
        <f t="shared" ca="1" si="15"/>
        <v>0.91093708529719375</v>
      </c>
      <c r="D347">
        <f t="shared" ca="1" si="16"/>
        <v>45770</v>
      </c>
      <c r="E347">
        <f t="shared" ca="1" si="16"/>
        <v>45822</v>
      </c>
      <c r="F347" s="1">
        <f t="shared" ca="1" si="17"/>
        <v>0.88661017191531766</v>
      </c>
    </row>
    <row r="348" spans="1:6" x14ac:dyDescent="0.35">
      <c r="A348" s="1">
        <f t="shared" ca="1" si="15"/>
        <v>0.5799436031587446</v>
      </c>
      <c r="B348" s="1">
        <f t="shared" ca="1" si="15"/>
        <v>0.4915579665151556</v>
      </c>
      <c r="C348" s="1">
        <f t="shared" ca="1" si="15"/>
        <v>0.70052229483108241</v>
      </c>
      <c r="D348">
        <f t="shared" ca="1" si="16"/>
        <v>45757</v>
      </c>
      <c r="E348">
        <f t="shared" ca="1" si="16"/>
        <v>45379</v>
      </c>
      <c r="F348" s="1">
        <f t="shared" ca="1" si="17"/>
        <v>5.6340472259811203E-2</v>
      </c>
    </row>
    <row r="349" spans="1:6" x14ac:dyDescent="0.35">
      <c r="A349" s="1">
        <f t="shared" ca="1" si="15"/>
        <v>0.44326618630591175</v>
      </c>
      <c r="B349" s="1">
        <f t="shared" ca="1" si="15"/>
        <v>0.10538058319221777</v>
      </c>
      <c r="C349" s="1">
        <f t="shared" ca="1" si="15"/>
        <v>5.2332289340514371E-2</v>
      </c>
      <c r="D349">
        <f t="shared" ca="1" si="16"/>
        <v>45652</v>
      </c>
      <c r="E349">
        <f t="shared" ca="1" si="16"/>
        <v>45298</v>
      </c>
      <c r="F349" s="1">
        <f t="shared" ca="1" si="17"/>
        <v>0.84221494225637139</v>
      </c>
    </row>
    <row r="350" spans="1:6" x14ac:dyDescent="0.35">
      <c r="A350" s="1">
        <f t="shared" ca="1" si="15"/>
        <v>7.3408942063749261E-2</v>
      </c>
      <c r="B350" s="1">
        <f t="shared" ca="1" si="15"/>
        <v>2.8060971352527608E-2</v>
      </c>
      <c r="C350" s="1">
        <f t="shared" ca="1" si="15"/>
        <v>0.49885235143226048</v>
      </c>
      <c r="D350">
        <f t="shared" ca="1" si="16"/>
        <v>45675</v>
      </c>
      <c r="E350">
        <f t="shared" ca="1" si="16"/>
        <v>45351</v>
      </c>
      <c r="F350" s="1">
        <f t="shared" ca="1" si="17"/>
        <v>0.15621894955580251</v>
      </c>
    </row>
    <row r="351" spans="1:6" x14ac:dyDescent="0.35">
      <c r="A351" s="1">
        <f t="shared" ca="1" si="15"/>
        <v>0.87187947673510391</v>
      </c>
      <c r="B351" s="1">
        <f t="shared" ca="1" si="15"/>
        <v>0.93782812558954787</v>
      </c>
      <c r="C351" s="1">
        <f t="shared" ca="1" si="15"/>
        <v>0.36631247246481047</v>
      </c>
      <c r="D351">
        <f t="shared" ca="1" si="16"/>
        <v>45500</v>
      </c>
      <c r="E351">
        <f t="shared" ca="1" si="16"/>
        <v>45516</v>
      </c>
      <c r="F351" s="1">
        <f t="shared" ca="1" si="17"/>
        <v>0.14352623762287675</v>
      </c>
    </row>
    <row r="352" spans="1:6" x14ac:dyDescent="0.35">
      <c r="A352" s="1">
        <f t="shared" ca="1" si="15"/>
        <v>0.27313822396620979</v>
      </c>
      <c r="B352" s="1">
        <f t="shared" ca="1" si="15"/>
        <v>0.72857281529892914</v>
      </c>
      <c r="C352" s="1">
        <f t="shared" ca="1" si="15"/>
        <v>0.69853686083837496</v>
      </c>
      <c r="D352">
        <f t="shared" ca="1" si="16"/>
        <v>45503</v>
      </c>
      <c r="E352">
        <f t="shared" ca="1" si="16"/>
        <v>45432</v>
      </c>
      <c r="F352" s="1">
        <f t="shared" ca="1" si="17"/>
        <v>0.77264201121700549</v>
      </c>
    </row>
    <row r="353" spans="1:6" x14ac:dyDescent="0.35">
      <c r="A353" s="1">
        <f t="shared" ca="1" si="15"/>
        <v>3.0751166233716098E-2</v>
      </c>
      <c r="B353" s="1">
        <f t="shared" ca="1" si="15"/>
        <v>0.29335026271911635</v>
      </c>
      <c r="C353" s="1">
        <f t="shared" ca="1" si="15"/>
        <v>0.10636833997857342</v>
      </c>
      <c r="D353">
        <f t="shared" ca="1" si="16"/>
        <v>45500</v>
      </c>
      <c r="E353">
        <f t="shared" ca="1" si="16"/>
        <v>45759</v>
      </c>
      <c r="F353" s="1">
        <f t="shared" ca="1" si="17"/>
        <v>0.95789678505157361</v>
      </c>
    </row>
    <row r="354" spans="1:6" x14ac:dyDescent="0.35">
      <c r="A354" s="1">
        <f t="shared" ca="1" si="15"/>
        <v>0.25419542882450874</v>
      </c>
      <c r="B354" s="1">
        <f t="shared" ca="1" si="15"/>
        <v>0.27216128386560112</v>
      </c>
      <c r="C354" s="1">
        <f t="shared" ca="1" si="15"/>
        <v>0.6702686273876749</v>
      </c>
      <c r="D354">
        <f t="shared" ca="1" si="16"/>
        <v>45767</v>
      </c>
      <c r="E354">
        <f t="shared" ca="1" si="16"/>
        <v>45490</v>
      </c>
      <c r="F354" s="1">
        <f t="shared" ca="1" si="17"/>
        <v>0.97668599807723577</v>
      </c>
    </row>
    <row r="355" spans="1:6" x14ac:dyDescent="0.35">
      <c r="A355" s="1">
        <f t="shared" ca="1" si="15"/>
        <v>7.5046965986093062E-3</v>
      </c>
      <c r="B355" s="1">
        <f t="shared" ca="1" si="15"/>
        <v>0.38717493227423116</v>
      </c>
      <c r="C355" s="1">
        <f t="shared" ca="1" si="15"/>
        <v>0.37160169111296337</v>
      </c>
      <c r="D355">
        <f t="shared" ca="1" si="16"/>
        <v>45689</v>
      </c>
      <c r="E355">
        <f t="shared" ca="1" si="16"/>
        <v>45735</v>
      </c>
      <c r="F355" s="1">
        <f t="shared" ca="1" si="17"/>
        <v>0.10021985390887789</v>
      </c>
    </row>
    <row r="356" spans="1:6" x14ac:dyDescent="0.35">
      <c r="A356" s="1">
        <f t="shared" ca="1" si="15"/>
        <v>0.18555294140450607</v>
      </c>
      <c r="B356" s="1">
        <f t="shared" ca="1" si="15"/>
        <v>0.15780096328119841</v>
      </c>
      <c r="C356" s="1">
        <f t="shared" ca="1" si="15"/>
        <v>0.83509106599619731</v>
      </c>
      <c r="D356">
        <f t="shared" ca="1" si="16"/>
        <v>45504</v>
      </c>
      <c r="E356">
        <f t="shared" ca="1" si="16"/>
        <v>45516</v>
      </c>
      <c r="F356" s="1">
        <f t="shared" ca="1" si="17"/>
        <v>0.46773585611450408</v>
      </c>
    </row>
    <row r="357" spans="1:6" x14ac:dyDescent="0.35">
      <c r="A357" s="1">
        <f t="shared" ca="1" si="15"/>
        <v>0.80115598031662205</v>
      </c>
      <c r="B357" s="1">
        <f t="shared" ca="1" si="15"/>
        <v>0.74211328592849901</v>
      </c>
      <c r="C357" s="1">
        <f t="shared" ca="1" si="15"/>
        <v>2.2950502578025334E-2</v>
      </c>
      <c r="D357">
        <f t="shared" ca="1" si="16"/>
        <v>45644</v>
      </c>
      <c r="E357">
        <f t="shared" ca="1" si="16"/>
        <v>45335</v>
      </c>
      <c r="F357" s="1">
        <f t="shared" ca="1" si="17"/>
        <v>0.62722117488675377</v>
      </c>
    </row>
    <row r="358" spans="1:6" x14ac:dyDescent="0.35">
      <c r="A358" s="1">
        <f t="shared" ca="1" si="15"/>
        <v>8.9777357720114637E-2</v>
      </c>
      <c r="B358" s="1">
        <f t="shared" ca="1" si="15"/>
        <v>2.6443565956228654E-2</v>
      </c>
      <c r="C358" s="1">
        <f t="shared" ca="1" si="15"/>
        <v>0.54791488461686533</v>
      </c>
      <c r="D358">
        <f t="shared" ca="1" si="16"/>
        <v>45334</v>
      </c>
      <c r="E358">
        <f t="shared" ca="1" si="16"/>
        <v>45563</v>
      </c>
      <c r="F358" s="1">
        <f t="shared" ca="1" si="17"/>
        <v>0.99992886639659961</v>
      </c>
    </row>
    <row r="359" spans="1:6" x14ac:dyDescent="0.35">
      <c r="A359" s="1">
        <f t="shared" ca="1" si="15"/>
        <v>0.90646031437896457</v>
      </c>
      <c r="B359" s="1">
        <f t="shared" ca="1" si="15"/>
        <v>0.89807522912813909</v>
      </c>
      <c r="C359" s="1">
        <f t="shared" ca="1" si="15"/>
        <v>8.5543924611991673E-2</v>
      </c>
      <c r="D359">
        <f t="shared" ca="1" si="16"/>
        <v>45687</v>
      </c>
      <c r="E359">
        <f t="shared" ca="1" si="16"/>
        <v>45784</v>
      </c>
      <c r="F359" s="1">
        <f t="shared" ca="1" si="17"/>
        <v>0.8038869299219622</v>
      </c>
    </row>
    <row r="360" spans="1:6" x14ac:dyDescent="0.35">
      <c r="A360" s="1">
        <f t="shared" ca="1" si="15"/>
        <v>0.569604186905456</v>
      </c>
      <c r="B360" s="1">
        <f t="shared" ca="1" si="15"/>
        <v>2.8314069355323879E-2</v>
      </c>
      <c r="C360" s="1">
        <f t="shared" ca="1" si="15"/>
        <v>0.26949682911619632</v>
      </c>
      <c r="D360">
        <f t="shared" ca="1" si="16"/>
        <v>45473</v>
      </c>
      <c r="E360">
        <f t="shared" ca="1" si="16"/>
        <v>45483</v>
      </c>
      <c r="F360" s="1">
        <f t="shared" ca="1" si="17"/>
        <v>0.89446154952572277</v>
      </c>
    </row>
    <row r="361" spans="1:6" x14ac:dyDescent="0.35">
      <c r="A361" s="1">
        <f t="shared" ca="1" si="15"/>
        <v>0.27773273694574685</v>
      </c>
      <c r="B361" s="1">
        <f t="shared" ca="1" si="15"/>
        <v>0.18577006627629211</v>
      </c>
      <c r="C361" s="1">
        <f t="shared" ca="1" si="15"/>
        <v>0.77669100771153632</v>
      </c>
      <c r="D361">
        <f t="shared" ca="1" si="16"/>
        <v>45393</v>
      </c>
      <c r="E361">
        <f t="shared" ca="1" si="16"/>
        <v>45605</v>
      </c>
      <c r="F361" s="1">
        <f t="shared" ca="1" si="17"/>
        <v>0.22096518065020865</v>
      </c>
    </row>
    <row r="362" spans="1:6" x14ac:dyDescent="0.35">
      <c r="A362" s="1">
        <f t="shared" ca="1" si="15"/>
        <v>0.10384630125899486</v>
      </c>
      <c r="B362" s="1">
        <f t="shared" ca="1" si="15"/>
        <v>0.5099689705158662</v>
      </c>
      <c r="C362" s="1">
        <f t="shared" ca="1" si="15"/>
        <v>0.24938988696439013</v>
      </c>
      <c r="D362">
        <f t="shared" ca="1" si="16"/>
        <v>45422</v>
      </c>
      <c r="E362">
        <f t="shared" ca="1" si="16"/>
        <v>45433</v>
      </c>
      <c r="F362" s="1">
        <f t="shared" ca="1" si="17"/>
        <v>0.68658403480807728</v>
      </c>
    </row>
    <row r="363" spans="1:6" x14ac:dyDescent="0.35">
      <c r="A363" s="1">
        <f t="shared" ca="1" si="15"/>
        <v>0.42124901075082766</v>
      </c>
      <c r="B363" s="1">
        <f t="shared" ca="1" si="15"/>
        <v>4.7040637685993203E-2</v>
      </c>
      <c r="C363" s="1">
        <f t="shared" ca="1" si="15"/>
        <v>7.368352105123499E-2</v>
      </c>
      <c r="D363">
        <f t="shared" ca="1" si="16"/>
        <v>45611</v>
      </c>
      <c r="E363">
        <f t="shared" ca="1" si="16"/>
        <v>45754</v>
      </c>
      <c r="F363" s="1">
        <f t="shared" ca="1" si="17"/>
        <v>0.78191075973160462</v>
      </c>
    </row>
    <row r="364" spans="1:6" x14ac:dyDescent="0.35">
      <c r="A364" s="1">
        <f t="shared" ca="1" si="15"/>
        <v>0.73337086756748293</v>
      </c>
      <c r="B364" s="1">
        <f t="shared" ca="1" si="15"/>
        <v>0.66464553832120254</v>
      </c>
      <c r="C364" s="1">
        <f t="shared" ca="1" si="15"/>
        <v>0.20384949091400828</v>
      </c>
      <c r="D364">
        <f t="shared" ca="1" si="16"/>
        <v>45590</v>
      </c>
      <c r="E364">
        <f t="shared" ca="1" si="16"/>
        <v>45528</v>
      </c>
      <c r="F364" s="1">
        <f t="shared" ca="1" si="17"/>
        <v>0.29681334556828587</v>
      </c>
    </row>
    <row r="365" spans="1:6" x14ac:dyDescent="0.35">
      <c r="A365" s="1">
        <f t="shared" ca="1" si="15"/>
        <v>0.38676385105164257</v>
      </c>
      <c r="B365" s="1">
        <f t="shared" ca="1" si="15"/>
        <v>0.88572309524341108</v>
      </c>
      <c r="C365" s="1">
        <f t="shared" ca="1" si="15"/>
        <v>0.36886258137589778</v>
      </c>
      <c r="D365">
        <f t="shared" ca="1" si="16"/>
        <v>45698</v>
      </c>
      <c r="E365">
        <f t="shared" ca="1" si="16"/>
        <v>45690</v>
      </c>
      <c r="F365" s="1">
        <f t="shared" ca="1" si="17"/>
        <v>0.80334107782972264</v>
      </c>
    </row>
    <row r="366" spans="1:6" x14ac:dyDescent="0.35">
      <c r="A366" s="1">
        <f t="shared" ca="1" si="15"/>
        <v>0.48079942807217013</v>
      </c>
      <c r="B366" s="1">
        <f t="shared" ca="1" si="15"/>
        <v>8.8519091879717848E-2</v>
      </c>
      <c r="C366" s="1">
        <f t="shared" ca="1" si="15"/>
        <v>0.74711339766703289</v>
      </c>
      <c r="D366">
        <f t="shared" ca="1" si="16"/>
        <v>45511</v>
      </c>
      <c r="E366">
        <f t="shared" ca="1" si="16"/>
        <v>45568</v>
      </c>
      <c r="F366" s="1">
        <f t="shared" ca="1" si="17"/>
        <v>0.98396530842198748</v>
      </c>
    </row>
    <row r="367" spans="1:6" x14ac:dyDescent="0.35">
      <c r="A367" s="1">
        <f t="shared" ca="1" si="15"/>
        <v>0.79105375995591276</v>
      </c>
      <c r="B367" s="1">
        <f t="shared" ca="1" si="15"/>
        <v>0.69519743932721134</v>
      </c>
      <c r="C367" s="1">
        <f t="shared" ca="1" si="15"/>
        <v>0.97349886977992683</v>
      </c>
      <c r="D367">
        <f t="shared" ca="1" si="16"/>
        <v>45789</v>
      </c>
      <c r="E367">
        <f t="shared" ca="1" si="16"/>
        <v>45562</v>
      </c>
      <c r="F367" s="1">
        <f t="shared" ca="1" si="17"/>
        <v>0.4712397995258929</v>
      </c>
    </row>
    <row r="368" spans="1:6" x14ac:dyDescent="0.35">
      <c r="A368" s="1">
        <f t="shared" ca="1" si="15"/>
        <v>0.79721284901737299</v>
      </c>
      <c r="B368" s="1">
        <f t="shared" ca="1" si="15"/>
        <v>0.70961448934592608</v>
      </c>
      <c r="C368" s="1">
        <f t="shared" ca="1" si="15"/>
        <v>0.76588295130635731</v>
      </c>
      <c r="D368">
        <f t="shared" ca="1" si="16"/>
        <v>45590</v>
      </c>
      <c r="E368">
        <f t="shared" ca="1" si="16"/>
        <v>45701</v>
      </c>
      <c r="F368" s="1">
        <f t="shared" ca="1" si="17"/>
        <v>0.43847787393438586</v>
      </c>
    </row>
    <row r="369" spans="1:6" x14ac:dyDescent="0.35">
      <c r="A369" s="1">
        <f t="shared" ca="1" si="15"/>
        <v>0.27729838603625978</v>
      </c>
      <c r="B369" s="1">
        <f t="shared" ca="1" si="15"/>
        <v>0.41505758502525936</v>
      </c>
      <c r="C369" s="1">
        <f t="shared" ca="1" si="15"/>
        <v>0.54913095602051654</v>
      </c>
      <c r="D369">
        <f t="shared" ca="1" si="16"/>
        <v>45545</v>
      </c>
      <c r="E369">
        <f t="shared" ca="1" si="16"/>
        <v>45424</v>
      </c>
      <c r="F369" s="1">
        <f t="shared" ca="1" si="17"/>
        <v>0.81926855419464772</v>
      </c>
    </row>
    <row r="370" spans="1:6" x14ac:dyDescent="0.35">
      <c r="A370" s="1">
        <f t="shared" ca="1" si="15"/>
        <v>0.27152408806767092</v>
      </c>
      <c r="B370" s="1">
        <f t="shared" ca="1" si="15"/>
        <v>0.51485744071194106</v>
      </c>
      <c r="C370" s="1">
        <f t="shared" ca="1" si="15"/>
        <v>0.96314920384297287</v>
      </c>
      <c r="D370">
        <f t="shared" ca="1" si="16"/>
        <v>45522</v>
      </c>
      <c r="E370">
        <f t="shared" ca="1" si="16"/>
        <v>45422</v>
      </c>
      <c r="F370" s="1">
        <f t="shared" ca="1" si="17"/>
        <v>2.7600812357843618E-2</v>
      </c>
    </row>
    <row r="371" spans="1:6" x14ac:dyDescent="0.35">
      <c r="A371" s="1">
        <f t="shared" ca="1" si="15"/>
        <v>6.4673808153346002E-3</v>
      </c>
      <c r="B371" s="1">
        <f t="shared" ca="1" si="15"/>
        <v>0.52131489966935551</v>
      </c>
      <c r="C371" s="1">
        <f t="shared" ca="1" si="15"/>
        <v>8.2626135649923493E-2</v>
      </c>
      <c r="D371">
        <f t="shared" ca="1" si="16"/>
        <v>45394</v>
      </c>
      <c r="E371">
        <f t="shared" ca="1" si="16"/>
        <v>45838</v>
      </c>
      <c r="F371" s="1">
        <f t="shared" ca="1" si="17"/>
        <v>0.73249917807365705</v>
      </c>
    </row>
    <row r="372" spans="1:6" x14ac:dyDescent="0.35">
      <c r="A372" s="1">
        <f t="shared" ca="1" si="15"/>
        <v>0.17115383109464755</v>
      </c>
      <c r="B372" s="1">
        <f t="shared" ca="1" si="15"/>
        <v>0.6228646525928403</v>
      </c>
      <c r="C372" s="1">
        <f t="shared" ca="1" si="15"/>
        <v>0.24304417232110942</v>
      </c>
      <c r="D372">
        <f t="shared" ca="1" si="16"/>
        <v>45808</v>
      </c>
      <c r="E372">
        <f t="shared" ca="1" si="16"/>
        <v>45505</v>
      </c>
      <c r="F372" s="1">
        <f t="shared" ca="1" si="17"/>
        <v>0.45064090842385629</v>
      </c>
    </row>
    <row r="373" spans="1:6" x14ac:dyDescent="0.35">
      <c r="A373" s="1">
        <f t="shared" ca="1" si="15"/>
        <v>0.22235425630512429</v>
      </c>
      <c r="B373" s="1">
        <f t="shared" ca="1" si="15"/>
        <v>0.23770298588361061</v>
      </c>
      <c r="C373" s="1">
        <f t="shared" ca="1" si="15"/>
        <v>0.60467955035912258</v>
      </c>
      <c r="D373">
        <f t="shared" ca="1" si="16"/>
        <v>45435</v>
      </c>
      <c r="E373">
        <f t="shared" ca="1" si="16"/>
        <v>45660</v>
      </c>
      <c r="F373" s="1">
        <f t="shared" ca="1" si="17"/>
        <v>0.79076942540571382</v>
      </c>
    </row>
    <row r="374" spans="1:6" x14ac:dyDescent="0.35">
      <c r="A374" s="1">
        <f t="shared" ca="1" si="15"/>
        <v>0.4352794036635681</v>
      </c>
      <c r="B374" s="1">
        <f t="shared" ca="1" si="15"/>
        <v>0.11762396819689946</v>
      </c>
      <c r="C374" s="1">
        <f t="shared" ca="1" si="15"/>
        <v>0.73876967806349525</v>
      </c>
      <c r="D374">
        <f t="shared" ca="1" si="16"/>
        <v>45426</v>
      </c>
      <c r="E374">
        <f t="shared" ca="1" si="16"/>
        <v>45635</v>
      </c>
      <c r="F374" s="1">
        <f t="shared" ca="1" si="17"/>
        <v>0.13056533720132424</v>
      </c>
    </row>
    <row r="375" spans="1:6" x14ac:dyDescent="0.35">
      <c r="A375" s="1">
        <f t="shared" ca="1" si="15"/>
        <v>0.49182323370148517</v>
      </c>
      <c r="B375" s="1">
        <f t="shared" ca="1" si="15"/>
        <v>0.1739669869035998</v>
      </c>
      <c r="C375" s="1">
        <f t="shared" ca="1" si="15"/>
        <v>0.44208898673095831</v>
      </c>
      <c r="D375">
        <f t="shared" ca="1" si="16"/>
        <v>45664</v>
      </c>
      <c r="E375">
        <f t="shared" ca="1" si="16"/>
        <v>45808</v>
      </c>
      <c r="F375" s="1">
        <f t="shared" ca="1" si="17"/>
        <v>0.83204400640913445</v>
      </c>
    </row>
    <row r="376" spans="1:6" x14ac:dyDescent="0.35">
      <c r="A376" s="1">
        <f t="shared" ca="1" si="15"/>
        <v>0.13319995765189518</v>
      </c>
      <c r="B376" s="1">
        <f t="shared" ca="1" si="15"/>
        <v>0.10968080682333803</v>
      </c>
      <c r="C376" s="1">
        <f t="shared" ca="1" si="15"/>
        <v>0.33777473034752603</v>
      </c>
      <c r="D376">
        <f t="shared" ca="1" si="16"/>
        <v>45641</v>
      </c>
      <c r="E376">
        <f t="shared" ca="1" si="16"/>
        <v>45688</v>
      </c>
      <c r="F376" s="1">
        <f t="shared" ca="1" si="17"/>
        <v>0.30269814745061252</v>
      </c>
    </row>
    <row r="377" spans="1:6" x14ac:dyDescent="0.35">
      <c r="A377" s="1">
        <f t="shared" ca="1" si="15"/>
        <v>0.71564824071732813</v>
      </c>
      <c r="B377" s="1">
        <f t="shared" ca="1" si="15"/>
        <v>0.5038912749416089</v>
      </c>
      <c r="C377" s="1">
        <f t="shared" ca="1" si="15"/>
        <v>0.63389490446362851</v>
      </c>
      <c r="D377">
        <f t="shared" ca="1" si="16"/>
        <v>45508</v>
      </c>
      <c r="E377">
        <f t="shared" ca="1" si="16"/>
        <v>45440</v>
      </c>
      <c r="F377" s="1">
        <f t="shared" ca="1" si="17"/>
        <v>0.92815329542749758</v>
      </c>
    </row>
    <row r="378" spans="1:6" x14ac:dyDescent="0.35">
      <c r="A378" s="1">
        <f t="shared" ca="1" si="15"/>
        <v>0.42584388706036447</v>
      </c>
      <c r="B378" s="1">
        <f t="shared" ca="1" si="15"/>
        <v>0.9738947273009636</v>
      </c>
      <c r="C378" s="1">
        <f t="shared" ca="1" si="15"/>
        <v>0.28010540976108655</v>
      </c>
      <c r="D378">
        <f t="shared" ca="1" si="16"/>
        <v>45368</v>
      </c>
      <c r="E378">
        <f t="shared" ca="1" si="16"/>
        <v>45608</v>
      </c>
      <c r="F378" s="1">
        <f t="shared" ca="1" si="17"/>
        <v>0.39001079519046822</v>
      </c>
    </row>
    <row r="379" spans="1:6" x14ac:dyDescent="0.35">
      <c r="A379" s="1">
        <f t="shared" ca="1" si="15"/>
        <v>0.95643523169361255</v>
      </c>
      <c r="B379" s="1">
        <f t="shared" ca="1" si="15"/>
        <v>0.89927733253101905</v>
      </c>
      <c r="C379" s="1">
        <f t="shared" ca="1" si="15"/>
        <v>0.97186072860443973</v>
      </c>
      <c r="D379">
        <f t="shared" ca="1" si="16"/>
        <v>45787</v>
      </c>
      <c r="E379">
        <f t="shared" ca="1" si="16"/>
        <v>45746</v>
      </c>
      <c r="F379" s="1">
        <f t="shared" ca="1" si="17"/>
        <v>0.57449500671664822</v>
      </c>
    </row>
    <row r="380" spans="1:6" x14ac:dyDescent="0.35">
      <c r="A380" s="1">
        <f t="shared" ca="1" si="15"/>
        <v>0.15697802007372996</v>
      </c>
      <c r="B380" s="1">
        <f t="shared" ca="1" si="15"/>
        <v>0.49018996752533228</v>
      </c>
      <c r="C380" s="1">
        <f t="shared" ca="1" si="15"/>
        <v>0.75863452794510544</v>
      </c>
      <c r="D380">
        <f t="shared" ca="1" si="16"/>
        <v>45429</v>
      </c>
      <c r="E380">
        <f t="shared" ca="1" si="16"/>
        <v>45784</v>
      </c>
      <c r="F380" s="1">
        <f t="shared" ca="1" si="17"/>
        <v>0.35735810213201125</v>
      </c>
    </row>
    <row r="381" spans="1:6" x14ac:dyDescent="0.35">
      <c r="A381" s="1">
        <f t="shared" ca="1" si="15"/>
        <v>0.16514141781846148</v>
      </c>
      <c r="B381" s="1">
        <f t="shared" ca="1" si="15"/>
        <v>0.42531469738839489</v>
      </c>
      <c r="C381" s="1">
        <f t="shared" ca="1" si="15"/>
        <v>0.16932430407424182</v>
      </c>
      <c r="D381">
        <f t="shared" ca="1" si="16"/>
        <v>45521</v>
      </c>
      <c r="E381">
        <f t="shared" ca="1" si="16"/>
        <v>45808</v>
      </c>
      <c r="F381" s="1">
        <f t="shared" ca="1" si="17"/>
        <v>8.4841614923479747E-2</v>
      </c>
    </row>
    <row r="382" spans="1:6" x14ac:dyDescent="0.35">
      <c r="A382" s="1">
        <f t="shared" ca="1" si="15"/>
        <v>0.74353056733804623</v>
      </c>
      <c r="B382" s="1">
        <f t="shared" ca="1" si="15"/>
        <v>0.59862603945907533</v>
      </c>
      <c r="C382" s="1">
        <f t="shared" ca="1" si="15"/>
        <v>0.16721125061519948</v>
      </c>
      <c r="D382">
        <f t="shared" ca="1" si="16"/>
        <v>45407</v>
      </c>
      <c r="E382">
        <f t="shared" ca="1" si="16"/>
        <v>45434</v>
      </c>
      <c r="F382" s="1">
        <f t="shared" ca="1" si="17"/>
        <v>0.31003301652958359</v>
      </c>
    </row>
    <row r="383" spans="1:6" x14ac:dyDescent="0.35">
      <c r="A383" s="1">
        <f t="shared" ca="1" si="15"/>
        <v>0.3486168437333178</v>
      </c>
      <c r="B383" s="1">
        <f t="shared" ca="1" si="15"/>
        <v>0.31225528520188883</v>
      </c>
      <c r="C383" s="1">
        <f t="shared" ca="1" si="15"/>
        <v>0.91069274109560672</v>
      </c>
      <c r="D383">
        <f t="shared" ca="1" si="16"/>
        <v>45571</v>
      </c>
      <c r="E383">
        <f t="shared" ca="1" si="16"/>
        <v>45506</v>
      </c>
      <c r="F383" s="1">
        <f t="shared" ca="1" si="17"/>
        <v>8.9577080230919259E-2</v>
      </c>
    </row>
    <row r="384" spans="1:6" x14ac:dyDescent="0.35">
      <c r="A384" s="1">
        <f t="shared" ca="1" si="15"/>
        <v>0.58067387137178417</v>
      </c>
      <c r="B384" s="1">
        <f t="shared" ca="1" si="15"/>
        <v>2.932901977785074E-2</v>
      </c>
      <c r="C384" s="1">
        <f t="shared" ca="1" si="15"/>
        <v>0.17369806284867406</v>
      </c>
      <c r="D384">
        <f t="shared" ca="1" si="16"/>
        <v>45466</v>
      </c>
      <c r="E384">
        <f t="shared" ca="1" si="16"/>
        <v>45503</v>
      </c>
      <c r="F384" s="1">
        <f t="shared" ca="1" si="17"/>
        <v>0.64480711499016652</v>
      </c>
    </row>
    <row r="385" spans="1:6" x14ac:dyDescent="0.35">
      <c r="A385" s="1">
        <f t="shared" ca="1" si="15"/>
        <v>0.9370228157547692</v>
      </c>
      <c r="B385" s="1">
        <f t="shared" ca="1" si="15"/>
        <v>0.59300927266999504</v>
      </c>
      <c r="C385" s="1">
        <f t="shared" ca="1" si="15"/>
        <v>0.64168733475903261</v>
      </c>
      <c r="D385">
        <f t="shared" ca="1" si="16"/>
        <v>45306</v>
      </c>
      <c r="E385">
        <f t="shared" ca="1" si="16"/>
        <v>45485</v>
      </c>
      <c r="F385" s="1">
        <f t="shared" ca="1" si="17"/>
        <v>0.3139236774610219</v>
      </c>
    </row>
    <row r="386" spans="1:6" x14ac:dyDescent="0.35">
      <c r="A386" s="1">
        <f t="shared" ca="1" si="15"/>
        <v>0.37499819298278736</v>
      </c>
      <c r="B386" s="1">
        <f t="shared" ca="1" si="15"/>
        <v>0.93241552677671113</v>
      </c>
      <c r="C386" s="1">
        <f t="shared" ca="1" si="15"/>
        <v>0.82407574581520149</v>
      </c>
      <c r="D386">
        <f t="shared" ca="1" si="16"/>
        <v>45498</v>
      </c>
      <c r="E386">
        <f t="shared" ca="1" si="16"/>
        <v>45702</v>
      </c>
      <c r="F386" s="1">
        <f t="shared" ca="1" si="17"/>
        <v>0.65500073859410557</v>
      </c>
    </row>
    <row r="387" spans="1:6" x14ac:dyDescent="0.35">
      <c r="A387" s="1">
        <f t="shared" ref="A387:C450" ca="1" si="18">RAND()</f>
        <v>2.8951227829900117E-2</v>
      </c>
      <c r="B387" s="1">
        <f t="shared" ca="1" si="18"/>
        <v>0.12226322877759366</v>
      </c>
      <c r="C387" s="1">
        <f t="shared" ca="1" si="18"/>
        <v>0.73420548942094976</v>
      </c>
      <c r="D387">
        <f t="shared" ref="D387:E450" ca="1" si="19">RANDBETWEEN(45292,45838)</f>
        <v>45805</v>
      </c>
      <c r="E387">
        <f t="shared" ca="1" si="19"/>
        <v>45718</v>
      </c>
      <c r="F387" s="1">
        <f t="shared" ref="F387:F401" ca="1" si="20">RAND()</f>
        <v>0.9869426229335837</v>
      </c>
    </row>
    <row r="388" spans="1:6" x14ac:dyDescent="0.35">
      <c r="A388" s="1">
        <f t="shared" ca="1" si="18"/>
        <v>0.21243826281516032</v>
      </c>
      <c r="B388" s="1">
        <f t="shared" ca="1" si="18"/>
        <v>0.82071955977142363</v>
      </c>
      <c r="C388" s="1">
        <f t="shared" ca="1" si="18"/>
        <v>0.26651669630231245</v>
      </c>
      <c r="D388">
        <f t="shared" ca="1" si="19"/>
        <v>45595</v>
      </c>
      <c r="E388">
        <f t="shared" ca="1" si="19"/>
        <v>45311</v>
      </c>
      <c r="F388" s="1">
        <f t="shared" ca="1" si="20"/>
        <v>0.47275912021482014</v>
      </c>
    </row>
    <row r="389" spans="1:6" x14ac:dyDescent="0.35">
      <c r="A389" s="1">
        <f t="shared" ca="1" si="18"/>
        <v>9.1496286008921013E-2</v>
      </c>
      <c r="B389" s="1">
        <f t="shared" ca="1" si="18"/>
        <v>0.10828759799233667</v>
      </c>
      <c r="C389" s="1">
        <f t="shared" ca="1" si="18"/>
        <v>0.10614538348021141</v>
      </c>
      <c r="D389">
        <f t="shared" ca="1" si="19"/>
        <v>45420</v>
      </c>
      <c r="E389">
        <f t="shared" ca="1" si="19"/>
        <v>45697</v>
      </c>
      <c r="F389" s="1">
        <f t="shared" ca="1" si="20"/>
        <v>0.10999568085708955</v>
      </c>
    </row>
    <row r="390" spans="1:6" x14ac:dyDescent="0.35">
      <c r="A390" s="1">
        <f t="shared" ca="1" si="18"/>
        <v>0.50230125315410634</v>
      </c>
      <c r="B390" s="1">
        <f t="shared" ca="1" si="18"/>
        <v>0.79671972575507044</v>
      </c>
      <c r="C390" s="1">
        <f t="shared" ca="1" si="18"/>
        <v>0.40234782084280052</v>
      </c>
      <c r="D390">
        <f t="shared" ca="1" si="19"/>
        <v>45617</v>
      </c>
      <c r="E390">
        <f t="shared" ca="1" si="19"/>
        <v>45452</v>
      </c>
      <c r="F390" s="1">
        <f t="shared" ca="1" si="20"/>
        <v>6.539195014029997E-3</v>
      </c>
    </row>
    <row r="391" spans="1:6" x14ac:dyDescent="0.35">
      <c r="A391" s="1">
        <f t="shared" ca="1" si="18"/>
        <v>0.14687215377963636</v>
      </c>
      <c r="B391" s="1">
        <f t="shared" ca="1" si="18"/>
        <v>0.29030461547197628</v>
      </c>
      <c r="C391" s="1">
        <f t="shared" ca="1" si="18"/>
        <v>0.57587869377327516</v>
      </c>
      <c r="D391">
        <f t="shared" ca="1" si="19"/>
        <v>45483</v>
      </c>
      <c r="E391">
        <f t="shared" ca="1" si="19"/>
        <v>45584</v>
      </c>
      <c r="F391" s="1">
        <f t="shared" ca="1" si="20"/>
        <v>0.66159875167955984</v>
      </c>
    </row>
    <row r="392" spans="1:6" x14ac:dyDescent="0.35">
      <c r="A392" s="1">
        <f t="shared" ca="1" si="18"/>
        <v>0.84027308599601569</v>
      </c>
      <c r="B392" s="1">
        <f t="shared" ca="1" si="18"/>
        <v>0.67026175197286697</v>
      </c>
      <c r="C392" s="1">
        <f t="shared" ca="1" si="18"/>
        <v>0.73437325132026465</v>
      </c>
      <c r="D392">
        <f t="shared" ca="1" si="19"/>
        <v>45742</v>
      </c>
      <c r="E392">
        <f t="shared" ca="1" si="19"/>
        <v>45699</v>
      </c>
      <c r="F392" s="1">
        <f t="shared" ca="1" si="20"/>
        <v>0.44691186715502507</v>
      </c>
    </row>
    <row r="393" spans="1:6" x14ac:dyDescent="0.35">
      <c r="A393" s="1">
        <f t="shared" ca="1" si="18"/>
        <v>0.18657703363497979</v>
      </c>
      <c r="B393" s="1">
        <f t="shared" ca="1" si="18"/>
        <v>0.10982016633015323</v>
      </c>
      <c r="C393" s="1">
        <f t="shared" ca="1" si="18"/>
        <v>0.88865193083700933</v>
      </c>
      <c r="D393">
        <f t="shared" ca="1" si="19"/>
        <v>45336</v>
      </c>
      <c r="E393">
        <f t="shared" ca="1" si="19"/>
        <v>45556</v>
      </c>
      <c r="F393" s="1">
        <f t="shared" ca="1" si="20"/>
        <v>0.52002358254554737</v>
      </c>
    </row>
    <row r="394" spans="1:6" x14ac:dyDescent="0.35">
      <c r="A394" s="1">
        <f t="shared" ca="1" si="18"/>
        <v>0.30331084168322564</v>
      </c>
      <c r="B394" s="1">
        <f t="shared" ca="1" si="18"/>
        <v>0.31055910259234076</v>
      </c>
      <c r="C394" s="1">
        <f t="shared" ca="1" si="18"/>
        <v>0.1504747668274341</v>
      </c>
      <c r="D394">
        <f t="shared" ca="1" si="19"/>
        <v>45575</v>
      </c>
      <c r="E394">
        <f t="shared" ca="1" si="19"/>
        <v>45734</v>
      </c>
      <c r="F394" s="1">
        <f t="shared" ca="1" si="20"/>
        <v>0.71559976042762186</v>
      </c>
    </row>
    <row r="395" spans="1:6" x14ac:dyDescent="0.35">
      <c r="A395" s="1">
        <f t="shared" ca="1" si="18"/>
        <v>0.93396487488698576</v>
      </c>
      <c r="B395" s="1">
        <f t="shared" ca="1" si="18"/>
        <v>0.76563109887472824</v>
      </c>
      <c r="C395" s="1">
        <f t="shared" ca="1" si="18"/>
        <v>0.50883991231039005</v>
      </c>
      <c r="D395">
        <f t="shared" ca="1" si="19"/>
        <v>45825</v>
      </c>
      <c r="E395">
        <f t="shared" ca="1" si="19"/>
        <v>45701</v>
      </c>
      <c r="F395" s="1">
        <f t="shared" ca="1" si="20"/>
        <v>0.58652625473696618</v>
      </c>
    </row>
    <row r="396" spans="1:6" x14ac:dyDescent="0.35">
      <c r="A396" s="1">
        <f t="shared" ca="1" si="18"/>
        <v>0.8553221444136605</v>
      </c>
      <c r="B396" s="1">
        <f t="shared" ca="1" si="18"/>
        <v>0.19242629089443386</v>
      </c>
      <c r="C396" s="1">
        <f t="shared" ca="1" si="18"/>
        <v>0.6823834366224949</v>
      </c>
      <c r="D396">
        <f t="shared" ca="1" si="19"/>
        <v>45298</v>
      </c>
      <c r="E396">
        <f t="shared" ca="1" si="19"/>
        <v>45574</v>
      </c>
      <c r="F396" s="1">
        <f t="shared" ca="1" si="20"/>
        <v>0.39428268686359202</v>
      </c>
    </row>
    <row r="397" spans="1:6" x14ac:dyDescent="0.35">
      <c r="A397" s="1">
        <f t="shared" ca="1" si="18"/>
        <v>0.26494291034337625</v>
      </c>
      <c r="B397" s="1">
        <f t="shared" ca="1" si="18"/>
        <v>0.8170030232459532</v>
      </c>
      <c r="C397" s="1">
        <f t="shared" ca="1" si="18"/>
        <v>0.86950203104623836</v>
      </c>
      <c r="D397">
        <f t="shared" ca="1" si="19"/>
        <v>45395</v>
      </c>
      <c r="E397">
        <f t="shared" ca="1" si="19"/>
        <v>45493</v>
      </c>
      <c r="F397" s="1">
        <f t="shared" ca="1" si="20"/>
        <v>0.25759810768808156</v>
      </c>
    </row>
    <row r="398" spans="1:6" x14ac:dyDescent="0.35">
      <c r="A398" s="1">
        <f t="shared" ca="1" si="18"/>
        <v>0.67505414328730673</v>
      </c>
      <c r="B398" s="1">
        <f t="shared" ca="1" si="18"/>
        <v>0.38970260255385636</v>
      </c>
      <c r="C398" s="1">
        <f t="shared" ca="1" si="18"/>
        <v>0.99554471541713607</v>
      </c>
      <c r="D398">
        <f t="shared" ca="1" si="19"/>
        <v>45588</v>
      </c>
      <c r="E398">
        <f t="shared" ca="1" si="19"/>
        <v>45594</v>
      </c>
      <c r="F398" s="1">
        <f t="shared" ca="1" si="20"/>
        <v>0.95744670763992079</v>
      </c>
    </row>
    <row r="399" spans="1:6" x14ac:dyDescent="0.35">
      <c r="A399" s="1">
        <f t="shared" ca="1" si="18"/>
        <v>0.60607603723905834</v>
      </c>
      <c r="B399" s="1">
        <f t="shared" ca="1" si="18"/>
        <v>6.7757097965787771E-2</v>
      </c>
      <c r="C399" s="1">
        <f t="shared" ca="1" si="18"/>
        <v>0.1063049615139916</v>
      </c>
      <c r="D399">
        <f t="shared" ca="1" si="19"/>
        <v>45608</v>
      </c>
      <c r="E399">
        <f t="shared" ca="1" si="19"/>
        <v>45794</v>
      </c>
      <c r="F399" s="1">
        <f t="shared" ca="1" si="20"/>
        <v>0.14142810850017806</v>
      </c>
    </row>
    <row r="400" spans="1:6" x14ac:dyDescent="0.35">
      <c r="A400" s="1">
        <f t="shared" ca="1" si="18"/>
        <v>8.0194121770900795E-2</v>
      </c>
      <c r="B400" s="1">
        <f t="shared" ca="1" si="18"/>
        <v>0.83932753376053404</v>
      </c>
      <c r="C400" s="1">
        <f t="shared" ca="1" si="18"/>
        <v>0.81861698179049913</v>
      </c>
      <c r="D400">
        <f t="shared" ca="1" si="19"/>
        <v>45545</v>
      </c>
      <c r="E400">
        <f t="shared" ca="1" si="19"/>
        <v>45543</v>
      </c>
      <c r="F400" s="1">
        <f t="shared" ca="1" si="20"/>
        <v>0.49569320921543758</v>
      </c>
    </row>
    <row r="401" spans="1:6" x14ac:dyDescent="0.35">
      <c r="A401" s="1">
        <f t="shared" ca="1" si="18"/>
        <v>0.61939914071479885</v>
      </c>
      <c r="B401" s="1">
        <f t="shared" ca="1" si="18"/>
        <v>0.68972179166408365</v>
      </c>
      <c r="C401" s="1">
        <f t="shared" ca="1" si="18"/>
        <v>5.2833964320586624E-4</v>
      </c>
      <c r="D401">
        <f t="shared" ca="1" si="19"/>
        <v>45519</v>
      </c>
      <c r="E401">
        <f t="shared" ca="1" si="19"/>
        <v>45574</v>
      </c>
      <c r="F401" s="1">
        <f t="shared" ca="1" si="20"/>
        <v>0.56268578259403723</v>
      </c>
    </row>
    <row r="402" spans="1:6" x14ac:dyDescent="0.35">
      <c r="A402" s="1">
        <f t="shared" ca="1" si="18"/>
        <v>0.90033814990908689</v>
      </c>
      <c r="C402" s="1">
        <f t="shared" ca="1" si="18"/>
        <v>0.73150081967567704</v>
      </c>
      <c r="D402">
        <f t="shared" ca="1" si="19"/>
        <v>45468</v>
      </c>
    </row>
    <row r="403" spans="1:6" x14ac:dyDescent="0.35">
      <c r="A403" s="1">
        <f t="shared" ca="1" si="18"/>
        <v>0.60074629062925455</v>
      </c>
      <c r="C403" s="1">
        <f t="shared" ca="1" si="18"/>
        <v>0.89488104302473381</v>
      </c>
      <c r="D403">
        <f t="shared" ca="1" si="19"/>
        <v>45717</v>
      </c>
    </row>
    <row r="404" spans="1:6" x14ac:dyDescent="0.35">
      <c r="A404" s="1">
        <f t="shared" ca="1" si="18"/>
        <v>0.78094521773910441</v>
      </c>
      <c r="C404" s="1">
        <f t="shared" ca="1" si="18"/>
        <v>0.95257997861333021</v>
      </c>
      <c r="D404">
        <f t="shared" ca="1" si="19"/>
        <v>45521</v>
      </c>
    </row>
    <row r="405" spans="1:6" x14ac:dyDescent="0.35">
      <c r="A405" s="1">
        <f t="shared" ca="1" si="18"/>
        <v>0.56805372057305736</v>
      </c>
      <c r="C405" s="1">
        <f t="shared" ca="1" si="18"/>
        <v>0.42412564471885483</v>
      </c>
      <c r="D405">
        <f t="shared" ca="1" si="19"/>
        <v>45439</v>
      </c>
    </row>
    <row r="406" spans="1:6" x14ac:dyDescent="0.35">
      <c r="A406" s="1">
        <f t="shared" ca="1" si="18"/>
        <v>0.89475301514574079</v>
      </c>
      <c r="C406" s="1">
        <f t="shared" ca="1" si="18"/>
        <v>0.23635957422585585</v>
      </c>
      <c r="D406">
        <f t="shared" ca="1" si="19"/>
        <v>45706</v>
      </c>
    </row>
    <row r="407" spans="1:6" x14ac:dyDescent="0.35">
      <c r="A407" s="1">
        <f t="shared" ca="1" si="18"/>
        <v>0.99830564822469336</v>
      </c>
      <c r="C407" s="1">
        <f t="shared" ca="1" si="18"/>
        <v>0.35469227723274221</v>
      </c>
      <c r="D407">
        <f t="shared" ca="1" si="19"/>
        <v>45695</v>
      </c>
    </row>
    <row r="408" spans="1:6" x14ac:dyDescent="0.35">
      <c r="A408" s="1">
        <f t="shared" ca="1" si="18"/>
        <v>0.62855383520203456</v>
      </c>
      <c r="C408" s="1">
        <f t="shared" ca="1" si="18"/>
        <v>0.92530404435342095</v>
      </c>
      <c r="D408">
        <f t="shared" ca="1" si="19"/>
        <v>45556</v>
      </c>
    </row>
    <row r="409" spans="1:6" x14ac:dyDescent="0.35">
      <c r="A409" s="1">
        <f t="shared" ca="1" si="18"/>
        <v>0.28262366451914245</v>
      </c>
      <c r="C409" s="1">
        <f t="shared" ca="1" si="18"/>
        <v>0.61913221015147379</v>
      </c>
      <c r="D409">
        <f t="shared" ca="1" si="19"/>
        <v>45457</v>
      </c>
    </row>
    <row r="410" spans="1:6" x14ac:dyDescent="0.35">
      <c r="A410" s="1">
        <f t="shared" ca="1" si="18"/>
        <v>0.31870740839943668</v>
      </c>
      <c r="C410" s="1">
        <f t="shared" ca="1" si="18"/>
        <v>0.77503850144092701</v>
      </c>
      <c r="D410">
        <f t="shared" ca="1" si="19"/>
        <v>45779</v>
      </c>
    </row>
    <row r="411" spans="1:6" x14ac:dyDescent="0.35">
      <c r="A411" s="1">
        <f t="shared" ca="1" si="18"/>
        <v>1.954896543769602E-2</v>
      </c>
      <c r="C411" s="1">
        <f t="shared" ca="1" si="18"/>
        <v>0.31400534580253614</v>
      </c>
      <c r="D411">
        <f t="shared" ca="1" si="19"/>
        <v>45452</v>
      </c>
    </row>
    <row r="412" spans="1:6" x14ac:dyDescent="0.35">
      <c r="A412" s="1">
        <f t="shared" ca="1" si="18"/>
        <v>0.76517633834118703</v>
      </c>
      <c r="C412" s="1">
        <f t="shared" ca="1" si="18"/>
        <v>0.13657811021706256</v>
      </c>
      <c r="D412">
        <f t="shared" ca="1" si="19"/>
        <v>45371</v>
      </c>
    </row>
    <row r="413" spans="1:6" x14ac:dyDescent="0.35">
      <c r="A413" s="1">
        <f t="shared" ca="1" si="18"/>
        <v>0.40907126240993219</v>
      </c>
      <c r="C413" s="1">
        <f t="shared" ca="1" si="18"/>
        <v>0.61594257677138209</v>
      </c>
      <c r="D413">
        <f t="shared" ca="1" si="19"/>
        <v>45722</v>
      </c>
    </row>
    <row r="414" spans="1:6" x14ac:dyDescent="0.35">
      <c r="A414" s="1">
        <f t="shared" ca="1" si="18"/>
        <v>0.14016943721376562</v>
      </c>
      <c r="C414" s="1">
        <f t="shared" ca="1" si="18"/>
        <v>0.60642134043039664</v>
      </c>
      <c r="D414">
        <f t="shared" ca="1" si="19"/>
        <v>45651</v>
      </c>
    </row>
    <row r="415" spans="1:6" x14ac:dyDescent="0.35">
      <c r="A415" s="1">
        <f t="shared" ca="1" si="18"/>
        <v>9.705659901637631E-2</v>
      </c>
      <c r="C415" s="1">
        <f t="shared" ca="1" si="18"/>
        <v>0.47386897243045478</v>
      </c>
      <c r="D415">
        <f t="shared" ca="1" si="19"/>
        <v>45448</v>
      </c>
    </row>
    <row r="416" spans="1:6" x14ac:dyDescent="0.35">
      <c r="A416" s="1">
        <f t="shared" ca="1" si="18"/>
        <v>0.97061391039712897</v>
      </c>
      <c r="C416" s="1">
        <f t="shared" ca="1" si="18"/>
        <v>0.24518387909335604</v>
      </c>
      <c r="D416">
        <f t="shared" ca="1" si="19"/>
        <v>45418</v>
      </c>
    </row>
    <row r="417" spans="1:4" x14ac:dyDescent="0.35">
      <c r="A417" s="1">
        <f t="shared" ca="1" si="18"/>
        <v>0.87509348311639146</v>
      </c>
      <c r="C417" s="1">
        <f t="shared" ca="1" si="18"/>
        <v>9.7951477099870177E-3</v>
      </c>
      <c r="D417">
        <f t="shared" ca="1" si="19"/>
        <v>45432</v>
      </c>
    </row>
    <row r="418" spans="1:4" x14ac:dyDescent="0.35">
      <c r="A418" s="1">
        <f t="shared" ca="1" si="18"/>
        <v>0.14273020133868564</v>
      </c>
      <c r="C418" s="1">
        <f t="shared" ca="1" si="18"/>
        <v>0.24088010418402195</v>
      </c>
      <c r="D418">
        <f t="shared" ca="1" si="19"/>
        <v>45823</v>
      </c>
    </row>
    <row r="419" spans="1:4" x14ac:dyDescent="0.35">
      <c r="A419" s="1">
        <f t="shared" ca="1" si="18"/>
        <v>0.94140090472469307</v>
      </c>
      <c r="C419" s="1">
        <f t="shared" ca="1" si="18"/>
        <v>0.69418207314960534</v>
      </c>
      <c r="D419">
        <f t="shared" ca="1" si="19"/>
        <v>45783</v>
      </c>
    </row>
    <row r="420" spans="1:4" x14ac:dyDescent="0.35">
      <c r="A420" s="1">
        <f t="shared" ca="1" si="18"/>
        <v>0.75742356885844853</v>
      </c>
      <c r="C420" s="1">
        <f t="shared" ca="1" si="18"/>
        <v>0.97119132968097388</v>
      </c>
      <c r="D420">
        <f t="shared" ca="1" si="19"/>
        <v>45487</v>
      </c>
    </row>
    <row r="421" spans="1:4" x14ac:dyDescent="0.35">
      <c r="A421" s="1">
        <f t="shared" ca="1" si="18"/>
        <v>0.94943158574696429</v>
      </c>
      <c r="C421" s="1">
        <f t="shared" ca="1" si="18"/>
        <v>0.90470258363662504</v>
      </c>
      <c r="D421">
        <f t="shared" ca="1" si="19"/>
        <v>45527</v>
      </c>
    </row>
    <row r="422" spans="1:4" x14ac:dyDescent="0.35">
      <c r="A422" s="1">
        <f t="shared" ca="1" si="18"/>
        <v>0.72951895409924339</v>
      </c>
      <c r="C422" s="1">
        <f t="shared" ca="1" si="18"/>
        <v>4.2206298484166238E-2</v>
      </c>
      <c r="D422">
        <f t="shared" ca="1" si="19"/>
        <v>45445</v>
      </c>
    </row>
    <row r="423" spans="1:4" x14ac:dyDescent="0.35">
      <c r="A423" s="1">
        <f t="shared" ca="1" si="18"/>
        <v>0.61453479511293085</v>
      </c>
      <c r="C423" s="1">
        <f t="shared" ca="1" si="18"/>
        <v>0.42368245637020785</v>
      </c>
      <c r="D423">
        <f t="shared" ca="1" si="19"/>
        <v>45794</v>
      </c>
    </row>
    <row r="424" spans="1:4" x14ac:dyDescent="0.35">
      <c r="A424" s="1">
        <f t="shared" ca="1" si="18"/>
        <v>0.63377048256654189</v>
      </c>
      <c r="C424" s="1">
        <f t="shared" ca="1" si="18"/>
        <v>0.92759815593163808</v>
      </c>
      <c r="D424">
        <f t="shared" ca="1" si="19"/>
        <v>45385</v>
      </c>
    </row>
    <row r="425" spans="1:4" x14ac:dyDescent="0.35">
      <c r="A425" s="1">
        <f t="shared" ca="1" si="18"/>
        <v>5.7890676075059488E-2</v>
      </c>
      <c r="C425" s="1">
        <f t="shared" ca="1" si="18"/>
        <v>0.98303293962872473</v>
      </c>
      <c r="D425">
        <f t="shared" ca="1" si="19"/>
        <v>45607</v>
      </c>
    </row>
    <row r="426" spans="1:4" x14ac:dyDescent="0.35">
      <c r="A426" s="1">
        <f t="shared" ca="1" si="18"/>
        <v>0.13763870571572745</v>
      </c>
      <c r="C426" s="1">
        <f t="shared" ca="1" si="18"/>
        <v>9.7158124359437714E-3</v>
      </c>
      <c r="D426">
        <f t="shared" ca="1" si="19"/>
        <v>45781</v>
      </c>
    </row>
    <row r="427" spans="1:4" x14ac:dyDescent="0.35">
      <c r="A427" s="1">
        <f t="shared" ca="1" si="18"/>
        <v>0.66927205400839596</v>
      </c>
      <c r="C427" s="1">
        <f t="shared" ca="1" si="18"/>
        <v>0.52750427004415135</v>
      </c>
      <c r="D427">
        <f t="shared" ca="1" si="19"/>
        <v>45305</v>
      </c>
    </row>
    <row r="428" spans="1:4" x14ac:dyDescent="0.35">
      <c r="A428" s="1">
        <f t="shared" ca="1" si="18"/>
        <v>0.13951502318654918</v>
      </c>
      <c r="C428" s="1">
        <f t="shared" ca="1" si="18"/>
        <v>5.669995040340825E-2</v>
      </c>
      <c r="D428">
        <f t="shared" ca="1" si="19"/>
        <v>45820</v>
      </c>
    </row>
    <row r="429" spans="1:4" x14ac:dyDescent="0.35">
      <c r="A429" s="1">
        <f t="shared" ca="1" si="18"/>
        <v>0.95608559834786266</v>
      </c>
      <c r="C429" s="1">
        <f t="shared" ca="1" si="18"/>
        <v>0.43405526754338275</v>
      </c>
      <c r="D429">
        <f t="shared" ca="1" si="19"/>
        <v>45374</v>
      </c>
    </row>
    <row r="430" spans="1:4" x14ac:dyDescent="0.35">
      <c r="A430" s="1">
        <f t="shared" ca="1" si="18"/>
        <v>0.8597760189961966</v>
      </c>
      <c r="C430" s="1">
        <f t="shared" ca="1" si="18"/>
        <v>0.70095937721262158</v>
      </c>
      <c r="D430">
        <f t="shared" ca="1" si="19"/>
        <v>45832</v>
      </c>
    </row>
    <row r="431" spans="1:4" x14ac:dyDescent="0.35">
      <c r="A431" s="1">
        <f t="shared" ca="1" si="18"/>
        <v>0.73058660716949919</v>
      </c>
      <c r="C431" s="1">
        <f t="shared" ca="1" si="18"/>
        <v>0.5075246466753206</v>
      </c>
      <c r="D431">
        <f t="shared" ca="1" si="19"/>
        <v>45413</v>
      </c>
    </row>
    <row r="432" spans="1:4" x14ac:dyDescent="0.35">
      <c r="A432" s="1">
        <f t="shared" ca="1" si="18"/>
        <v>0.80726829592930427</v>
      </c>
      <c r="C432" s="1">
        <f t="shared" ca="1" si="18"/>
        <v>0.33717363104293541</v>
      </c>
      <c r="D432">
        <f t="shared" ca="1" si="19"/>
        <v>45595</v>
      </c>
    </row>
    <row r="433" spans="1:4" x14ac:dyDescent="0.35">
      <c r="A433" s="1">
        <f t="shared" ca="1" si="18"/>
        <v>7.1545840343457012E-2</v>
      </c>
      <c r="C433" s="1">
        <f t="shared" ca="1" si="18"/>
        <v>0.40808690673154546</v>
      </c>
      <c r="D433">
        <f t="shared" ca="1" si="19"/>
        <v>45415</v>
      </c>
    </row>
    <row r="434" spans="1:4" x14ac:dyDescent="0.35">
      <c r="A434" s="1">
        <f t="shared" ca="1" si="18"/>
        <v>0.26205947749493519</v>
      </c>
      <c r="C434" s="1">
        <f t="shared" ca="1" si="18"/>
        <v>0.2640440483626727</v>
      </c>
      <c r="D434">
        <f t="shared" ca="1" si="19"/>
        <v>45571</v>
      </c>
    </row>
    <row r="435" spans="1:4" x14ac:dyDescent="0.35">
      <c r="A435" s="1">
        <f t="shared" ca="1" si="18"/>
        <v>0.59358550062792503</v>
      </c>
      <c r="C435" s="1">
        <f t="shared" ca="1" si="18"/>
        <v>0.73186351357212354</v>
      </c>
      <c r="D435">
        <f t="shared" ca="1" si="19"/>
        <v>45765</v>
      </c>
    </row>
    <row r="436" spans="1:4" x14ac:dyDescent="0.35">
      <c r="A436" s="1">
        <f t="shared" ca="1" si="18"/>
        <v>0.41251030438814373</v>
      </c>
      <c r="C436" s="1">
        <f t="shared" ca="1" si="18"/>
        <v>0.21976057818227002</v>
      </c>
      <c r="D436">
        <f t="shared" ca="1" si="19"/>
        <v>45366</v>
      </c>
    </row>
    <row r="437" spans="1:4" x14ac:dyDescent="0.35">
      <c r="A437" s="1">
        <f t="shared" ca="1" si="18"/>
        <v>0.62193230350896256</v>
      </c>
      <c r="C437" s="1">
        <f t="shared" ca="1" si="18"/>
        <v>0.99038338440838514</v>
      </c>
      <c r="D437">
        <f t="shared" ca="1" si="19"/>
        <v>45329</v>
      </c>
    </row>
    <row r="438" spans="1:4" x14ac:dyDescent="0.35">
      <c r="A438" s="1">
        <f t="shared" ca="1" si="18"/>
        <v>0.88588121232286487</v>
      </c>
      <c r="C438" s="1">
        <f t="shared" ca="1" si="18"/>
        <v>0.41884647885249215</v>
      </c>
      <c r="D438">
        <f t="shared" ca="1" si="19"/>
        <v>45490</v>
      </c>
    </row>
    <row r="439" spans="1:4" x14ac:dyDescent="0.35">
      <c r="A439" s="1">
        <f t="shared" ca="1" si="18"/>
        <v>0.8148445724817116</v>
      </c>
      <c r="C439" s="1">
        <f t="shared" ca="1" si="18"/>
        <v>0.79618298985158686</v>
      </c>
      <c r="D439">
        <f t="shared" ca="1" si="19"/>
        <v>45363</v>
      </c>
    </row>
    <row r="440" spans="1:4" x14ac:dyDescent="0.35">
      <c r="A440" s="1">
        <f t="shared" ca="1" si="18"/>
        <v>0.54833074608654508</v>
      </c>
      <c r="C440" s="1">
        <f t="shared" ca="1" si="18"/>
        <v>0.28692737414623137</v>
      </c>
      <c r="D440">
        <f t="shared" ca="1" si="19"/>
        <v>45620</v>
      </c>
    </row>
    <row r="441" spans="1:4" x14ac:dyDescent="0.35">
      <c r="A441" s="1">
        <f t="shared" ca="1" si="18"/>
        <v>0.9043643857088558</v>
      </c>
      <c r="C441" s="1">
        <f t="shared" ca="1" si="18"/>
        <v>0.18779491895755673</v>
      </c>
      <c r="D441">
        <f t="shared" ca="1" si="19"/>
        <v>45409</v>
      </c>
    </row>
    <row r="442" spans="1:4" x14ac:dyDescent="0.35">
      <c r="A442" s="1">
        <f t="shared" ca="1" si="18"/>
        <v>0.27645876311871531</v>
      </c>
      <c r="C442" s="1">
        <f t="shared" ca="1" si="18"/>
        <v>0.34137021232348841</v>
      </c>
      <c r="D442">
        <f t="shared" ca="1" si="19"/>
        <v>45684</v>
      </c>
    </row>
    <row r="443" spans="1:4" x14ac:dyDescent="0.35">
      <c r="A443" s="1">
        <f t="shared" ca="1" si="18"/>
        <v>0.77260414633567265</v>
      </c>
      <c r="C443" s="1">
        <f t="shared" ca="1" si="18"/>
        <v>0.67446929653393817</v>
      </c>
      <c r="D443">
        <f t="shared" ca="1" si="19"/>
        <v>45759</v>
      </c>
    </row>
    <row r="444" spans="1:4" x14ac:dyDescent="0.35">
      <c r="A444" s="1">
        <f t="shared" ca="1" si="18"/>
        <v>0.5865858573846473</v>
      </c>
      <c r="C444" s="1">
        <f t="shared" ca="1" si="18"/>
        <v>0.96839730241590893</v>
      </c>
      <c r="D444">
        <f t="shared" ca="1" si="19"/>
        <v>45403</v>
      </c>
    </row>
    <row r="445" spans="1:4" x14ac:dyDescent="0.35">
      <c r="A445" s="1">
        <f t="shared" ca="1" si="18"/>
        <v>0.16052384586280677</v>
      </c>
      <c r="C445" s="1">
        <f t="shared" ca="1" si="18"/>
        <v>0.63363465743535341</v>
      </c>
      <c r="D445">
        <f t="shared" ca="1" si="19"/>
        <v>45788</v>
      </c>
    </row>
    <row r="446" spans="1:4" x14ac:dyDescent="0.35">
      <c r="A446" s="1">
        <f t="shared" ca="1" si="18"/>
        <v>0.95035894809934718</v>
      </c>
      <c r="C446" s="1">
        <f t="shared" ca="1" si="18"/>
        <v>0.30509318002703345</v>
      </c>
      <c r="D446">
        <f t="shared" ca="1" si="19"/>
        <v>45411</v>
      </c>
    </row>
    <row r="447" spans="1:4" x14ac:dyDescent="0.35">
      <c r="A447" s="1">
        <f t="shared" ca="1" si="18"/>
        <v>0.42431523089817424</v>
      </c>
      <c r="C447" s="1">
        <f t="shared" ca="1" si="18"/>
        <v>0.27400537315147833</v>
      </c>
      <c r="D447">
        <f t="shared" ca="1" si="19"/>
        <v>45383</v>
      </c>
    </row>
    <row r="448" spans="1:4" x14ac:dyDescent="0.35">
      <c r="A448" s="1">
        <f t="shared" ca="1" si="18"/>
        <v>0.56201967398437558</v>
      </c>
      <c r="C448" s="1">
        <f t="shared" ca="1" si="18"/>
        <v>0.87508974799545813</v>
      </c>
      <c r="D448">
        <f t="shared" ca="1" si="19"/>
        <v>45293</v>
      </c>
    </row>
    <row r="449" spans="1:4" x14ac:dyDescent="0.35">
      <c r="A449" s="1">
        <f t="shared" ca="1" si="18"/>
        <v>0.93859757716278591</v>
      </c>
      <c r="C449" s="1">
        <f t="shared" ca="1" si="18"/>
        <v>0.45097012519875168</v>
      </c>
      <c r="D449">
        <f t="shared" ca="1" si="19"/>
        <v>45717</v>
      </c>
    </row>
    <row r="450" spans="1:4" x14ac:dyDescent="0.35">
      <c r="A450" s="1">
        <f t="shared" ca="1" si="18"/>
        <v>0.97404906231276756</v>
      </c>
      <c r="C450" s="1">
        <f t="shared" ca="1" si="18"/>
        <v>0.42776939236368083</v>
      </c>
      <c r="D450">
        <f t="shared" ca="1" si="19"/>
        <v>45724</v>
      </c>
    </row>
    <row r="451" spans="1:4" x14ac:dyDescent="0.35">
      <c r="A451" s="1">
        <f t="shared" ref="A451:A514" ca="1" si="21">RAND()</f>
        <v>0.85611451366826608</v>
      </c>
      <c r="C451" s="1">
        <f t="shared" ref="C451:C514" ca="1" si="22">RAND()</f>
        <v>6.0273223698130707E-3</v>
      </c>
      <c r="D451">
        <f t="shared" ref="D451:D514" ca="1" si="23">RANDBETWEEN(45292,45838)</f>
        <v>45837</v>
      </c>
    </row>
    <row r="452" spans="1:4" x14ac:dyDescent="0.35">
      <c r="A452" s="1">
        <f t="shared" ca="1" si="21"/>
        <v>0.3980802724560204</v>
      </c>
      <c r="C452" s="1">
        <f t="shared" ca="1" si="22"/>
        <v>0.48637180356733989</v>
      </c>
      <c r="D452">
        <f t="shared" ca="1" si="23"/>
        <v>45464</v>
      </c>
    </row>
    <row r="453" spans="1:4" x14ac:dyDescent="0.35">
      <c r="A453" s="1">
        <f t="shared" ca="1" si="21"/>
        <v>0.61177192622032084</v>
      </c>
      <c r="C453" s="1">
        <f t="shared" ca="1" si="22"/>
        <v>0.66058670811193798</v>
      </c>
      <c r="D453">
        <f t="shared" ca="1" si="23"/>
        <v>45823</v>
      </c>
    </row>
    <row r="454" spans="1:4" x14ac:dyDescent="0.35">
      <c r="A454" s="1">
        <f t="shared" ca="1" si="21"/>
        <v>0.64695322932475863</v>
      </c>
      <c r="C454" s="1">
        <f t="shared" ca="1" si="22"/>
        <v>0.32419557302280844</v>
      </c>
      <c r="D454">
        <f t="shared" ca="1" si="23"/>
        <v>45350</v>
      </c>
    </row>
    <row r="455" spans="1:4" x14ac:dyDescent="0.35">
      <c r="A455" s="1">
        <f t="shared" ca="1" si="21"/>
        <v>0.6063856316165035</v>
      </c>
      <c r="C455" s="1">
        <f t="shared" ca="1" si="22"/>
        <v>0.87394776766471616</v>
      </c>
      <c r="D455">
        <f t="shared" ca="1" si="23"/>
        <v>45663</v>
      </c>
    </row>
    <row r="456" spans="1:4" x14ac:dyDescent="0.35">
      <c r="A456" s="1">
        <f t="shared" ca="1" si="21"/>
        <v>0.22336331632023243</v>
      </c>
      <c r="C456" s="1">
        <f t="shared" ca="1" si="22"/>
        <v>2.405943238828423E-2</v>
      </c>
      <c r="D456">
        <f t="shared" ca="1" si="23"/>
        <v>45292</v>
      </c>
    </row>
    <row r="457" spans="1:4" x14ac:dyDescent="0.35">
      <c r="A457" s="1">
        <f t="shared" ca="1" si="21"/>
        <v>0.26185567386167796</v>
      </c>
      <c r="C457" s="1">
        <f t="shared" ca="1" si="22"/>
        <v>0.64108235223372845</v>
      </c>
      <c r="D457">
        <f t="shared" ca="1" si="23"/>
        <v>45798</v>
      </c>
    </row>
    <row r="458" spans="1:4" x14ac:dyDescent="0.35">
      <c r="A458" s="1">
        <f t="shared" ca="1" si="21"/>
        <v>0.82272022453564253</v>
      </c>
      <c r="C458" s="1">
        <f t="shared" ca="1" si="22"/>
        <v>0.41863632962681641</v>
      </c>
      <c r="D458">
        <f t="shared" ca="1" si="23"/>
        <v>45736</v>
      </c>
    </row>
    <row r="459" spans="1:4" x14ac:dyDescent="0.35">
      <c r="A459" s="1">
        <f t="shared" ca="1" si="21"/>
        <v>0.67437855570159533</v>
      </c>
      <c r="C459" s="1">
        <f t="shared" ca="1" si="22"/>
        <v>0.86365484599245002</v>
      </c>
      <c r="D459">
        <f t="shared" ca="1" si="23"/>
        <v>45387</v>
      </c>
    </row>
    <row r="460" spans="1:4" x14ac:dyDescent="0.35">
      <c r="A460" s="1">
        <f t="shared" ca="1" si="21"/>
        <v>0.40889308632802401</v>
      </c>
      <c r="C460" s="1">
        <f t="shared" ca="1" si="22"/>
        <v>0.40421724962083827</v>
      </c>
      <c r="D460">
        <f t="shared" ca="1" si="23"/>
        <v>45418</v>
      </c>
    </row>
    <row r="461" spans="1:4" x14ac:dyDescent="0.35">
      <c r="A461" s="1">
        <f t="shared" ca="1" si="21"/>
        <v>0.81306099839061396</v>
      </c>
      <c r="C461" s="1">
        <f t="shared" ca="1" si="22"/>
        <v>0.90509737466021645</v>
      </c>
      <c r="D461">
        <f t="shared" ca="1" si="23"/>
        <v>45457</v>
      </c>
    </row>
    <row r="462" spans="1:4" x14ac:dyDescent="0.35">
      <c r="A462" s="1">
        <f t="shared" ca="1" si="21"/>
        <v>0.92987318390164586</v>
      </c>
      <c r="C462" s="1">
        <f t="shared" ca="1" si="22"/>
        <v>0.35363963200720105</v>
      </c>
      <c r="D462">
        <f t="shared" ca="1" si="23"/>
        <v>45790</v>
      </c>
    </row>
    <row r="463" spans="1:4" x14ac:dyDescent="0.35">
      <c r="A463" s="1">
        <f t="shared" ca="1" si="21"/>
        <v>0.17738876322651476</v>
      </c>
      <c r="C463" s="1">
        <f t="shared" ca="1" si="22"/>
        <v>0.27807296457157005</v>
      </c>
      <c r="D463">
        <f t="shared" ca="1" si="23"/>
        <v>45481</v>
      </c>
    </row>
    <row r="464" spans="1:4" x14ac:dyDescent="0.35">
      <c r="A464" s="1">
        <f t="shared" ca="1" si="21"/>
        <v>0.28238230834607025</v>
      </c>
      <c r="C464" s="1">
        <f t="shared" ca="1" si="22"/>
        <v>0.2627997125213688</v>
      </c>
      <c r="D464">
        <f t="shared" ca="1" si="23"/>
        <v>45359</v>
      </c>
    </row>
    <row r="465" spans="1:4" x14ac:dyDescent="0.35">
      <c r="A465" s="1">
        <f t="shared" ca="1" si="21"/>
        <v>0.26420356683110491</v>
      </c>
      <c r="C465" s="1">
        <f t="shared" ca="1" si="22"/>
        <v>0.73314580748490599</v>
      </c>
      <c r="D465">
        <f t="shared" ca="1" si="23"/>
        <v>45423</v>
      </c>
    </row>
    <row r="466" spans="1:4" x14ac:dyDescent="0.35">
      <c r="A466" s="1">
        <f t="shared" ca="1" si="21"/>
        <v>0.39728649521410087</v>
      </c>
      <c r="C466" s="1">
        <f t="shared" ca="1" si="22"/>
        <v>0.16080877452362718</v>
      </c>
      <c r="D466">
        <f t="shared" ca="1" si="23"/>
        <v>45591</v>
      </c>
    </row>
    <row r="467" spans="1:4" x14ac:dyDescent="0.35">
      <c r="A467" s="1">
        <f t="shared" ca="1" si="21"/>
        <v>0.57627350283614387</v>
      </c>
      <c r="C467" s="1">
        <f t="shared" ca="1" si="22"/>
        <v>0.63031804836596428</v>
      </c>
      <c r="D467">
        <f t="shared" ca="1" si="23"/>
        <v>45604</v>
      </c>
    </row>
    <row r="468" spans="1:4" x14ac:dyDescent="0.35">
      <c r="A468" s="1">
        <f t="shared" ca="1" si="21"/>
        <v>8.5309746860275593E-2</v>
      </c>
      <c r="C468" s="1">
        <f t="shared" ca="1" si="22"/>
        <v>0.2405305574755201</v>
      </c>
      <c r="D468">
        <f t="shared" ca="1" si="23"/>
        <v>45785</v>
      </c>
    </row>
    <row r="469" spans="1:4" x14ac:dyDescent="0.35">
      <c r="A469" s="1">
        <f t="shared" ca="1" si="21"/>
        <v>0.34175888271262878</v>
      </c>
      <c r="C469" s="1">
        <f t="shared" ca="1" si="22"/>
        <v>0.11645841746116503</v>
      </c>
      <c r="D469">
        <f t="shared" ca="1" si="23"/>
        <v>45516</v>
      </c>
    </row>
    <row r="470" spans="1:4" x14ac:dyDescent="0.35">
      <c r="A470" s="1">
        <f t="shared" ca="1" si="21"/>
        <v>0.4193880321332738</v>
      </c>
      <c r="C470" s="1">
        <f t="shared" ca="1" si="22"/>
        <v>0.21053401641739256</v>
      </c>
      <c r="D470">
        <f t="shared" ca="1" si="23"/>
        <v>45323</v>
      </c>
    </row>
    <row r="471" spans="1:4" x14ac:dyDescent="0.35">
      <c r="A471" s="1">
        <f t="shared" ca="1" si="21"/>
        <v>0.62775290537380968</v>
      </c>
      <c r="C471" s="1">
        <f t="shared" ca="1" si="22"/>
        <v>0.84209669269140341</v>
      </c>
      <c r="D471">
        <f t="shared" ca="1" si="23"/>
        <v>45295</v>
      </c>
    </row>
    <row r="472" spans="1:4" x14ac:dyDescent="0.35">
      <c r="A472" s="1">
        <f t="shared" ca="1" si="21"/>
        <v>0.4507532365821123</v>
      </c>
      <c r="C472" s="1">
        <f t="shared" ca="1" si="22"/>
        <v>0.12089735749083463</v>
      </c>
      <c r="D472">
        <f t="shared" ca="1" si="23"/>
        <v>45534</v>
      </c>
    </row>
    <row r="473" spans="1:4" x14ac:dyDescent="0.35">
      <c r="A473" s="1">
        <f t="shared" ca="1" si="21"/>
        <v>0.43035566606638687</v>
      </c>
      <c r="C473" s="1">
        <f t="shared" ca="1" si="22"/>
        <v>0.68840544421000216</v>
      </c>
      <c r="D473">
        <f t="shared" ca="1" si="23"/>
        <v>45618</v>
      </c>
    </row>
    <row r="474" spans="1:4" x14ac:dyDescent="0.35">
      <c r="A474" s="1">
        <f t="shared" ca="1" si="21"/>
        <v>0.2068721683271495</v>
      </c>
      <c r="C474" s="1">
        <f t="shared" ca="1" si="22"/>
        <v>0.98202757865147194</v>
      </c>
      <c r="D474">
        <f t="shared" ca="1" si="23"/>
        <v>45778</v>
      </c>
    </row>
    <row r="475" spans="1:4" x14ac:dyDescent="0.35">
      <c r="A475" s="1">
        <f t="shared" ca="1" si="21"/>
        <v>0.71214875869292849</v>
      </c>
      <c r="C475" s="1">
        <f t="shared" ca="1" si="22"/>
        <v>0.75512738446610106</v>
      </c>
      <c r="D475">
        <f t="shared" ca="1" si="23"/>
        <v>45658</v>
      </c>
    </row>
    <row r="476" spans="1:4" x14ac:dyDescent="0.35">
      <c r="A476" s="1">
        <f t="shared" ca="1" si="21"/>
        <v>0.4531570437848268</v>
      </c>
      <c r="C476" s="1">
        <f t="shared" ca="1" si="22"/>
        <v>0.78335540735136922</v>
      </c>
      <c r="D476">
        <f t="shared" ca="1" si="23"/>
        <v>45630</v>
      </c>
    </row>
    <row r="477" spans="1:4" x14ac:dyDescent="0.35">
      <c r="A477" s="1">
        <f t="shared" ca="1" si="21"/>
        <v>2.840685003387966E-2</v>
      </c>
      <c r="C477" s="1">
        <f t="shared" ca="1" si="22"/>
        <v>8.2900885550062364E-3</v>
      </c>
      <c r="D477">
        <f t="shared" ca="1" si="23"/>
        <v>45437</v>
      </c>
    </row>
    <row r="478" spans="1:4" x14ac:dyDescent="0.35">
      <c r="A478" s="1">
        <f t="shared" ca="1" si="21"/>
        <v>0.94119658413429164</v>
      </c>
      <c r="C478" s="1">
        <f t="shared" ca="1" si="22"/>
        <v>0.78673990342501254</v>
      </c>
      <c r="D478">
        <f t="shared" ca="1" si="23"/>
        <v>45634</v>
      </c>
    </row>
    <row r="479" spans="1:4" x14ac:dyDescent="0.35">
      <c r="A479" s="1">
        <f t="shared" ca="1" si="21"/>
        <v>0.8618450820078869</v>
      </c>
      <c r="C479" s="1">
        <f t="shared" ca="1" si="22"/>
        <v>0.36414128225236475</v>
      </c>
      <c r="D479">
        <f t="shared" ca="1" si="23"/>
        <v>45782</v>
      </c>
    </row>
    <row r="480" spans="1:4" x14ac:dyDescent="0.35">
      <c r="A480" s="1">
        <f t="shared" ca="1" si="21"/>
        <v>0.67245426691046051</v>
      </c>
      <c r="C480" s="1">
        <f t="shared" ca="1" si="22"/>
        <v>0.3995027852956039</v>
      </c>
      <c r="D480">
        <f t="shared" ca="1" si="23"/>
        <v>45552</v>
      </c>
    </row>
    <row r="481" spans="1:4" x14ac:dyDescent="0.35">
      <c r="A481" s="1">
        <f t="shared" ca="1" si="21"/>
        <v>0.86348738960835036</v>
      </c>
      <c r="C481" s="1">
        <f t="shared" ca="1" si="22"/>
        <v>0.35602640063929103</v>
      </c>
      <c r="D481">
        <f t="shared" ca="1" si="23"/>
        <v>45438</v>
      </c>
    </row>
    <row r="482" spans="1:4" x14ac:dyDescent="0.35">
      <c r="A482" s="1">
        <f t="shared" ca="1" si="21"/>
        <v>0.58913656935618908</v>
      </c>
      <c r="C482" s="1">
        <f t="shared" ca="1" si="22"/>
        <v>4.3071444054184616E-2</v>
      </c>
      <c r="D482">
        <f t="shared" ca="1" si="23"/>
        <v>45418</v>
      </c>
    </row>
    <row r="483" spans="1:4" x14ac:dyDescent="0.35">
      <c r="A483" s="1">
        <f t="shared" ca="1" si="21"/>
        <v>0.49529318295891911</v>
      </c>
      <c r="C483" s="1">
        <f t="shared" ca="1" si="22"/>
        <v>0.11589160442996393</v>
      </c>
      <c r="D483">
        <f t="shared" ca="1" si="23"/>
        <v>45409</v>
      </c>
    </row>
    <row r="484" spans="1:4" x14ac:dyDescent="0.35">
      <c r="A484" s="1">
        <f t="shared" ca="1" si="21"/>
        <v>0.29636224046822146</v>
      </c>
      <c r="C484" s="1">
        <f t="shared" ca="1" si="22"/>
        <v>0.20599127364338554</v>
      </c>
      <c r="D484">
        <f t="shared" ca="1" si="23"/>
        <v>45386</v>
      </c>
    </row>
    <row r="485" spans="1:4" x14ac:dyDescent="0.35">
      <c r="A485" s="1">
        <f t="shared" ca="1" si="21"/>
        <v>0.90931472213998077</v>
      </c>
      <c r="C485" s="1">
        <f t="shared" ca="1" si="22"/>
        <v>5.6467211239604298E-2</v>
      </c>
      <c r="D485">
        <f t="shared" ca="1" si="23"/>
        <v>45584</v>
      </c>
    </row>
    <row r="486" spans="1:4" x14ac:dyDescent="0.35">
      <c r="A486" s="1">
        <f t="shared" ca="1" si="21"/>
        <v>0.38350028141348114</v>
      </c>
      <c r="C486" s="1">
        <f t="shared" ca="1" si="22"/>
        <v>0.6922369780888763</v>
      </c>
      <c r="D486">
        <f t="shared" ca="1" si="23"/>
        <v>45803</v>
      </c>
    </row>
    <row r="487" spans="1:4" x14ac:dyDescent="0.35">
      <c r="A487" s="1">
        <f t="shared" ca="1" si="21"/>
        <v>0.86384826774163925</v>
      </c>
      <c r="C487" s="1">
        <f t="shared" ca="1" si="22"/>
        <v>0.37341698329604289</v>
      </c>
      <c r="D487">
        <f t="shared" ca="1" si="23"/>
        <v>45706</v>
      </c>
    </row>
    <row r="488" spans="1:4" x14ac:dyDescent="0.35">
      <c r="A488" s="1">
        <f t="shared" ca="1" si="21"/>
        <v>0.4182066338246424</v>
      </c>
      <c r="C488" s="1">
        <f t="shared" ca="1" si="22"/>
        <v>0.34329729803056208</v>
      </c>
      <c r="D488">
        <f t="shared" ca="1" si="23"/>
        <v>45669</v>
      </c>
    </row>
    <row r="489" spans="1:4" x14ac:dyDescent="0.35">
      <c r="A489" s="1">
        <f t="shared" ca="1" si="21"/>
        <v>0.70884027764087865</v>
      </c>
      <c r="C489" s="1">
        <f t="shared" ca="1" si="22"/>
        <v>3.4758137996664717E-2</v>
      </c>
      <c r="D489">
        <f t="shared" ca="1" si="23"/>
        <v>45534</v>
      </c>
    </row>
    <row r="490" spans="1:4" x14ac:dyDescent="0.35">
      <c r="A490" s="1">
        <f t="shared" ca="1" si="21"/>
        <v>5.4686445301120212E-2</v>
      </c>
      <c r="C490" s="1">
        <f t="shared" ca="1" si="22"/>
        <v>0.73367251567637581</v>
      </c>
      <c r="D490">
        <f t="shared" ca="1" si="23"/>
        <v>45827</v>
      </c>
    </row>
    <row r="491" spans="1:4" x14ac:dyDescent="0.35">
      <c r="A491" s="1">
        <f t="shared" ca="1" si="21"/>
        <v>0.84269402201746357</v>
      </c>
      <c r="C491" s="1">
        <f t="shared" ca="1" si="22"/>
        <v>8.1226113640549658E-2</v>
      </c>
      <c r="D491">
        <f t="shared" ca="1" si="23"/>
        <v>45655</v>
      </c>
    </row>
    <row r="492" spans="1:4" x14ac:dyDescent="0.35">
      <c r="A492" s="1">
        <f t="shared" ca="1" si="21"/>
        <v>0.63517895211125852</v>
      </c>
      <c r="C492" s="1">
        <f t="shared" ca="1" si="22"/>
        <v>0.63982977320314638</v>
      </c>
      <c r="D492">
        <f t="shared" ca="1" si="23"/>
        <v>45585</v>
      </c>
    </row>
    <row r="493" spans="1:4" x14ac:dyDescent="0.35">
      <c r="A493" s="1">
        <f t="shared" ca="1" si="21"/>
        <v>0.42313349240185227</v>
      </c>
      <c r="C493" s="1">
        <f t="shared" ca="1" si="22"/>
        <v>0.30574375747197002</v>
      </c>
      <c r="D493">
        <f t="shared" ca="1" si="23"/>
        <v>45336</v>
      </c>
    </row>
    <row r="494" spans="1:4" x14ac:dyDescent="0.35">
      <c r="A494" s="1">
        <f t="shared" ca="1" si="21"/>
        <v>0.1281932530341513</v>
      </c>
      <c r="C494" s="1">
        <f t="shared" ca="1" si="22"/>
        <v>0.87733669439326767</v>
      </c>
      <c r="D494">
        <f t="shared" ca="1" si="23"/>
        <v>45753</v>
      </c>
    </row>
    <row r="495" spans="1:4" x14ac:dyDescent="0.35">
      <c r="A495" s="1">
        <f t="shared" ca="1" si="21"/>
        <v>0.79082243203869185</v>
      </c>
      <c r="C495" s="1">
        <f t="shared" ca="1" si="22"/>
        <v>0.83051687263358975</v>
      </c>
      <c r="D495">
        <f t="shared" ca="1" si="23"/>
        <v>45792</v>
      </c>
    </row>
    <row r="496" spans="1:4" x14ac:dyDescent="0.35">
      <c r="A496" s="1">
        <f t="shared" ca="1" si="21"/>
        <v>4.2737254948816861E-2</v>
      </c>
      <c r="C496" s="1">
        <f t="shared" ca="1" si="22"/>
        <v>0.35215313065968068</v>
      </c>
      <c r="D496">
        <f t="shared" ca="1" si="23"/>
        <v>45712</v>
      </c>
    </row>
    <row r="497" spans="1:4" x14ac:dyDescent="0.35">
      <c r="A497" s="1">
        <f t="shared" ca="1" si="21"/>
        <v>0.64754583973912316</v>
      </c>
      <c r="C497" s="1">
        <f t="shared" ca="1" si="22"/>
        <v>0.92942698547830727</v>
      </c>
      <c r="D497">
        <f t="shared" ca="1" si="23"/>
        <v>45556</v>
      </c>
    </row>
    <row r="498" spans="1:4" x14ac:dyDescent="0.35">
      <c r="A498" s="1">
        <f t="shared" ca="1" si="21"/>
        <v>0.93219134699750306</v>
      </c>
      <c r="C498" s="1">
        <f t="shared" ca="1" si="22"/>
        <v>0.60493132326773202</v>
      </c>
      <c r="D498">
        <f t="shared" ca="1" si="23"/>
        <v>45770</v>
      </c>
    </row>
    <row r="499" spans="1:4" x14ac:dyDescent="0.35">
      <c r="A499" s="1">
        <f t="shared" ca="1" si="21"/>
        <v>0.99421221035607898</v>
      </c>
      <c r="C499" s="1">
        <f t="shared" ca="1" si="22"/>
        <v>6.1289677473318482E-2</v>
      </c>
      <c r="D499">
        <f t="shared" ca="1" si="23"/>
        <v>45339</v>
      </c>
    </row>
    <row r="500" spans="1:4" x14ac:dyDescent="0.35">
      <c r="A500" s="1">
        <f t="shared" ca="1" si="21"/>
        <v>0.1124859555123926</v>
      </c>
      <c r="C500" s="1">
        <f t="shared" ca="1" si="22"/>
        <v>9.4498951076469773E-2</v>
      </c>
      <c r="D500">
        <f t="shared" ca="1" si="23"/>
        <v>45490</v>
      </c>
    </row>
    <row r="501" spans="1:4" x14ac:dyDescent="0.35">
      <c r="A501" s="1">
        <f t="shared" ca="1" si="21"/>
        <v>0.90034795358716546</v>
      </c>
      <c r="C501" s="1">
        <f t="shared" ca="1" si="22"/>
        <v>0.410276488731113</v>
      </c>
      <c r="D501">
        <f t="shared" ca="1" si="23"/>
        <v>45489</v>
      </c>
    </row>
    <row r="502" spans="1:4" x14ac:dyDescent="0.35">
      <c r="A502" s="1">
        <f t="shared" ca="1" si="21"/>
        <v>0.75094059524780798</v>
      </c>
      <c r="C502" s="1">
        <f t="shared" ca="1" si="22"/>
        <v>0.38859866208546523</v>
      </c>
      <c r="D502">
        <f t="shared" ca="1" si="23"/>
        <v>45307</v>
      </c>
    </row>
    <row r="503" spans="1:4" x14ac:dyDescent="0.35">
      <c r="A503" s="1">
        <f t="shared" ca="1" si="21"/>
        <v>0.448747909954479</v>
      </c>
      <c r="C503" s="1">
        <f t="shared" ca="1" si="22"/>
        <v>0.65595619338820677</v>
      </c>
      <c r="D503">
        <f t="shared" ca="1" si="23"/>
        <v>45571</v>
      </c>
    </row>
    <row r="504" spans="1:4" x14ac:dyDescent="0.35">
      <c r="A504" s="1">
        <f t="shared" ca="1" si="21"/>
        <v>5.4744469334499835E-2</v>
      </c>
      <c r="C504" s="1">
        <f t="shared" ca="1" si="22"/>
        <v>3.2381027428529663E-2</v>
      </c>
      <c r="D504">
        <f t="shared" ca="1" si="23"/>
        <v>45498</v>
      </c>
    </row>
    <row r="505" spans="1:4" x14ac:dyDescent="0.35">
      <c r="A505" s="1">
        <f t="shared" ca="1" si="21"/>
        <v>0.49997222842242595</v>
      </c>
      <c r="C505" s="1">
        <f t="shared" ca="1" si="22"/>
        <v>0.74385870462012904</v>
      </c>
      <c r="D505">
        <f t="shared" ca="1" si="23"/>
        <v>45331</v>
      </c>
    </row>
    <row r="506" spans="1:4" x14ac:dyDescent="0.35">
      <c r="A506" s="1">
        <f t="shared" ca="1" si="21"/>
        <v>0.43723771205912998</v>
      </c>
      <c r="C506" s="1">
        <f t="shared" ca="1" si="22"/>
        <v>0.74678162355054123</v>
      </c>
      <c r="D506">
        <f t="shared" ca="1" si="23"/>
        <v>45649</v>
      </c>
    </row>
    <row r="507" spans="1:4" x14ac:dyDescent="0.35">
      <c r="A507" s="1">
        <f t="shared" ca="1" si="21"/>
        <v>0.67185980367348641</v>
      </c>
      <c r="C507" s="1">
        <f t="shared" ca="1" si="22"/>
        <v>0.64362197762476758</v>
      </c>
      <c r="D507">
        <f t="shared" ca="1" si="23"/>
        <v>45345</v>
      </c>
    </row>
    <row r="508" spans="1:4" x14ac:dyDescent="0.35">
      <c r="A508" s="1">
        <f t="shared" ca="1" si="21"/>
        <v>0.38014568318456898</v>
      </c>
      <c r="C508" s="1">
        <f t="shared" ca="1" si="22"/>
        <v>0.99435969290335713</v>
      </c>
      <c r="D508">
        <f t="shared" ca="1" si="23"/>
        <v>45741</v>
      </c>
    </row>
    <row r="509" spans="1:4" x14ac:dyDescent="0.35">
      <c r="A509" s="1">
        <f t="shared" ca="1" si="21"/>
        <v>0.24079987111416445</v>
      </c>
      <c r="C509" s="1">
        <f t="shared" ca="1" si="22"/>
        <v>0.81569089258733829</v>
      </c>
      <c r="D509">
        <f t="shared" ca="1" si="23"/>
        <v>45361</v>
      </c>
    </row>
    <row r="510" spans="1:4" x14ac:dyDescent="0.35">
      <c r="A510" s="1">
        <f t="shared" ca="1" si="21"/>
        <v>7.0117879478452716E-2</v>
      </c>
      <c r="C510" s="1">
        <f t="shared" ca="1" si="22"/>
        <v>0.68088196716329408</v>
      </c>
      <c r="D510">
        <f t="shared" ca="1" si="23"/>
        <v>45428</v>
      </c>
    </row>
    <row r="511" spans="1:4" x14ac:dyDescent="0.35">
      <c r="A511" s="1">
        <f t="shared" ca="1" si="21"/>
        <v>0.49509354378218406</v>
      </c>
      <c r="C511" s="1">
        <f t="shared" ca="1" si="22"/>
        <v>0.51745410762835975</v>
      </c>
      <c r="D511">
        <f t="shared" ca="1" si="23"/>
        <v>45351</v>
      </c>
    </row>
    <row r="512" spans="1:4" x14ac:dyDescent="0.35">
      <c r="A512" s="1">
        <f t="shared" ca="1" si="21"/>
        <v>0.53292887589155502</v>
      </c>
      <c r="C512" s="1">
        <f t="shared" ca="1" si="22"/>
        <v>0.95477082880874331</v>
      </c>
      <c r="D512">
        <f t="shared" ca="1" si="23"/>
        <v>45747</v>
      </c>
    </row>
    <row r="513" spans="1:4" x14ac:dyDescent="0.35">
      <c r="A513" s="1">
        <f t="shared" ca="1" si="21"/>
        <v>0.37630780765789129</v>
      </c>
      <c r="C513" s="1">
        <f t="shared" ca="1" si="22"/>
        <v>0.51001992931349815</v>
      </c>
      <c r="D513">
        <f t="shared" ca="1" si="23"/>
        <v>45377</v>
      </c>
    </row>
    <row r="514" spans="1:4" x14ac:dyDescent="0.35">
      <c r="A514" s="1">
        <f t="shared" ca="1" si="21"/>
        <v>7.6385678863644224E-2</v>
      </c>
      <c r="C514" s="1">
        <f t="shared" ca="1" si="22"/>
        <v>0.41724851132927432</v>
      </c>
      <c r="D514">
        <f t="shared" ca="1" si="23"/>
        <v>45681</v>
      </c>
    </row>
    <row r="515" spans="1:4" x14ac:dyDescent="0.35">
      <c r="A515" s="1">
        <f t="shared" ref="A515:A578" ca="1" si="24">RAND()</f>
        <v>0.13677593369049601</v>
      </c>
      <c r="C515" s="1">
        <f t="shared" ref="C515:C578" ca="1" si="25">RAND()</f>
        <v>0.70192341980997086</v>
      </c>
      <c r="D515">
        <f t="shared" ref="D515:D578" ca="1" si="26">RANDBETWEEN(45292,45838)</f>
        <v>45570</v>
      </c>
    </row>
    <row r="516" spans="1:4" x14ac:dyDescent="0.35">
      <c r="A516" s="1">
        <f t="shared" ca="1" si="24"/>
        <v>0.98926874159346412</v>
      </c>
      <c r="C516" s="1">
        <f t="shared" ca="1" si="25"/>
        <v>0.35456808981345633</v>
      </c>
      <c r="D516">
        <f t="shared" ca="1" si="26"/>
        <v>45688</v>
      </c>
    </row>
    <row r="517" spans="1:4" x14ac:dyDescent="0.35">
      <c r="A517" s="1">
        <f t="shared" ca="1" si="24"/>
        <v>0.15314563106144985</v>
      </c>
      <c r="C517" s="1">
        <f t="shared" ca="1" si="25"/>
        <v>0.42132762019889436</v>
      </c>
      <c r="D517">
        <f t="shared" ca="1" si="26"/>
        <v>45619</v>
      </c>
    </row>
    <row r="518" spans="1:4" x14ac:dyDescent="0.35">
      <c r="A518" s="1">
        <f t="shared" ca="1" si="24"/>
        <v>0.55697325669045705</v>
      </c>
      <c r="C518" s="1">
        <f t="shared" ca="1" si="25"/>
        <v>0.71943955090490419</v>
      </c>
      <c r="D518">
        <f t="shared" ca="1" si="26"/>
        <v>45786</v>
      </c>
    </row>
    <row r="519" spans="1:4" x14ac:dyDescent="0.35">
      <c r="A519" s="1">
        <f t="shared" ca="1" si="24"/>
        <v>0.21806995239573601</v>
      </c>
      <c r="C519" s="1">
        <f t="shared" ca="1" si="25"/>
        <v>0.91479946021061376</v>
      </c>
      <c r="D519">
        <f t="shared" ca="1" si="26"/>
        <v>45442</v>
      </c>
    </row>
    <row r="520" spans="1:4" x14ac:dyDescent="0.35">
      <c r="A520" s="1">
        <f t="shared" ca="1" si="24"/>
        <v>0.47151587862736999</v>
      </c>
      <c r="C520" s="1">
        <f t="shared" ca="1" si="25"/>
        <v>0.8186030312262822</v>
      </c>
      <c r="D520">
        <f t="shared" ca="1" si="26"/>
        <v>45785</v>
      </c>
    </row>
    <row r="521" spans="1:4" x14ac:dyDescent="0.35">
      <c r="A521" s="1">
        <f t="shared" ca="1" si="24"/>
        <v>0.41784680261947904</v>
      </c>
      <c r="C521" s="1">
        <f t="shared" ca="1" si="25"/>
        <v>0.89417301201265842</v>
      </c>
      <c r="D521">
        <f t="shared" ca="1" si="26"/>
        <v>45724</v>
      </c>
    </row>
    <row r="522" spans="1:4" x14ac:dyDescent="0.35">
      <c r="A522" s="1">
        <f t="shared" ca="1" si="24"/>
        <v>0.37953497029481287</v>
      </c>
      <c r="C522" s="1">
        <f t="shared" ca="1" si="25"/>
        <v>0.14144648617475863</v>
      </c>
      <c r="D522">
        <f t="shared" ca="1" si="26"/>
        <v>45368</v>
      </c>
    </row>
    <row r="523" spans="1:4" x14ac:dyDescent="0.35">
      <c r="A523" s="1">
        <f t="shared" ca="1" si="24"/>
        <v>9.2437635234024595E-2</v>
      </c>
      <c r="C523" s="1">
        <f t="shared" ca="1" si="25"/>
        <v>0.32889606760586043</v>
      </c>
      <c r="D523">
        <f t="shared" ca="1" si="26"/>
        <v>45643</v>
      </c>
    </row>
    <row r="524" spans="1:4" x14ac:dyDescent="0.35">
      <c r="A524" s="1">
        <f t="shared" ca="1" si="24"/>
        <v>0.60098514327613484</v>
      </c>
      <c r="C524" s="1">
        <f t="shared" ca="1" si="25"/>
        <v>0.44677124547454905</v>
      </c>
      <c r="D524">
        <f t="shared" ca="1" si="26"/>
        <v>45394</v>
      </c>
    </row>
    <row r="525" spans="1:4" x14ac:dyDescent="0.35">
      <c r="A525" s="1">
        <f t="shared" ca="1" si="24"/>
        <v>0.63269542615949703</v>
      </c>
      <c r="C525" s="1">
        <f t="shared" ca="1" si="25"/>
        <v>0.59714531747235733</v>
      </c>
      <c r="D525">
        <f t="shared" ca="1" si="26"/>
        <v>45645</v>
      </c>
    </row>
    <row r="526" spans="1:4" x14ac:dyDescent="0.35">
      <c r="A526" s="1">
        <f t="shared" ca="1" si="24"/>
        <v>0.83525084725359877</v>
      </c>
      <c r="C526" s="1">
        <f t="shared" ca="1" si="25"/>
        <v>0.45460780084969188</v>
      </c>
      <c r="D526">
        <f t="shared" ca="1" si="26"/>
        <v>45769</v>
      </c>
    </row>
    <row r="527" spans="1:4" x14ac:dyDescent="0.35">
      <c r="A527" s="1">
        <f t="shared" ca="1" si="24"/>
        <v>0.81176703142196538</v>
      </c>
      <c r="C527" s="1">
        <f t="shared" ca="1" si="25"/>
        <v>0.40905586168573205</v>
      </c>
      <c r="D527">
        <f t="shared" ca="1" si="26"/>
        <v>45643</v>
      </c>
    </row>
    <row r="528" spans="1:4" x14ac:dyDescent="0.35">
      <c r="A528" s="1">
        <f t="shared" ca="1" si="24"/>
        <v>0.1461252151990573</v>
      </c>
      <c r="C528" s="1">
        <f t="shared" ca="1" si="25"/>
        <v>0.84568734077479757</v>
      </c>
      <c r="D528">
        <f t="shared" ca="1" si="26"/>
        <v>45645</v>
      </c>
    </row>
    <row r="529" spans="1:4" x14ac:dyDescent="0.35">
      <c r="A529" s="1">
        <f t="shared" ca="1" si="24"/>
        <v>0.76422654120261158</v>
      </c>
      <c r="C529" s="1">
        <f t="shared" ca="1" si="25"/>
        <v>0.4531881996172723</v>
      </c>
      <c r="D529">
        <f t="shared" ca="1" si="26"/>
        <v>45817</v>
      </c>
    </row>
    <row r="530" spans="1:4" x14ac:dyDescent="0.35">
      <c r="A530" s="1">
        <f t="shared" ca="1" si="24"/>
        <v>0.59808543248406743</v>
      </c>
      <c r="C530" s="1">
        <f t="shared" ca="1" si="25"/>
        <v>0.14378428914514452</v>
      </c>
      <c r="D530">
        <f t="shared" ca="1" si="26"/>
        <v>45760</v>
      </c>
    </row>
    <row r="531" spans="1:4" x14ac:dyDescent="0.35">
      <c r="A531" s="1">
        <f t="shared" ca="1" si="24"/>
        <v>0.32188974726951125</v>
      </c>
      <c r="C531" s="1">
        <f t="shared" ca="1" si="25"/>
        <v>0.97310085431124815</v>
      </c>
      <c r="D531">
        <f t="shared" ca="1" si="26"/>
        <v>45650</v>
      </c>
    </row>
    <row r="532" spans="1:4" x14ac:dyDescent="0.35">
      <c r="A532" s="1">
        <f t="shared" ca="1" si="24"/>
        <v>0.13761850102500905</v>
      </c>
      <c r="C532" s="1">
        <f t="shared" ca="1" si="25"/>
        <v>0.45875161747440607</v>
      </c>
      <c r="D532">
        <f t="shared" ca="1" si="26"/>
        <v>45505</v>
      </c>
    </row>
    <row r="533" spans="1:4" x14ac:dyDescent="0.35">
      <c r="A533" s="1">
        <f t="shared" ca="1" si="24"/>
        <v>0.23265965173122816</v>
      </c>
      <c r="C533" s="1">
        <f t="shared" ca="1" si="25"/>
        <v>0.18683415528521419</v>
      </c>
      <c r="D533">
        <f t="shared" ca="1" si="26"/>
        <v>45784</v>
      </c>
    </row>
    <row r="534" spans="1:4" x14ac:dyDescent="0.35">
      <c r="A534" s="1">
        <f t="shared" ca="1" si="24"/>
        <v>0.12780676548310399</v>
      </c>
      <c r="C534" s="1">
        <f t="shared" ca="1" si="25"/>
        <v>0.27293562278705796</v>
      </c>
      <c r="D534">
        <f t="shared" ca="1" si="26"/>
        <v>45323</v>
      </c>
    </row>
    <row r="535" spans="1:4" x14ac:dyDescent="0.35">
      <c r="A535" s="1">
        <f t="shared" ca="1" si="24"/>
        <v>1.8717435369943636E-2</v>
      </c>
      <c r="C535" s="1">
        <f t="shared" ca="1" si="25"/>
        <v>0.70995731849845534</v>
      </c>
      <c r="D535">
        <f t="shared" ca="1" si="26"/>
        <v>45832</v>
      </c>
    </row>
    <row r="536" spans="1:4" x14ac:dyDescent="0.35">
      <c r="A536" s="1">
        <f t="shared" ca="1" si="24"/>
        <v>0.16036094541082457</v>
      </c>
      <c r="C536" s="1">
        <f t="shared" ca="1" si="25"/>
        <v>0.40799569857049989</v>
      </c>
      <c r="D536">
        <f t="shared" ca="1" si="26"/>
        <v>45481</v>
      </c>
    </row>
    <row r="537" spans="1:4" x14ac:dyDescent="0.35">
      <c r="A537" s="1">
        <f t="shared" ca="1" si="24"/>
        <v>0.86608764839321528</v>
      </c>
      <c r="C537" s="1">
        <f t="shared" ca="1" si="25"/>
        <v>0.22626813688461023</v>
      </c>
      <c r="D537">
        <f t="shared" ca="1" si="26"/>
        <v>45409</v>
      </c>
    </row>
    <row r="538" spans="1:4" x14ac:dyDescent="0.35">
      <c r="A538" s="1">
        <f t="shared" ca="1" si="24"/>
        <v>0.59078884171606327</v>
      </c>
      <c r="C538" s="1">
        <f t="shared" ca="1" si="25"/>
        <v>0.48969257684819534</v>
      </c>
      <c r="D538">
        <f t="shared" ca="1" si="26"/>
        <v>45599</v>
      </c>
    </row>
    <row r="539" spans="1:4" x14ac:dyDescent="0.35">
      <c r="A539" s="1">
        <f t="shared" ca="1" si="24"/>
        <v>0.43781894757383011</v>
      </c>
      <c r="C539" s="1">
        <f t="shared" ca="1" si="25"/>
        <v>0.45758887542282145</v>
      </c>
      <c r="D539">
        <f t="shared" ca="1" si="26"/>
        <v>45333</v>
      </c>
    </row>
    <row r="540" spans="1:4" x14ac:dyDescent="0.35">
      <c r="A540" s="1">
        <f t="shared" ca="1" si="24"/>
        <v>0.91087354885379734</v>
      </c>
      <c r="C540" s="1">
        <f t="shared" ca="1" si="25"/>
        <v>0.91917788179744286</v>
      </c>
      <c r="D540">
        <f t="shared" ca="1" si="26"/>
        <v>45746</v>
      </c>
    </row>
    <row r="541" spans="1:4" x14ac:dyDescent="0.35">
      <c r="A541" s="1">
        <f t="shared" ca="1" si="24"/>
        <v>0.50744815371772145</v>
      </c>
      <c r="C541" s="1">
        <f t="shared" ca="1" si="25"/>
        <v>0.88654734220471498</v>
      </c>
      <c r="D541">
        <f t="shared" ca="1" si="26"/>
        <v>45837</v>
      </c>
    </row>
    <row r="542" spans="1:4" x14ac:dyDescent="0.35">
      <c r="A542" s="1">
        <f t="shared" ca="1" si="24"/>
        <v>0.45707302815579964</v>
      </c>
      <c r="C542" s="1">
        <f t="shared" ca="1" si="25"/>
        <v>0.4513172340759869</v>
      </c>
      <c r="D542">
        <f t="shared" ca="1" si="26"/>
        <v>45727</v>
      </c>
    </row>
    <row r="543" spans="1:4" x14ac:dyDescent="0.35">
      <c r="A543" s="1">
        <f t="shared" ca="1" si="24"/>
        <v>0.87803623007322096</v>
      </c>
      <c r="C543" s="1">
        <f t="shared" ca="1" si="25"/>
        <v>0.39751012747075509</v>
      </c>
      <c r="D543">
        <f t="shared" ca="1" si="26"/>
        <v>45631</v>
      </c>
    </row>
    <row r="544" spans="1:4" x14ac:dyDescent="0.35">
      <c r="A544" s="1">
        <f t="shared" ca="1" si="24"/>
        <v>0.9294940470932882</v>
      </c>
      <c r="C544" s="1">
        <f t="shared" ca="1" si="25"/>
        <v>0.30928140223587453</v>
      </c>
      <c r="D544">
        <f t="shared" ca="1" si="26"/>
        <v>45456</v>
      </c>
    </row>
    <row r="545" spans="1:4" x14ac:dyDescent="0.35">
      <c r="A545" s="1">
        <f t="shared" ca="1" si="24"/>
        <v>0.14881747577750659</v>
      </c>
      <c r="C545" s="1">
        <f t="shared" ca="1" si="25"/>
        <v>0.52226317826810886</v>
      </c>
      <c r="D545">
        <f t="shared" ca="1" si="26"/>
        <v>45566</v>
      </c>
    </row>
    <row r="546" spans="1:4" x14ac:dyDescent="0.35">
      <c r="A546" s="1">
        <f t="shared" ca="1" si="24"/>
        <v>0.67290381495953699</v>
      </c>
      <c r="C546" s="1">
        <f t="shared" ca="1" si="25"/>
        <v>0.16387564261446674</v>
      </c>
      <c r="D546">
        <f t="shared" ca="1" si="26"/>
        <v>45542</v>
      </c>
    </row>
    <row r="547" spans="1:4" x14ac:dyDescent="0.35">
      <c r="A547" s="1">
        <f t="shared" ca="1" si="24"/>
        <v>0.61453579898647359</v>
      </c>
      <c r="C547" s="1">
        <f t="shared" ca="1" si="25"/>
        <v>0.95678746791270608</v>
      </c>
      <c r="D547">
        <f t="shared" ca="1" si="26"/>
        <v>45437</v>
      </c>
    </row>
    <row r="548" spans="1:4" x14ac:dyDescent="0.35">
      <c r="A548" s="1">
        <f t="shared" ca="1" si="24"/>
        <v>9.2908680803826971E-2</v>
      </c>
      <c r="C548" s="1">
        <f t="shared" ca="1" si="25"/>
        <v>8.4165614165657043E-2</v>
      </c>
      <c r="D548">
        <f t="shared" ca="1" si="26"/>
        <v>45436</v>
      </c>
    </row>
    <row r="549" spans="1:4" x14ac:dyDescent="0.35">
      <c r="A549" s="1">
        <f t="shared" ca="1" si="24"/>
        <v>0.51684822191628843</v>
      </c>
      <c r="C549" s="1">
        <f t="shared" ca="1" si="25"/>
        <v>0.60598880616891082</v>
      </c>
      <c r="D549">
        <f t="shared" ca="1" si="26"/>
        <v>45391</v>
      </c>
    </row>
    <row r="550" spans="1:4" x14ac:dyDescent="0.35">
      <c r="A550" s="1">
        <f t="shared" ca="1" si="24"/>
        <v>0.95821549974136633</v>
      </c>
      <c r="C550" s="1">
        <f t="shared" ca="1" si="25"/>
        <v>0.63598911160780824</v>
      </c>
      <c r="D550">
        <f t="shared" ca="1" si="26"/>
        <v>45705</v>
      </c>
    </row>
    <row r="551" spans="1:4" x14ac:dyDescent="0.35">
      <c r="A551" s="1">
        <f t="shared" ca="1" si="24"/>
        <v>6.4068199301355655E-2</v>
      </c>
      <c r="C551" s="1">
        <f t="shared" ca="1" si="25"/>
        <v>0.79370441548629123</v>
      </c>
      <c r="D551">
        <f t="shared" ca="1" si="26"/>
        <v>45417</v>
      </c>
    </row>
    <row r="552" spans="1:4" x14ac:dyDescent="0.35">
      <c r="A552" s="1">
        <f t="shared" ca="1" si="24"/>
        <v>0.21924936297989661</v>
      </c>
      <c r="C552" s="1">
        <f t="shared" ca="1" si="25"/>
        <v>0.11506925643358645</v>
      </c>
      <c r="D552">
        <f t="shared" ca="1" si="26"/>
        <v>45305</v>
      </c>
    </row>
    <row r="553" spans="1:4" x14ac:dyDescent="0.35">
      <c r="A553" s="1">
        <f t="shared" ca="1" si="24"/>
        <v>0.63039799061010671</v>
      </c>
      <c r="C553" s="1">
        <f t="shared" ca="1" si="25"/>
        <v>0.54432526157804806</v>
      </c>
      <c r="D553">
        <f t="shared" ca="1" si="26"/>
        <v>45706</v>
      </c>
    </row>
    <row r="554" spans="1:4" x14ac:dyDescent="0.35">
      <c r="A554" s="1">
        <f t="shared" ca="1" si="24"/>
        <v>0.96114611563192842</v>
      </c>
      <c r="C554" s="1">
        <f t="shared" ca="1" si="25"/>
        <v>0.15816477716217603</v>
      </c>
      <c r="D554">
        <f t="shared" ca="1" si="26"/>
        <v>45776</v>
      </c>
    </row>
    <row r="555" spans="1:4" x14ac:dyDescent="0.35">
      <c r="A555" s="1">
        <f t="shared" ca="1" si="24"/>
        <v>0.27492908175194619</v>
      </c>
      <c r="C555" s="1">
        <f t="shared" ca="1" si="25"/>
        <v>0.95389276338876094</v>
      </c>
      <c r="D555">
        <f t="shared" ca="1" si="26"/>
        <v>45760</v>
      </c>
    </row>
    <row r="556" spans="1:4" x14ac:dyDescent="0.35">
      <c r="A556" s="1">
        <f t="shared" ca="1" si="24"/>
        <v>4.8523199011232254E-3</v>
      </c>
      <c r="C556" s="1">
        <f t="shared" ca="1" si="25"/>
        <v>0.62428616928850245</v>
      </c>
      <c r="D556">
        <f t="shared" ca="1" si="26"/>
        <v>45559</v>
      </c>
    </row>
    <row r="557" spans="1:4" x14ac:dyDescent="0.35">
      <c r="A557" s="1">
        <f t="shared" ca="1" si="24"/>
        <v>0.7591257096711902</v>
      </c>
      <c r="C557" s="1">
        <f t="shared" ca="1" si="25"/>
        <v>0.28093359739651924</v>
      </c>
      <c r="D557">
        <f t="shared" ca="1" si="26"/>
        <v>45796</v>
      </c>
    </row>
    <row r="558" spans="1:4" x14ac:dyDescent="0.35">
      <c r="A558" s="1">
        <f t="shared" ca="1" si="24"/>
        <v>0.42414198823972626</v>
      </c>
      <c r="C558" s="1">
        <f t="shared" ca="1" si="25"/>
        <v>0.94411282693696763</v>
      </c>
      <c r="D558">
        <f t="shared" ca="1" si="26"/>
        <v>45420</v>
      </c>
    </row>
    <row r="559" spans="1:4" x14ac:dyDescent="0.35">
      <c r="A559" s="1">
        <f t="shared" ca="1" si="24"/>
        <v>0.99026954412376944</v>
      </c>
      <c r="C559" s="1">
        <f t="shared" ca="1" si="25"/>
        <v>0.32695752148560786</v>
      </c>
      <c r="D559">
        <f t="shared" ca="1" si="26"/>
        <v>45485</v>
      </c>
    </row>
    <row r="560" spans="1:4" x14ac:dyDescent="0.35">
      <c r="A560" s="1">
        <f t="shared" ca="1" si="24"/>
        <v>0.50878276888516361</v>
      </c>
      <c r="C560" s="1">
        <f t="shared" ca="1" si="25"/>
        <v>0.81337736939074545</v>
      </c>
      <c r="D560">
        <f t="shared" ca="1" si="26"/>
        <v>45763</v>
      </c>
    </row>
    <row r="561" spans="1:4" x14ac:dyDescent="0.35">
      <c r="A561" s="1">
        <f t="shared" ca="1" si="24"/>
        <v>0.92794601631773443</v>
      </c>
      <c r="C561" s="1">
        <f t="shared" ca="1" si="25"/>
        <v>0.54605559490429201</v>
      </c>
      <c r="D561">
        <f t="shared" ca="1" si="26"/>
        <v>45626</v>
      </c>
    </row>
    <row r="562" spans="1:4" x14ac:dyDescent="0.35">
      <c r="A562" s="1">
        <f t="shared" ca="1" si="24"/>
        <v>0.35856118121428848</v>
      </c>
      <c r="C562" s="1">
        <f t="shared" ca="1" si="25"/>
        <v>0.47022792931715918</v>
      </c>
      <c r="D562">
        <f t="shared" ca="1" si="26"/>
        <v>45721</v>
      </c>
    </row>
    <row r="563" spans="1:4" x14ac:dyDescent="0.35">
      <c r="A563" s="1">
        <f t="shared" ca="1" si="24"/>
        <v>0.47682729836661775</v>
      </c>
      <c r="C563" s="1">
        <f t="shared" ca="1" si="25"/>
        <v>4.9376015971114628E-2</v>
      </c>
      <c r="D563">
        <f t="shared" ca="1" si="26"/>
        <v>45772</v>
      </c>
    </row>
    <row r="564" spans="1:4" x14ac:dyDescent="0.35">
      <c r="A564" s="1">
        <f t="shared" ca="1" si="24"/>
        <v>0.2767550171584664</v>
      </c>
      <c r="C564" s="1">
        <f t="shared" ca="1" si="25"/>
        <v>0.35386537061081469</v>
      </c>
      <c r="D564">
        <f t="shared" ca="1" si="26"/>
        <v>45738</v>
      </c>
    </row>
    <row r="565" spans="1:4" x14ac:dyDescent="0.35">
      <c r="A565" s="1">
        <f t="shared" ca="1" si="24"/>
        <v>0.16944942961708864</v>
      </c>
      <c r="C565" s="1">
        <f t="shared" ca="1" si="25"/>
        <v>0.1313552305648632</v>
      </c>
      <c r="D565">
        <f t="shared" ca="1" si="26"/>
        <v>45312</v>
      </c>
    </row>
    <row r="566" spans="1:4" x14ac:dyDescent="0.35">
      <c r="A566" s="1">
        <f t="shared" ca="1" si="24"/>
        <v>1.7464742098013408E-3</v>
      </c>
      <c r="C566" s="1">
        <f t="shared" ca="1" si="25"/>
        <v>0.6234326770401758</v>
      </c>
      <c r="D566">
        <f t="shared" ca="1" si="26"/>
        <v>45628</v>
      </c>
    </row>
    <row r="567" spans="1:4" x14ac:dyDescent="0.35">
      <c r="A567" s="1">
        <f t="shared" ca="1" si="24"/>
        <v>0.14663954294799941</v>
      </c>
      <c r="C567" s="1">
        <f t="shared" ca="1" si="25"/>
        <v>0.11851274523539856</v>
      </c>
      <c r="D567">
        <f t="shared" ca="1" si="26"/>
        <v>45573</v>
      </c>
    </row>
    <row r="568" spans="1:4" x14ac:dyDescent="0.35">
      <c r="A568" s="1">
        <f t="shared" ca="1" si="24"/>
        <v>0.75803955785061627</v>
      </c>
      <c r="C568" s="1">
        <f t="shared" ca="1" si="25"/>
        <v>0.1973148344003377</v>
      </c>
      <c r="D568">
        <f t="shared" ca="1" si="26"/>
        <v>45310</v>
      </c>
    </row>
    <row r="569" spans="1:4" x14ac:dyDescent="0.35">
      <c r="A569" s="1">
        <f t="shared" ca="1" si="24"/>
        <v>0.6666265325539138</v>
      </c>
      <c r="C569" s="1">
        <f t="shared" ca="1" si="25"/>
        <v>0.19797436022228265</v>
      </c>
      <c r="D569">
        <f t="shared" ca="1" si="26"/>
        <v>45431</v>
      </c>
    </row>
    <row r="570" spans="1:4" x14ac:dyDescent="0.35">
      <c r="A570" s="1">
        <f t="shared" ca="1" si="24"/>
        <v>0.34958238145804665</v>
      </c>
      <c r="C570" s="1">
        <f t="shared" ca="1" si="25"/>
        <v>0.99634440658396106</v>
      </c>
      <c r="D570">
        <f t="shared" ca="1" si="26"/>
        <v>45824</v>
      </c>
    </row>
    <row r="571" spans="1:4" x14ac:dyDescent="0.35">
      <c r="A571" s="1">
        <f t="shared" ca="1" si="24"/>
        <v>0.74395194770124684</v>
      </c>
      <c r="C571" s="1">
        <f t="shared" ca="1" si="25"/>
        <v>0.57633666753280821</v>
      </c>
      <c r="D571">
        <f t="shared" ca="1" si="26"/>
        <v>45314</v>
      </c>
    </row>
    <row r="572" spans="1:4" x14ac:dyDescent="0.35">
      <c r="A572" s="1">
        <f t="shared" ca="1" si="24"/>
        <v>0.14189035973081798</v>
      </c>
      <c r="C572" s="1">
        <f t="shared" ca="1" si="25"/>
        <v>0.60803494739027364</v>
      </c>
      <c r="D572">
        <f t="shared" ca="1" si="26"/>
        <v>45837</v>
      </c>
    </row>
    <row r="573" spans="1:4" x14ac:dyDescent="0.35">
      <c r="A573" s="1">
        <f t="shared" ca="1" si="24"/>
        <v>0.76247468992340817</v>
      </c>
      <c r="C573" s="1">
        <f t="shared" ca="1" si="25"/>
        <v>0.43587861480743173</v>
      </c>
      <c r="D573">
        <f t="shared" ca="1" si="26"/>
        <v>45658</v>
      </c>
    </row>
    <row r="574" spans="1:4" x14ac:dyDescent="0.35">
      <c r="A574" s="1">
        <f t="shared" ca="1" si="24"/>
        <v>0.56004049329151495</v>
      </c>
      <c r="C574" s="1">
        <f t="shared" ca="1" si="25"/>
        <v>0.36860519759549282</v>
      </c>
      <c r="D574">
        <f t="shared" ca="1" si="26"/>
        <v>45365</v>
      </c>
    </row>
    <row r="575" spans="1:4" x14ac:dyDescent="0.35">
      <c r="A575" s="1">
        <f t="shared" ca="1" si="24"/>
        <v>4.9591096828069059E-2</v>
      </c>
      <c r="C575" s="1">
        <f t="shared" ca="1" si="25"/>
        <v>0.11810899182301493</v>
      </c>
      <c r="D575">
        <f t="shared" ca="1" si="26"/>
        <v>45469</v>
      </c>
    </row>
    <row r="576" spans="1:4" x14ac:dyDescent="0.35">
      <c r="A576" s="1">
        <f t="shared" ca="1" si="24"/>
        <v>0.39737568453760763</v>
      </c>
      <c r="C576" s="1">
        <f t="shared" ca="1" si="25"/>
        <v>5.6055140993961472E-2</v>
      </c>
      <c r="D576">
        <f t="shared" ca="1" si="26"/>
        <v>45356</v>
      </c>
    </row>
    <row r="577" spans="1:4" x14ac:dyDescent="0.35">
      <c r="A577" s="1">
        <f t="shared" ca="1" si="24"/>
        <v>0.15559842737939011</v>
      </c>
      <c r="C577" s="1">
        <f t="shared" ca="1" si="25"/>
        <v>0.40119984889744986</v>
      </c>
      <c r="D577">
        <f t="shared" ca="1" si="26"/>
        <v>45441</v>
      </c>
    </row>
    <row r="578" spans="1:4" x14ac:dyDescent="0.35">
      <c r="A578" s="1">
        <f t="shared" ca="1" si="24"/>
        <v>0.78579756115794297</v>
      </c>
      <c r="C578" s="1">
        <f t="shared" ca="1" si="25"/>
        <v>0.51341219595092402</v>
      </c>
      <c r="D578">
        <f t="shared" ca="1" si="26"/>
        <v>45760</v>
      </c>
    </row>
    <row r="579" spans="1:4" x14ac:dyDescent="0.35">
      <c r="A579" s="1">
        <f t="shared" ref="A579:A642" ca="1" si="27">RAND()</f>
        <v>0.99692831177751773</v>
      </c>
      <c r="C579" s="1">
        <f t="shared" ref="C579:C642" ca="1" si="28">RAND()</f>
        <v>0.18034410899403452</v>
      </c>
      <c r="D579">
        <f t="shared" ref="D579:D642" ca="1" si="29">RANDBETWEEN(45292,45838)</f>
        <v>45359</v>
      </c>
    </row>
    <row r="580" spans="1:4" x14ac:dyDescent="0.35">
      <c r="A580" s="1">
        <f t="shared" ca="1" si="27"/>
        <v>0.73178452057526866</v>
      </c>
      <c r="C580" s="1">
        <f t="shared" ca="1" si="28"/>
        <v>0.54391648877000942</v>
      </c>
      <c r="D580">
        <f t="shared" ca="1" si="29"/>
        <v>45446</v>
      </c>
    </row>
    <row r="581" spans="1:4" x14ac:dyDescent="0.35">
      <c r="A581" s="1">
        <f t="shared" ca="1" si="27"/>
        <v>0.82698564567550581</v>
      </c>
      <c r="C581" s="1">
        <f t="shared" ca="1" si="28"/>
        <v>0.85152727934503225</v>
      </c>
      <c r="D581">
        <f t="shared" ca="1" si="29"/>
        <v>45805</v>
      </c>
    </row>
    <row r="582" spans="1:4" x14ac:dyDescent="0.35">
      <c r="A582" s="1">
        <f t="shared" ca="1" si="27"/>
        <v>0.48917620922714444</v>
      </c>
      <c r="C582" s="1">
        <f t="shared" ca="1" si="28"/>
        <v>0.77940150699245536</v>
      </c>
      <c r="D582">
        <f t="shared" ca="1" si="29"/>
        <v>45371</v>
      </c>
    </row>
    <row r="583" spans="1:4" x14ac:dyDescent="0.35">
      <c r="A583" s="1">
        <f t="shared" ca="1" si="27"/>
        <v>0.88842086545858934</v>
      </c>
      <c r="C583" s="1">
        <f t="shared" ca="1" si="28"/>
        <v>0.13962593723307104</v>
      </c>
      <c r="D583">
        <f t="shared" ca="1" si="29"/>
        <v>45351</v>
      </c>
    </row>
    <row r="584" spans="1:4" x14ac:dyDescent="0.35">
      <c r="A584" s="1">
        <f t="shared" ca="1" si="27"/>
        <v>0.4161393594588777</v>
      </c>
      <c r="C584" s="1">
        <f t="shared" ca="1" si="28"/>
        <v>0.97984913463769396</v>
      </c>
      <c r="D584">
        <f t="shared" ca="1" si="29"/>
        <v>45693</v>
      </c>
    </row>
    <row r="585" spans="1:4" x14ac:dyDescent="0.35">
      <c r="A585" s="1">
        <f t="shared" ca="1" si="27"/>
        <v>0.85112659466229812</v>
      </c>
      <c r="C585" s="1">
        <f t="shared" ca="1" si="28"/>
        <v>0.6093057312255199</v>
      </c>
      <c r="D585">
        <f t="shared" ca="1" si="29"/>
        <v>45657</v>
      </c>
    </row>
    <row r="586" spans="1:4" x14ac:dyDescent="0.35">
      <c r="A586" s="1">
        <f t="shared" ca="1" si="27"/>
        <v>0.72026630489635468</v>
      </c>
      <c r="C586" s="1">
        <f t="shared" ca="1" si="28"/>
        <v>0.37263187763625849</v>
      </c>
      <c r="D586">
        <f t="shared" ca="1" si="29"/>
        <v>45616</v>
      </c>
    </row>
    <row r="587" spans="1:4" x14ac:dyDescent="0.35">
      <c r="A587" s="1">
        <f t="shared" ca="1" si="27"/>
        <v>0.88522392844291176</v>
      </c>
      <c r="C587" s="1">
        <f t="shared" ca="1" si="28"/>
        <v>0.49748229045200054</v>
      </c>
      <c r="D587">
        <f t="shared" ca="1" si="29"/>
        <v>45482</v>
      </c>
    </row>
    <row r="588" spans="1:4" x14ac:dyDescent="0.35">
      <c r="A588" s="1">
        <f t="shared" ca="1" si="27"/>
        <v>0.24873566654665324</v>
      </c>
      <c r="C588" s="1">
        <f t="shared" ca="1" si="28"/>
        <v>0.5229883334425024</v>
      </c>
      <c r="D588">
        <f t="shared" ca="1" si="29"/>
        <v>45798</v>
      </c>
    </row>
    <row r="589" spans="1:4" x14ac:dyDescent="0.35">
      <c r="A589" s="1">
        <f t="shared" ca="1" si="27"/>
        <v>0.43029880662332876</v>
      </c>
      <c r="C589" s="1">
        <f t="shared" ca="1" si="28"/>
        <v>0.10081469701982571</v>
      </c>
      <c r="D589">
        <f t="shared" ca="1" si="29"/>
        <v>45554</v>
      </c>
    </row>
    <row r="590" spans="1:4" x14ac:dyDescent="0.35">
      <c r="A590" s="1">
        <f t="shared" ca="1" si="27"/>
        <v>0.78195553883148061</v>
      </c>
      <c r="C590" s="1">
        <f t="shared" ca="1" si="28"/>
        <v>0.33158391608938065</v>
      </c>
      <c r="D590">
        <f t="shared" ca="1" si="29"/>
        <v>45792</v>
      </c>
    </row>
    <row r="591" spans="1:4" x14ac:dyDescent="0.35">
      <c r="A591" s="1">
        <f t="shared" ca="1" si="27"/>
        <v>0.28153481171884365</v>
      </c>
      <c r="C591" s="1">
        <f t="shared" ca="1" si="28"/>
        <v>0.39689964259991062</v>
      </c>
      <c r="D591">
        <f t="shared" ca="1" si="29"/>
        <v>45823</v>
      </c>
    </row>
    <row r="592" spans="1:4" x14ac:dyDescent="0.35">
      <c r="A592" s="1">
        <f t="shared" ca="1" si="27"/>
        <v>0.76632845240512792</v>
      </c>
      <c r="C592" s="1">
        <f t="shared" ca="1" si="28"/>
        <v>3.4666470668757277E-2</v>
      </c>
      <c r="D592">
        <f t="shared" ca="1" si="29"/>
        <v>45320</v>
      </c>
    </row>
    <row r="593" spans="1:4" x14ac:dyDescent="0.35">
      <c r="A593" s="1">
        <f t="shared" ca="1" si="27"/>
        <v>0.74623844379128268</v>
      </c>
      <c r="C593" s="1">
        <f t="shared" ca="1" si="28"/>
        <v>0.17556652417798813</v>
      </c>
      <c r="D593">
        <f t="shared" ca="1" si="29"/>
        <v>45811</v>
      </c>
    </row>
    <row r="594" spans="1:4" x14ac:dyDescent="0.35">
      <c r="A594" s="1">
        <f t="shared" ca="1" si="27"/>
        <v>0.46569436852599688</v>
      </c>
      <c r="C594" s="1">
        <f t="shared" ca="1" si="28"/>
        <v>0.60225032272581358</v>
      </c>
      <c r="D594">
        <f t="shared" ca="1" si="29"/>
        <v>45418</v>
      </c>
    </row>
    <row r="595" spans="1:4" x14ac:dyDescent="0.35">
      <c r="A595" s="1">
        <f t="shared" ca="1" si="27"/>
        <v>0.77241156444754677</v>
      </c>
      <c r="C595" s="1">
        <f t="shared" ca="1" si="28"/>
        <v>5.0833906324339262E-2</v>
      </c>
      <c r="D595">
        <f t="shared" ca="1" si="29"/>
        <v>45384</v>
      </c>
    </row>
    <row r="596" spans="1:4" x14ac:dyDescent="0.35">
      <c r="A596" s="1">
        <f t="shared" ca="1" si="27"/>
        <v>0.9099081982229611</v>
      </c>
      <c r="C596" s="1">
        <f t="shared" ca="1" si="28"/>
        <v>0.55383644423714418</v>
      </c>
      <c r="D596">
        <f t="shared" ca="1" si="29"/>
        <v>45676</v>
      </c>
    </row>
    <row r="597" spans="1:4" x14ac:dyDescent="0.35">
      <c r="A597" s="1">
        <f t="shared" ca="1" si="27"/>
        <v>0.44560824819203793</v>
      </c>
      <c r="C597" s="1">
        <f t="shared" ca="1" si="28"/>
        <v>0.87602820778507529</v>
      </c>
      <c r="D597">
        <f t="shared" ca="1" si="29"/>
        <v>45553</v>
      </c>
    </row>
    <row r="598" spans="1:4" x14ac:dyDescent="0.35">
      <c r="A598" s="1">
        <f t="shared" ca="1" si="27"/>
        <v>0.4329466650258712</v>
      </c>
      <c r="C598" s="1">
        <f t="shared" ca="1" si="28"/>
        <v>0.59145574381079613</v>
      </c>
      <c r="D598">
        <f t="shared" ca="1" si="29"/>
        <v>45817</v>
      </c>
    </row>
    <row r="599" spans="1:4" x14ac:dyDescent="0.35">
      <c r="A599" s="1">
        <f t="shared" ca="1" si="27"/>
        <v>0.38981108649505858</v>
      </c>
      <c r="C599" s="1">
        <f t="shared" ca="1" si="28"/>
        <v>0.94124770924558443</v>
      </c>
      <c r="D599">
        <f t="shared" ca="1" si="29"/>
        <v>45633</v>
      </c>
    </row>
    <row r="600" spans="1:4" x14ac:dyDescent="0.35">
      <c r="A600" s="1">
        <f t="shared" ca="1" si="27"/>
        <v>1.8698861786823007E-2</v>
      </c>
      <c r="C600" s="1">
        <f t="shared" ca="1" si="28"/>
        <v>0.26080339300437716</v>
      </c>
      <c r="D600">
        <f t="shared" ca="1" si="29"/>
        <v>45382</v>
      </c>
    </row>
    <row r="601" spans="1:4" x14ac:dyDescent="0.35">
      <c r="A601" s="1">
        <f t="shared" ca="1" si="27"/>
        <v>0.74216834171806401</v>
      </c>
      <c r="C601" s="1">
        <f t="shared" ca="1" si="28"/>
        <v>5.6756498935539468E-2</v>
      </c>
      <c r="D601">
        <f t="shared" ca="1" si="29"/>
        <v>45348</v>
      </c>
    </row>
    <row r="602" spans="1:4" x14ac:dyDescent="0.35">
      <c r="A602" s="1">
        <f t="shared" ca="1" si="27"/>
        <v>0.7835204780841768</v>
      </c>
      <c r="C602" s="1">
        <f t="shared" ca="1" si="28"/>
        <v>0.668026089424265</v>
      </c>
      <c r="D602">
        <f t="shared" ca="1" si="29"/>
        <v>45583</v>
      </c>
    </row>
    <row r="603" spans="1:4" x14ac:dyDescent="0.35">
      <c r="A603" s="1">
        <f t="shared" ca="1" si="27"/>
        <v>9.2500584835847333E-3</v>
      </c>
      <c r="C603" s="1">
        <f t="shared" ca="1" si="28"/>
        <v>0.57933175136318527</v>
      </c>
      <c r="D603">
        <f t="shared" ca="1" si="29"/>
        <v>45336</v>
      </c>
    </row>
    <row r="604" spans="1:4" x14ac:dyDescent="0.35">
      <c r="A604" s="1">
        <f t="shared" ca="1" si="27"/>
        <v>0.58922802861240942</v>
      </c>
      <c r="C604" s="1">
        <f t="shared" ca="1" si="28"/>
        <v>0.33302105999910125</v>
      </c>
      <c r="D604">
        <f t="shared" ca="1" si="29"/>
        <v>45805</v>
      </c>
    </row>
    <row r="605" spans="1:4" x14ac:dyDescent="0.35">
      <c r="A605" s="1">
        <f t="shared" ca="1" si="27"/>
        <v>0.81657779178635848</v>
      </c>
      <c r="C605" s="1">
        <f t="shared" ca="1" si="28"/>
        <v>0.37569485511479772</v>
      </c>
      <c r="D605">
        <f t="shared" ca="1" si="29"/>
        <v>45518</v>
      </c>
    </row>
    <row r="606" spans="1:4" x14ac:dyDescent="0.35">
      <c r="A606" s="1">
        <f t="shared" ca="1" si="27"/>
        <v>0.1109378974176275</v>
      </c>
      <c r="C606" s="1">
        <f t="shared" ca="1" si="28"/>
        <v>0.82744228634374362</v>
      </c>
      <c r="D606">
        <f t="shared" ca="1" si="29"/>
        <v>45373</v>
      </c>
    </row>
    <row r="607" spans="1:4" x14ac:dyDescent="0.35">
      <c r="A607" s="1">
        <f t="shared" ca="1" si="27"/>
        <v>0.81038682690357533</v>
      </c>
      <c r="C607" s="1">
        <f t="shared" ca="1" si="28"/>
        <v>0.44173078837087176</v>
      </c>
      <c r="D607">
        <f t="shared" ca="1" si="29"/>
        <v>45593</v>
      </c>
    </row>
    <row r="608" spans="1:4" x14ac:dyDescent="0.35">
      <c r="A608" s="1">
        <f t="shared" ca="1" si="27"/>
        <v>0.1935604355649535</v>
      </c>
      <c r="C608" s="1">
        <f t="shared" ca="1" si="28"/>
        <v>0.26164464281814426</v>
      </c>
      <c r="D608">
        <f t="shared" ca="1" si="29"/>
        <v>45769</v>
      </c>
    </row>
    <row r="609" spans="1:4" x14ac:dyDescent="0.35">
      <c r="A609" s="1">
        <f t="shared" ca="1" si="27"/>
        <v>0.18796598453552005</v>
      </c>
      <c r="C609" s="1">
        <f t="shared" ca="1" si="28"/>
        <v>0.4401473050314606</v>
      </c>
      <c r="D609">
        <f t="shared" ca="1" si="29"/>
        <v>45391</v>
      </c>
    </row>
    <row r="610" spans="1:4" x14ac:dyDescent="0.35">
      <c r="A610" s="1">
        <f t="shared" ca="1" si="27"/>
        <v>0.91180557561754361</v>
      </c>
      <c r="C610" s="1">
        <f t="shared" ca="1" si="28"/>
        <v>0.66687083060826158</v>
      </c>
      <c r="D610">
        <f t="shared" ca="1" si="29"/>
        <v>45652</v>
      </c>
    </row>
    <row r="611" spans="1:4" x14ac:dyDescent="0.35">
      <c r="A611" s="1">
        <f t="shared" ca="1" si="27"/>
        <v>0.13842523437496357</v>
      </c>
      <c r="C611" s="1">
        <f t="shared" ca="1" si="28"/>
        <v>0.99049317180865737</v>
      </c>
      <c r="D611">
        <f t="shared" ca="1" si="29"/>
        <v>45799</v>
      </c>
    </row>
    <row r="612" spans="1:4" x14ac:dyDescent="0.35">
      <c r="A612" s="1">
        <f t="shared" ca="1" si="27"/>
        <v>0.76722847573845021</v>
      </c>
      <c r="C612" s="1">
        <f t="shared" ca="1" si="28"/>
        <v>0.48911531453557233</v>
      </c>
      <c r="D612">
        <f t="shared" ca="1" si="29"/>
        <v>45562</v>
      </c>
    </row>
    <row r="613" spans="1:4" x14ac:dyDescent="0.35">
      <c r="A613" s="1">
        <f t="shared" ca="1" si="27"/>
        <v>7.7317443755493764E-2</v>
      </c>
      <c r="C613" s="1">
        <f t="shared" ca="1" si="28"/>
        <v>0.15803407223172417</v>
      </c>
      <c r="D613">
        <f t="shared" ca="1" si="29"/>
        <v>45631</v>
      </c>
    </row>
    <row r="614" spans="1:4" x14ac:dyDescent="0.35">
      <c r="A614" s="1">
        <f t="shared" ca="1" si="27"/>
        <v>0.55394584208331976</v>
      </c>
      <c r="C614" s="1">
        <f t="shared" ca="1" si="28"/>
        <v>0.87595061117115314</v>
      </c>
      <c r="D614">
        <f t="shared" ca="1" si="29"/>
        <v>45641</v>
      </c>
    </row>
    <row r="615" spans="1:4" x14ac:dyDescent="0.35">
      <c r="A615" s="1">
        <f t="shared" ca="1" si="27"/>
        <v>0.16944203214785969</v>
      </c>
      <c r="C615" s="1">
        <f t="shared" ca="1" si="28"/>
        <v>0.76288601483361018</v>
      </c>
      <c r="D615">
        <f t="shared" ca="1" si="29"/>
        <v>45455</v>
      </c>
    </row>
    <row r="616" spans="1:4" x14ac:dyDescent="0.35">
      <c r="A616" s="1">
        <f t="shared" ca="1" si="27"/>
        <v>0.16926810306294171</v>
      </c>
      <c r="C616" s="1">
        <f t="shared" ca="1" si="28"/>
        <v>3.8855678592422005E-2</v>
      </c>
      <c r="D616">
        <f t="shared" ca="1" si="29"/>
        <v>45643</v>
      </c>
    </row>
    <row r="617" spans="1:4" x14ac:dyDescent="0.35">
      <c r="A617" s="1">
        <f t="shared" ca="1" si="27"/>
        <v>0.26634919732817497</v>
      </c>
      <c r="C617" s="1">
        <f t="shared" ca="1" si="28"/>
        <v>0.7952528801331088</v>
      </c>
      <c r="D617">
        <f t="shared" ca="1" si="29"/>
        <v>45317</v>
      </c>
    </row>
    <row r="618" spans="1:4" x14ac:dyDescent="0.35">
      <c r="A618" s="1">
        <f t="shared" ca="1" si="27"/>
        <v>0.93665079438617105</v>
      </c>
      <c r="C618" s="1">
        <f t="shared" ca="1" si="28"/>
        <v>0.97976705506242956</v>
      </c>
      <c r="D618">
        <f t="shared" ca="1" si="29"/>
        <v>45548</v>
      </c>
    </row>
    <row r="619" spans="1:4" x14ac:dyDescent="0.35">
      <c r="A619" s="1">
        <f t="shared" ca="1" si="27"/>
        <v>9.9978931021368345E-2</v>
      </c>
      <c r="C619" s="1">
        <f t="shared" ca="1" si="28"/>
        <v>0.67068155041349764</v>
      </c>
      <c r="D619">
        <f t="shared" ca="1" si="29"/>
        <v>45343</v>
      </c>
    </row>
    <row r="620" spans="1:4" x14ac:dyDescent="0.35">
      <c r="A620" s="1">
        <f t="shared" ca="1" si="27"/>
        <v>0.62273644453374211</v>
      </c>
      <c r="C620" s="1">
        <f t="shared" ca="1" si="28"/>
        <v>0.283205305967271</v>
      </c>
      <c r="D620">
        <f t="shared" ca="1" si="29"/>
        <v>45386</v>
      </c>
    </row>
    <row r="621" spans="1:4" x14ac:dyDescent="0.35">
      <c r="A621" s="1">
        <f t="shared" ca="1" si="27"/>
        <v>0.35041564290446503</v>
      </c>
      <c r="C621" s="1">
        <f t="shared" ca="1" si="28"/>
        <v>0.76657267433782017</v>
      </c>
      <c r="D621">
        <f t="shared" ca="1" si="29"/>
        <v>45314</v>
      </c>
    </row>
    <row r="622" spans="1:4" x14ac:dyDescent="0.35">
      <c r="A622" s="1">
        <f t="shared" ca="1" si="27"/>
        <v>0.39263705006140504</v>
      </c>
      <c r="C622" s="1">
        <f t="shared" ca="1" si="28"/>
        <v>0.8908826260434195</v>
      </c>
      <c r="D622">
        <f t="shared" ca="1" si="29"/>
        <v>45446</v>
      </c>
    </row>
    <row r="623" spans="1:4" x14ac:dyDescent="0.35">
      <c r="A623" s="1">
        <f t="shared" ca="1" si="27"/>
        <v>0.64821741834561208</v>
      </c>
      <c r="C623" s="1">
        <f t="shared" ca="1" si="28"/>
        <v>0.46297927678723405</v>
      </c>
      <c r="D623">
        <f t="shared" ca="1" si="29"/>
        <v>45496</v>
      </c>
    </row>
    <row r="624" spans="1:4" x14ac:dyDescent="0.35">
      <c r="A624" s="1">
        <f t="shared" ca="1" si="27"/>
        <v>0.80998474782416863</v>
      </c>
      <c r="C624" s="1">
        <f t="shared" ca="1" si="28"/>
        <v>2.9911376064514217E-3</v>
      </c>
      <c r="D624">
        <f t="shared" ca="1" si="29"/>
        <v>45771</v>
      </c>
    </row>
    <row r="625" spans="1:4" x14ac:dyDescent="0.35">
      <c r="A625" s="1">
        <f t="shared" ca="1" si="27"/>
        <v>0.90869023848692543</v>
      </c>
      <c r="C625" s="1">
        <f t="shared" ca="1" si="28"/>
        <v>0.99141091438905105</v>
      </c>
      <c r="D625">
        <f t="shared" ca="1" si="29"/>
        <v>45426</v>
      </c>
    </row>
    <row r="626" spans="1:4" x14ac:dyDescent="0.35">
      <c r="A626" s="1">
        <f t="shared" ca="1" si="27"/>
        <v>0.32145564162356066</v>
      </c>
      <c r="C626" s="1">
        <f t="shared" ca="1" si="28"/>
        <v>0.29491672540936187</v>
      </c>
      <c r="D626">
        <f t="shared" ca="1" si="29"/>
        <v>45400</v>
      </c>
    </row>
    <row r="627" spans="1:4" x14ac:dyDescent="0.35">
      <c r="A627" s="1">
        <f t="shared" ca="1" si="27"/>
        <v>0.18561278794084968</v>
      </c>
      <c r="C627" s="1">
        <f t="shared" ca="1" si="28"/>
        <v>0.13631491880157021</v>
      </c>
      <c r="D627">
        <f t="shared" ca="1" si="29"/>
        <v>45652</v>
      </c>
    </row>
    <row r="628" spans="1:4" x14ac:dyDescent="0.35">
      <c r="A628" s="1">
        <f t="shared" ca="1" si="27"/>
        <v>0.34649847521332755</v>
      </c>
      <c r="C628" s="1">
        <f t="shared" ca="1" si="28"/>
        <v>0.31863602015262815</v>
      </c>
      <c r="D628">
        <f t="shared" ca="1" si="29"/>
        <v>45668</v>
      </c>
    </row>
    <row r="629" spans="1:4" x14ac:dyDescent="0.35">
      <c r="A629" s="1">
        <f t="shared" ca="1" si="27"/>
        <v>7.097835937950514E-2</v>
      </c>
      <c r="C629" s="1">
        <f t="shared" ca="1" si="28"/>
        <v>3.8580948684073135E-2</v>
      </c>
      <c r="D629">
        <f t="shared" ca="1" si="29"/>
        <v>45551</v>
      </c>
    </row>
    <row r="630" spans="1:4" x14ac:dyDescent="0.35">
      <c r="A630" s="1">
        <f t="shared" ca="1" si="27"/>
        <v>0.63306502424101752</v>
      </c>
      <c r="C630" s="1">
        <f t="shared" ca="1" si="28"/>
        <v>0.24932901741051361</v>
      </c>
      <c r="D630">
        <f t="shared" ca="1" si="29"/>
        <v>45601</v>
      </c>
    </row>
    <row r="631" spans="1:4" x14ac:dyDescent="0.35">
      <c r="A631" s="1">
        <f t="shared" ca="1" si="27"/>
        <v>0.22816552241473564</v>
      </c>
      <c r="C631" s="1">
        <f t="shared" ca="1" si="28"/>
        <v>0.1879980144764154</v>
      </c>
      <c r="D631">
        <f t="shared" ca="1" si="29"/>
        <v>45834</v>
      </c>
    </row>
    <row r="632" spans="1:4" x14ac:dyDescent="0.35">
      <c r="A632" s="1">
        <f t="shared" ca="1" si="27"/>
        <v>0.68958192247385053</v>
      </c>
      <c r="C632" s="1">
        <f t="shared" ca="1" si="28"/>
        <v>0.78867015315056288</v>
      </c>
      <c r="D632">
        <f t="shared" ca="1" si="29"/>
        <v>45433</v>
      </c>
    </row>
    <row r="633" spans="1:4" x14ac:dyDescent="0.35">
      <c r="A633" s="1">
        <f t="shared" ca="1" si="27"/>
        <v>0.59989922385972649</v>
      </c>
      <c r="C633" s="1">
        <f t="shared" ca="1" si="28"/>
        <v>0.72219973272283144</v>
      </c>
      <c r="D633">
        <f t="shared" ca="1" si="29"/>
        <v>45785</v>
      </c>
    </row>
    <row r="634" spans="1:4" x14ac:dyDescent="0.35">
      <c r="A634" s="1">
        <f t="shared" ca="1" si="27"/>
        <v>0.94498326855250192</v>
      </c>
      <c r="C634" s="1">
        <f t="shared" ca="1" si="28"/>
        <v>0.59790937962902568</v>
      </c>
      <c r="D634">
        <f t="shared" ca="1" si="29"/>
        <v>45433</v>
      </c>
    </row>
    <row r="635" spans="1:4" x14ac:dyDescent="0.35">
      <c r="A635" s="1">
        <f t="shared" ca="1" si="27"/>
        <v>0.90193505149768383</v>
      </c>
      <c r="C635" s="1">
        <f t="shared" ca="1" si="28"/>
        <v>0.37372869201198167</v>
      </c>
      <c r="D635">
        <f t="shared" ca="1" si="29"/>
        <v>45760</v>
      </c>
    </row>
    <row r="636" spans="1:4" x14ac:dyDescent="0.35">
      <c r="A636" s="1">
        <f t="shared" ca="1" si="27"/>
        <v>0.88075690629148573</v>
      </c>
      <c r="C636" s="1">
        <f t="shared" ca="1" si="28"/>
        <v>0.19714664489038458</v>
      </c>
      <c r="D636">
        <f t="shared" ca="1" si="29"/>
        <v>45584</v>
      </c>
    </row>
    <row r="637" spans="1:4" x14ac:dyDescent="0.35">
      <c r="A637" s="1">
        <f t="shared" ca="1" si="27"/>
        <v>0.82294390963756803</v>
      </c>
      <c r="C637" s="1">
        <f t="shared" ca="1" si="28"/>
        <v>0.85878107013707139</v>
      </c>
      <c r="D637">
        <f t="shared" ca="1" si="29"/>
        <v>45529</v>
      </c>
    </row>
    <row r="638" spans="1:4" x14ac:dyDescent="0.35">
      <c r="A638" s="1">
        <f t="shared" ca="1" si="27"/>
        <v>0.71125630800667683</v>
      </c>
      <c r="C638" s="1">
        <f t="shared" ca="1" si="28"/>
        <v>0.46436331650283103</v>
      </c>
      <c r="D638">
        <f t="shared" ca="1" si="29"/>
        <v>45306</v>
      </c>
    </row>
    <row r="639" spans="1:4" x14ac:dyDescent="0.35">
      <c r="A639" s="1">
        <f t="shared" ca="1" si="27"/>
        <v>0.67736404697086683</v>
      </c>
      <c r="C639" s="1">
        <f t="shared" ca="1" si="28"/>
        <v>0.38704109369306527</v>
      </c>
      <c r="D639">
        <f t="shared" ca="1" si="29"/>
        <v>45586</v>
      </c>
    </row>
    <row r="640" spans="1:4" x14ac:dyDescent="0.35">
      <c r="A640" s="1">
        <f t="shared" ca="1" si="27"/>
        <v>0.81127246863007152</v>
      </c>
      <c r="C640" s="1">
        <f t="shared" ca="1" si="28"/>
        <v>5.0048918766931738E-2</v>
      </c>
      <c r="D640">
        <f t="shared" ca="1" si="29"/>
        <v>45690</v>
      </c>
    </row>
    <row r="641" spans="1:4" x14ac:dyDescent="0.35">
      <c r="A641" s="1">
        <f t="shared" ca="1" si="27"/>
        <v>0.57240087493643776</v>
      </c>
      <c r="C641" s="1">
        <f t="shared" ca="1" si="28"/>
        <v>0.61597995465578492</v>
      </c>
      <c r="D641">
        <f t="shared" ca="1" si="29"/>
        <v>45770</v>
      </c>
    </row>
    <row r="642" spans="1:4" x14ac:dyDescent="0.35">
      <c r="A642" s="1">
        <f t="shared" ca="1" si="27"/>
        <v>0.11362822117255977</v>
      </c>
      <c r="C642" s="1">
        <f t="shared" ca="1" si="28"/>
        <v>0.40209088141628269</v>
      </c>
      <c r="D642">
        <f t="shared" ca="1" si="29"/>
        <v>45742</v>
      </c>
    </row>
    <row r="643" spans="1:4" x14ac:dyDescent="0.35">
      <c r="A643" s="1">
        <f t="shared" ref="A643:A706" ca="1" si="30">RAND()</f>
        <v>0.99586349783469219</v>
      </c>
      <c r="C643" s="1">
        <f t="shared" ref="C643:C706" ca="1" si="31">RAND()</f>
        <v>0.60651042532498256</v>
      </c>
      <c r="D643">
        <f t="shared" ref="D643:D706" ca="1" si="32">RANDBETWEEN(45292,45838)</f>
        <v>45681</v>
      </c>
    </row>
    <row r="644" spans="1:4" x14ac:dyDescent="0.35">
      <c r="A644" s="1">
        <f t="shared" ca="1" si="30"/>
        <v>7.8911800443327906E-2</v>
      </c>
      <c r="C644" s="1">
        <f t="shared" ca="1" si="31"/>
        <v>0.66351625941475234</v>
      </c>
      <c r="D644">
        <f t="shared" ca="1" si="32"/>
        <v>45397</v>
      </c>
    </row>
    <row r="645" spans="1:4" x14ac:dyDescent="0.35">
      <c r="A645" s="1">
        <f t="shared" ca="1" si="30"/>
        <v>0.19960760446560732</v>
      </c>
      <c r="C645" s="1">
        <f t="shared" ca="1" si="31"/>
        <v>0.52245008701697093</v>
      </c>
      <c r="D645">
        <f t="shared" ca="1" si="32"/>
        <v>45699</v>
      </c>
    </row>
    <row r="646" spans="1:4" x14ac:dyDescent="0.35">
      <c r="A646" s="1">
        <f t="shared" ca="1" si="30"/>
        <v>9.5950885239867278E-2</v>
      </c>
      <c r="C646" s="1">
        <f t="shared" ca="1" si="31"/>
        <v>0.37294397182824024</v>
      </c>
      <c r="D646">
        <f t="shared" ca="1" si="32"/>
        <v>45761</v>
      </c>
    </row>
    <row r="647" spans="1:4" x14ac:dyDescent="0.35">
      <c r="A647" s="1">
        <f t="shared" ca="1" si="30"/>
        <v>0.7679965267470763</v>
      </c>
      <c r="C647" s="1">
        <f t="shared" ca="1" si="31"/>
        <v>0.30255264532055881</v>
      </c>
      <c r="D647">
        <f t="shared" ca="1" si="32"/>
        <v>45404</v>
      </c>
    </row>
    <row r="648" spans="1:4" x14ac:dyDescent="0.35">
      <c r="A648" s="1">
        <f t="shared" ca="1" si="30"/>
        <v>6.578439115242174E-2</v>
      </c>
      <c r="C648" s="1">
        <f t="shared" ca="1" si="31"/>
        <v>0.31728456462776644</v>
      </c>
      <c r="D648">
        <f t="shared" ca="1" si="32"/>
        <v>45780</v>
      </c>
    </row>
    <row r="649" spans="1:4" x14ac:dyDescent="0.35">
      <c r="A649" s="1">
        <f t="shared" ca="1" si="30"/>
        <v>1.6438515755166305E-2</v>
      </c>
      <c r="C649" s="1">
        <f t="shared" ca="1" si="31"/>
        <v>0.48144502378758181</v>
      </c>
      <c r="D649">
        <f t="shared" ca="1" si="32"/>
        <v>45740</v>
      </c>
    </row>
    <row r="650" spans="1:4" x14ac:dyDescent="0.35">
      <c r="A650" s="1">
        <f t="shared" ca="1" si="30"/>
        <v>0.62108981066861069</v>
      </c>
      <c r="C650" s="1">
        <f t="shared" ca="1" si="31"/>
        <v>0.9492828910474882</v>
      </c>
      <c r="D650">
        <f t="shared" ca="1" si="32"/>
        <v>45419</v>
      </c>
    </row>
    <row r="651" spans="1:4" x14ac:dyDescent="0.35">
      <c r="A651" s="1">
        <f t="shared" ca="1" si="30"/>
        <v>3.3203535851661581E-2</v>
      </c>
      <c r="C651" s="1">
        <f t="shared" ca="1" si="31"/>
        <v>0.80154380815409043</v>
      </c>
      <c r="D651">
        <f t="shared" ca="1" si="32"/>
        <v>45314</v>
      </c>
    </row>
    <row r="652" spans="1:4" x14ac:dyDescent="0.35">
      <c r="A652" s="1">
        <f t="shared" ca="1" si="30"/>
        <v>0.20712148222284288</v>
      </c>
      <c r="C652" s="1">
        <f t="shared" ca="1" si="31"/>
        <v>0.5401896118314059</v>
      </c>
      <c r="D652">
        <f t="shared" ca="1" si="32"/>
        <v>45549</v>
      </c>
    </row>
    <row r="653" spans="1:4" x14ac:dyDescent="0.35">
      <c r="A653" s="1">
        <f t="shared" ca="1" si="30"/>
        <v>0.74137208096639207</v>
      </c>
      <c r="C653" s="1">
        <f t="shared" ca="1" si="31"/>
        <v>0.4452624820271498</v>
      </c>
      <c r="D653">
        <f t="shared" ca="1" si="32"/>
        <v>45306</v>
      </c>
    </row>
    <row r="654" spans="1:4" x14ac:dyDescent="0.35">
      <c r="A654" s="1">
        <f t="shared" ca="1" si="30"/>
        <v>0.47565008662231656</v>
      </c>
      <c r="C654" s="1">
        <f t="shared" ca="1" si="31"/>
        <v>0.36819246730911803</v>
      </c>
      <c r="D654">
        <f t="shared" ca="1" si="32"/>
        <v>45388</v>
      </c>
    </row>
    <row r="655" spans="1:4" x14ac:dyDescent="0.35">
      <c r="A655" s="1">
        <f t="shared" ca="1" si="30"/>
        <v>3.9849802971152037E-2</v>
      </c>
      <c r="C655" s="1">
        <f t="shared" ca="1" si="31"/>
        <v>0.89780350156180133</v>
      </c>
      <c r="D655">
        <f t="shared" ca="1" si="32"/>
        <v>45755</v>
      </c>
    </row>
    <row r="656" spans="1:4" x14ac:dyDescent="0.35">
      <c r="A656" s="1">
        <f t="shared" ca="1" si="30"/>
        <v>0.55608784192830674</v>
      </c>
      <c r="C656" s="1">
        <f t="shared" ca="1" si="31"/>
        <v>0.86376091250968301</v>
      </c>
      <c r="D656">
        <f t="shared" ca="1" si="32"/>
        <v>45295</v>
      </c>
    </row>
    <row r="657" spans="1:4" x14ac:dyDescent="0.35">
      <c r="A657" s="1">
        <f t="shared" ca="1" si="30"/>
        <v>3.3369236241356015E-2</v>
      </c>
      <c r="C657" s="1">
        <f t="shared" ca="1" si="31"/>
        <v>0.13883106919506882</v>
      </c>
      <c r="D657">
        <f t="shared" ca="1" si="32"/>
        <v>45733</v>
      </c>
    </row>
    <row r="658" spans="1:4" x14ac:dyDescent="0.35">
      <c r="A658" s="1">
        <f t="shared" ca="1" si="30"/>
        <v>0.89329376828204965</v>
      </c>
      <c r="C658" s="1">
        <f t="shared" ca="1" si="31"/>
        <v>0.28085893810896034</v>
      </c>
      <c r="D658">
        <f t="shared" ca="1" si="32"/>
        <v>45818</v>
      </c>
    </row>
    <row r="659" spans="1:4" x14ac:dyDescent="0.35">
      <c r="A659" s="1">
        <f t="shared" ca="1" si="30"/>
        <v>2.055619339410919E-2</v>
      </c>
      <c r="C659" s="1">
        <f t="shared" ca="1" si="31"/>
        <v>5.5016915576522329E-3</v>
      </c>
      <c r="D659">
        <f t="shared" ca="1" si="32"/>
        <v>45546</v>
      </c>
    </row>
    <row r="660" spans="1:4" x14ac:dyDescent="0.35">
      <c r="A660" s="1">
        <f t="shared" ca="1" si="30"/>
        <v>0.7840460142809339</v>
      </c>
      <c r="C660" s="1">
        <f t="shared" ca="1" si="31"/>
        <v>0.51775773988717155</v>
      </c>
      <c r="D660">
        <f t="shared" ca="1" si="32"/>
        <v>45456</v>
      </c>
    </row>
    <row r="661" spans="1:4" x14ac:dyDescent="0.35">
      <c r="A661" s="1">
        <f t="shared" ca="1" si="30"/>
        <v>0.14146612192866159</v>
      </c>
      <c r="C661" s="1">
        <f t="shared" ca="1" si="31"/>
        <v>0.2059638630532753</v>
      </c>
      <c r="D661">
        <f t="shared" ca="1" si="32"/>
        <v>45645</v>
      </c>
    </row>
    <row r="662" spans="1:4" x14ac:dyDescent="0.35">
      <c r="A662" s="1">
        <f t="shared" ca="1" si="30"/>
        <v>0.57813811092127854</v>
      </c>
      <c r="C662" s="1">
        <f t="shared" ca="1" si="31"/>
        <v>0.92969440086912769</v>
      </c>
      <c r="D662">
        <f t="shared" ca="1" si="32"/>
        <v>45532</v>
      </c>
    </row>
    <row r="663" spans="1:4" x14ac:dyDescent="0.35">
      <c r="A663" s="1">
        <f t="shared" ca="1" si="30"/>
        <v>2.1829948689227496E-2</v>
      </c>
      <c r="C663" s="1">
        <f t="shared" ca="1" si="31"/>
        <v>0.39626731309137087</v>
      </c>
      <c r="D663">
        <f t="shared" ca="1" si="32"/>
        <v>45768</v>
      </c>
    </row>
    <row r="664" spans="1:4" x14ac:dyDescent="0.35">
      <c r="A664" s="1">
        <f t="shared" ca="1" si="30"/>
        <v>0.98161058570448811</v>
      </c>
      <c r="C664" s="1">
        <f t="shared" ca="1" si="31"/>
        <v>0.45875991756234269</v>
      </c>
      <c r="D664">
        <f t="shared" ca="1" si="32"/>
        <v>45312</v>
      </c>
    </row>
    <row r="665" spans="1:4" x14ac:dyDescent="0.35">
      <c r="A665" s="1">
        <f t="shared" ca="1" si="30"/>
        <v>0.67924661571487999</v>
      </c>
      <c r="C665" s="1">
        <f t="shared" ca="1" si="31"/>
        <v>0.71698936734965835</v>
      </c>
      <c r="D665">
        <f t="shared" ca="1" si="32"/>
        <v>45714</v>
      </c>
    </row>
    <row r="666" spans="1:4" x14ac:dyDescent="0.35">
      <c r="A666" s="1">
        <f t="shared" ca="1" si="30"/>
        <v>0.10398352108402953</v>
      </c>
      <c r="C666" s="1">
        <f t="shared" ca="1" si="31"/>
        <v>0.77422873208624088</v>
      </c>
      <c r="D666">
        <f t="shared" ca="1" si="32"/>
        <v>45706</v>
      </c>
    </row>
    <row r="667" spans="1:4" x14ac:dyDescent="0.35">
      <c r="A667" s="1">
        <f t="shared" ca="1" si="30"/>
        <v>0.46362984194979895</v>
      </c>
      <c r="C667" s="1">
        <f t="shared" ca="1" si="31"/>
        <v>0.67703819664482534</v>
      </c>
      <c r="D667">
        <f t="shared" ca="1" si="32"/>
        <v>45813</v>
      </c>
    </row>
    <row r="668" spans="1:4" x14ac:dyDescent="0.35">
      <c r="A668" s="1">
        <f t="shared" ca="1" si="30"/>
        <v>0.9415236261007045</v>
      </c>
      <c r="C668" s="1">
        <f t="shared" ca="1" si="31"/>
        <v>0.14041621042556318</v>
      </c>
      <c r="D668">
        <f t="shared" ca="1" si="32"/>
        <v>45535</v>
      </c>
    </row>
    <row r="669" spans="1:4" x14ac:dyDescent="0.35">
      <c r="A669" s="1">
        <f t="shared" ca="1" si="30"/>
        <v>0.54043437851925979</v>
      </c>
      <c r="C669" s="1">
        <f t="shared" ca="1" si="31"/>
        <v>0.75168464271675872</v>
      </c>
      <c r="D669">
        <f t="shared" ca="1" si="32"/>
        <v>45515</v>
      </c>
    </row>
    <row r="670" spans="1:4" x14ac:dyDescent="0.35">
      <c r="A670" s="1">
        <f t="shared" ca="1" si="30"/>
        <v>0.83825078270170184</v>
      </c>
      <c r="C670" s="1">
        <f t="shared" ca="1" si="31"/>
        <v>5.4558318484371426E-2</v>
      </c>
      <c r="D670">
        <f t="shared" ca="1" si="32"/>
        <v>45451</v>
      </c>
    </row>
    <row r="671" spans="1:4" x14ac:dyDescent="0.35">
      <c r="A671" s="1">
        <f t="shared" ca="1" si="30"/>
        <v>9.6479762002555258E-2</v>
      </c>
      <c r="C671" s="1">
        <f t="shared" ca="1" si="31"/>
        <v>6.0508530096944346E-3</v>
      </c>
      <c r="D671">
        <f t="shared" ca="1" si="32"/>
        <v>45598</v>
      </c>
    </row>
    <row r="672" spans="1:4" x14ac:dyDescent="0.35">
      <c r="A672" s="1">
        <f t="shared" ca="1" si="30"/>
        <v>0.26596065561116433</v>
      </c>
      <c r="C672" s="1">
        <f t="shared" ca="1" si="31"/>
        <v>3.0239827106909867E-2</v>
      </c>
      <c r="D672">
        <f t="shared" ca="1" si="32"/>
        <v>45295</v>
      </c>
    </row>
    <row r="673" spans="1:4" x14ac:dyDescent="0.35">
      <c r="A673" s="1">
        <f t="shared" ca="1" si="30"/>
        <v>0.80316690634661592</v>
      </c>
      <c r="C673" s="1">
        <f t="shared" ca="1" si="31"/>
        <v>0.60613171374903574</v>
      </c>
      <c r="D673">
        <f t="shared" ca="1" si="32"/>
        <v>45544</v>
      </c>
    </row>
    <row r="674" spans="1:4" x14ac:dyDescent="0.35">
      <c r="A674" s="1">
        <f t="shared" ca="1" si="30"/>
        <v>0.83118274677514647</v>
      </c>
      <c r="C674" s="1">
        <f t="shared" ca="1" si="31"/>
        <v>0.18683230650766836</v>
      </c>
      <c r="D674">
        <f t="shared" ca="1" si="32"/>
        <v>45747</v>
      </c>
    </row>
    <row r="675" spans="1:4" x14ac:dyDescent="0.35">
      <c r="A675" s="1">
        <f t="shared" ca="1" si="30"/>
        <v>0.93773507129582501</v>
      </c>
      <c r="C675" s="1">
        <f t="shared" ca="1" si="31"/>
        <v>6.7488314633856183E-2</v>
      </c>
      <c r="D675">
        <f t="shared" ca="1" si="32"/>
        <v>45789</v>
      </c>
    </row>
    <row r="676" spans="1:4" x14ac:dyDescent="0.35">
      <c r="A676" s="1">
        <f t="shared" ca="1" si="30"/>
        <v>0.47021070031384427</v>
      </c>
      <c r="C676" s="1">
        <f t="shared" ca="1" si="31"/>
        <v>0.27340378746941751</v>
      </c>
      <c r="D676">
        <f t="shared" ca="1" si="32"/>
        <v>45776</v>
      </c>
    </row>
    <row r="677" spans="1:4" x14ac:dyDescent="0.35">
      <c r="A677" s="1">
        <f t="shared" ca="1" si="30"/>
        <v>0.4669335655966792</v>
      </c>
      <c r="C677" s="1">
        <f t="shared" ca="1" si="31"/>
        <v>0.67973404797349024</v>
      </c>
      <c r="D677">
        <f t="shared" ca="1" si="32"/>
        <v>45434</v>
      </c>
    </row>
    <row r="678" spans="1:4" x14ac:dyDescent="0.35">
      <c r="A678" s="1">
        <f t="shared" ca="1" si="30"/>
        <v>2.0291246998962786E-2</v>
      </c>
      <c r="C678" s="1">
        <f t="shared" ca="1" si="31"/>
        <v>8.8712052347271197E-2</v>
      </c>
      <c r="D678">
        <f t="shared" ca="1" si="32"/>
        <v>45777</v>
      </c>
    </row>
    <row r="679" spans="1:4" x14ac:dyDescent="0.35">
      <c r="A679" s="1">
        <f t="shared" ca="1" si="30"/>
        <v>0.22730280438981199</v>
      </c>
      <c r="C679" s="1">
        <f t="shared" ca="1" si="31"/>
        <v>0.70981397772621035</v>
      </c>
      <c r="D679">
        <f t="shared" ca="1" si="32"/>
        <v>45462</v>
      </c>
    </row>
    <row r="680" spans="1:4" x14ac:dyDescent="0.35">
      <c r="A680" s="1">
        <f t="shared" ca="1" si="30"/>
        <v>0.51673633461879076</v>
      </c>
      <c r="C680" s="1">
        <f t="shared" ca="1" si="31"/>
        <v>0.54207867576064905</v>
      </c>
      <c r="D680">
        <f t="shared" ca="1" si="32"/>
        <v>45786</v>
      </c>
    </row>
    <row r="681" spans="1:4" x14ac:dyDescent="0.35">
      <c r="A681" s="1">
        <f t="shared" ca="1" si="30"/>
        <v>0.75245815125422</v>
      </c>
      <c r="C681" s="1">
        <f t="shared" ca="1" si="31"/>
        <v>0.688155492044495</v>
      </c>
      <c r="D681">
        <f t="shared" ca="1" si="32"/>
        <v>45649</v>
      </c>
    </row>
    <row r="682" spans="1:4" x14ac:dyDescent="0.35">
      <c r="A682" s="1">
        <f t="shared" ca="1" si="30"/>
        <v>0.21373003066264762</v>
      </c>
      <c r="C682" s="1">
        <f t="shared" ca="1" si="31"/>
        <v>0.59869357800595246</v>
      </c>
      <c r="D682">
        <f t="shared" ca="1" si="32"/>
        <v>45391</v>
      </c>
    </row>
    <row r="683" spans="1:4" x14ac:dyDescent="0.35">
      <c r="A683" s="1">
        <f t="shared" ca="1" si="30"/>
        <v>0.39803995342975573</v>
      </c>
      <c r="C683" s="1">
        <f t="shared" ca="1" si="31"/>
        <v>5.4550988406456669E-2</v>
      </c>
      <c r="D683">
        <f t="shared" ca="1" si="32"/>
        <v>45348</v>
      </c>
    </row>
    <row r="684" spans="1:4" x14ac:dyDescent="0.35">
      <c r="A684" s="1">
        <f t="shared" ca="1" si="30"/>
        <v>0.88758884706534735</v>
      </c>
      <c r="C684" s="1">
        <f t="shared" ca="1" si="31"/>
        <v>0.58384801296464928</v>
      </c>
      <c r="D684">
        <f t="shared" ca="1" si="32"/>
        <v>45752</v>
      </c>
    </row>
    <row r="685" spans="1:4" x14ac:dyDescent="0.35">
      <c r="A685" s="1">
        <f t="shared" ca="1" si="30"/>
        <v>0.26843257016539701</v>
      </c>
      <c r="C685" s="1">
        <f t="shared" ca="1" si="31"/>
        <v>0.78021631538159797</v>
      </c>
      <c r="D685">
        <f t="shared" ca="1" si="32"/>
        <v>45561</v>
      </c>
    </row>
    <row r="686" spans="1:4" x14ac:dyDescent="0.35">
      <c r="A686" s="1">
        <f t="shared" ca="1" si="30"/>
        <v>0.92169850189183455</v>
      </c>
      <c r="C686" s="1">
        <f t="shared" ca="1" si="31"/>
        <v>0.17705235008170661</v>
      </c>
      <c r="D686">
        <f t="shared" ca="1" si="32"/>
        <v>45662</v>
      </c>
    </row>
    <row r="687" spans="1:4" x14ac:dyDescent="0.35">
      <c r="A687" s="1">
        <f t="shared" ca="1" si="30"/>
        <v>0.56634996753516342</v>
      </c>
      <c r="C687" s="1">
        <f t="shared" ca="1" si="31"/>
        <v>8.3873577295847546E-2</v>
      </c>
      <c r="D687">
        <f t="shared" ca="1" si="32"/>
        <v>45561</v>
      </c>
    </row>
    <row r="688" spans="1:4" x14ac:dyDescent="0.35">
      <c r="A688" s="1">
        <f t="shared" ca="1" si="30"/>
        <v>0.36391873676522668</v>
      </c>
      <c r="C688" s="1">
        <f t="shared" ca="1" si="31"/>
        <v>0.64485023392367602</v>
      </c>
      <c r="D688">
        <f t="shared" ca="1" si="32"/>
        <v>45829</v>
      </c>
    </row>
    <row r="689" spans="1:4" x14ac:dyDescent="0.35">
      <c r="A689" s="1">
        <f t="shared" ca="1" si="30"/>
        <v>0.33587970164918102</v>
      </c>
      <c r="C689" s="1">
        <f t="shared" ca="1" si="31"/>
        <v>0.36027217342461337</v>
      </c>
      <c r="D689">
        <f t="shared" ca="1" si="32"/>
        <v>45437</v>
      </c>
    </row>
    <row r="690" spans="1:4" x14ac:dyDescent="0.35">
      <c r="A690" s="1">
        <f t="shared" ca="1" si="30"/>
        <v>0.18418665579077864</v>
      </c>
      <c r="C690" s="1">
        <f t="shared" ca="1" si="31"/>
        <v>5.1279158580476158E-2</v>
      </c>
      <c r="D690">
        <f t="shared" ca="1" si="32"/>
        <v>45452</v>
      </c>
    </row>
    <row r="691" spans="1:4" x14ac:dyDescent="0.35">
      <c r="A691" s="1">
        <f t="shared" ca="1" si="30"/>
        <v>0.72716619162417773</v>
      </c>
      <c r="C691" s="1">
        <f t="shared" ca="1" si="31"/>
        <v>0.71972815339648355</v>
      </c>
      <c r="D691">
        <f t="shared" ca="1" si="32"/>
        <v>45803</v>
      </c>
    </row>
    <row r="692" spans="1:4" x14ac:dyDescent="0.35">
      <c r="A692" s="1">
        <f t="shared" ca="1" si="30"/>
        <v>0.3198117965830487</v>
      </c>
      <c r="C692" s="1">
        <f t="shared" ca="1" si="31"/>
        <v>0.23235917739384548</v>
      </c>
      <c r="D692">
        <f t="shared" ca="1" si="32"/>
        <v>45373</v>
      </c>
    </row>
    <row r="693" spans="1:4" x14ac:dyDescent="0.35">
      <c r="A693" s="1">
        <f t="shared" ca="1" si="30"/>
        <v>0.53348683172360634</v>
      </c>
      <c r="C693" s="1">
        <f t="shared" ca="1" si="31"/>
        <v>0.51049235524457615</v>
      </c>
      <c r="D693">
        <f t="shared" ca="1" si="32"/>
        <v>45448</v>
      </c>
    </row>
    <row r="694" spans="1:4" x14ac:dyDescent="0.35">
      <c r="A694" s="1">
        <f t="shared" ca="1" si="30"/>
        <v>0.33392635097204304</v>
      </c>
      <c r="C694" s="1">
        <f t="shared" ca="1" si="31"/>
        <v>2.0306847580325305E-2</v>
      </c>
      <c r="D694">
        <f t="shared" ca="1" si="32"/>
        <v>45311</v>
      </c>
    </row>
    <row r="695" spans="1:4" x14ac:dyDescent="0.35">
      <c r="A695" s="1">
        <f t="shared" ca="1" si="30"/>
        <v>0.14874244861290831</v>
      </c>
      <c r="C695" s="1">
        <f t="shared" ca="1" si="31"/>
        <v>0.95524372936943758</v>
      </c>
      <c r="D695">
        <f t="shared" ca="1" si="32"/>
        <v>45459</v>
      </c>
    </row>
    <row r="696" spans="1:4" x14ac:dyDescent="0.35">
      <c r="A696" s="1">
        <f t="shared" ca="1" si="30"/>
        <v>2.2346293782320448E-3</v>
      </c>
      <c r="C696" s="1">
        <f t="shared" ca="1" si="31"/>
        <v>0.86086615317104365</v>
      </c>
      <c r="D696">
        <f t="shared" ca="1" si="32"/>
        <v>45388</v>
      </c>
    </row>
    <row r="697" spans="1:4" x14ac:dyDescent="0.35">
      <c r="A697" s="1">
        <f t="shared" ca="1" si="30"/>
        <v>0.23034684664859506</v>
      </c>
      <c r="C697" s="1">
        <f t="shared" ca="1" si="31"/>
        <v>0.71122448166450503</v>
      </c>
      <c r="D697">
        <f t="shared" ca="1" si="32"/>
        <v>45327</v>
      </c>
    </row>
    <row r="698" spans="1:4" x14ac:dyDescent="0.35">
      <c r="A698" s="1">
        <f t="shared" ca="1" si="30"/>
        <v>0.40703161363757667</v>
      </c>
      <c r="C698" s="1">
        <f t="shared" ca="1" si="31"/>
        <v>0.59568830135020401</v>
      </c>
      <c r="D698">
        <f t="shared" ca="1" si="32"/>
        <v>45390</v>
      </c>
    </row>
    <row r="699" spans="1:4" x14ac:dyDescent="0.35">
      <c r="A699" s="1">
        <f t="shared" ca="1" si="30"/>
        <v>0.70213384760551556</v>
      </c>
      <c r="C699" s="1">
        <f t="shared" ca="1" si="31"/>
        <v>0.99654112876996259</v>
      </c>
      <c r="D699">
        <f t="shared" ca="1" si="32"/>
        <v>45567</v>
      </c>
    </row>
    <row r="700" spans="1:4" x14ac:dyDescent="0.35">
      <c r="A700" s="1">
        <f t="shared" ca="1" si="30"/>
        <v>0.11473662264209739</v>
      </c>
      <c r="C700" s="1">
        <f t="shared" ca="1" si="31"/>
        <v>0.10305290757700836</v>
      </c>
      <c r="D700">
        <f t="shared" ca="1" si="32"/>
        <v>45334</v>
      </c>
    </row>
    <row r="701" spans="1:4" x14ac:dyDescent="0.35">
      <c r="A701" s="1">
        <f t="shared" ca="1" si="30"/>
        <v>0.37025541220386193</v>
      </c>
      <c r="C701" s="1">
        <f t="shared" ca="1" si="31"/>
        <v>0.21836935350904574</v>
      </c>
      <c r="D701">
        <f t="shared" ca="1" si="32"/>
        <v>45347</v>
      </c>
    </row>
    <row r="702" spans="1:4" x14ac:dyDescent="0.35">
      <c r="A702" s="1">
        <f t="shared" ca="1" si="30"/>
        <v>0.70431177853700955</v>
      </c>
      <c r="C702" s="1">
        <f t="shared" ca="1" si="31"/>
        <v>5.993415949138714E-2</v>
      </c>
      <c r="D702">
        <f t="shared" ca="1" si="32"/>
        <v>45769</v>
      </c>
    </row>
    <row r="703" spans="1:4" x14ac:dyDescent="0.35">
      <c r="A703" s="1">
        <f t="shared" ca="1" si="30"/>
        <v>0.97672374870363721</v>
      </c>
      <c r="C703" s="1">
        <f t="shared" ca="1" si="31"/>
        <v>0.47413784921582758</v>
      </c>
      <c r="D703">
        <f t="shared" ca="1" si="32"/>
        <v>45434</v>
      </c>
    </row>
    <row r="704" spans="1:4" x14ac:dyDescent="0.35">
      <c r="A704" s="1">
        <f t="shared" ca="1" si="30"/>
        <v>0.17344445932751862</v>
      </c>
      <c r="C704" s="1">
        <f t="shared" ca="1" si="31"/>
        <v>0.67888380510890911</v>
      </c>
      <c r="D704">
        <f t="shared" ca="1" si="32"/>
        <v>45623</v>
      </c>
    </row>
    <row r="705" spans="1:4" x14ac:dyDescent="0.35">
      <c r="A705" s="1">
        <f t="shared" ca="1" si="30"/>
        <v>0.10311741885631398</v>
      </c>
      <c r="C705" s="1">
        <f t="shared" ca="1" si="31"/>
        <v>0.6883533680244317</v>
      </c>
      <c r="D705">
        <f t="shared" ca="1" si="32"/>
        <v>45339</v>
      </c>
    </row>
    <row r="706" spans="1:4" x14ac:dyDescent="0.35">
      <c r="A706" s="1">
        <f t="shared" ca="1" si="30"/>
        <v>0.45853293803760764</v>
      </c>
      <c r="C706" s="1">
        <f t="shared" ca="1" si="31"/>
        <v>0.68769617204522737</v>
      </c>
      <c r="D706">
        <f t="shared" ca="1" si="32"/>
        <v>45399</v>
      </c>
    </row>
    <row r="707" spans="1:4" x14ac:dyDescent="0.35">
      <c r="A707" s="1">
        <f t="shared" ref="A707:A770" ca="1" si="33">RAND()</f>
        <v>0.54896907015927088</v>
      </c>
      <c r="C707" s="1">
        <f t="shared" ref="C707:C770" ca="1" si="34">RAND()</f>
        <v>0.69764499943952163</v>
      </c>
      <c r="D707">
        <f t="shared" ref="D707:D770" ca="1" si="35">RANDBETWEEN(45292,45838)</f>
        <v>45454</v>
      </c>
    </row>
    <row r="708" spans="1:4" x14ac:dyDescent="0.35">
      <c r="A708" s="1">
        <f t="shared" ca="1" si="33"/>
        <v>0.51339375857000735</v>
      </c>
      <c r="C708" s="1">
        <f t="shared" ca="1" si="34"/>
        <v>9.451815752925341E-2</v>
      </c>
      <c r="D708">
        <f t="shared" ca="1" si="35"/>
        <v>45415</v>
      </c>
    </row>
    <row r="709" spans="1:4" x14ac:dyDescent="0.35">
      <c r="A709" s="1">
        <f t="shared" ca="1" si="33"/>
        <v>0.83174274798188497</v>
      </c>
      <c r="C709" s="1">
        <f t="shared" ca="1" si="34"/>
        <v>5.2311580713246819E-2</v>
      </c>
      <c r="D709">
        <f t="shared" ca="1" si="35"/>
        <v>45475</v>
      </c>
    </row>
    <row r="710" spans="1:4" x14ac:dyDescent="0.35">
      <c r="A710" s="1">
        <f t="shared" ca="1" si="33"/>
        <v>0.61660370437434486</v>
      </c>
      <c r="C710" s="1">
        <f t="shared" ca="1" si="34"/>
        <v>0.65177923628402723</v>
      </c>
      <c r="D710">
        <f t="shared" ca="1" si="35"/>
        <v>45301</v>
      </c>
    </row>
    <row r="711" spans="1:4" x14ac:dyDescent="0.35">
      <c r="A711" s="1">
        <f t="shared" ca="1" si="33"/>
        <v>0.10376078667251765</v>
      </c>
      <c r="C711" s="1">
        <f t="shared" ca="1" si="34"/>
        <v>0.39362809069954696</v>
      </c>
      <c r="D711">
        <f t="shared" ca="1" si="35"/>
        <v>45352</v>
      </c>
    </row>
    <row r="712" spans="1:4" x14ac:dyDescent="0.35">
      <c r="A712" s="1">
        <f t="shared" ca="1" si="33"/>
        <v>0.2020945106083778</v>
      </c>
      <c r="C712" s="1">
        <f t="shared" ca="1" si="34"/>
        <v>0.37801623752252345</v>
      </c>
      <c r="D712">
        <f t="shared" ca="1" si="35"/>
        <v>45571</v>
      </c>
    </row>
    <row r="713" spans="1:4" x14ac:dyDescent="0.35">
      <c r="A713" s="1">
        <f t="shared" ca="1" si="33"/>
        <v>0.96904740306258597</v>
      </c>
      <c r="C713" s="1">
        <f t="shared" ca="1" si="34"/>
        <v>0.93518433906567566</v>
      </c>
      <c r="D713">
        <f t="shared" ca="1" si="35"/>
        <v>45483</v>
      </c>
    </row>
    <row r="714" spans="1:4" x14ac:dyDescent="0.35">
      <c r="A714" s="1">
        <f t="shared" ca="1" si="33"/>
        <v>0.87893120175309813</v>
      </c>
      <c r="C714" s="1">
        <f t="shared" ca="1" si="34"/>
        <v>0.68846171755304697</v>
      </c>
      <c r="D714">
        <f t="shared" ca="1" si="35"/>
        <v>45697</v>
      </c>
    </row>
    <row r="715" spans="1:4" x14ac:dyDescent="0.35">
      <c r="A715" s="1">
        <f t="shared" ca="1" si="33"/>
        <v>0.10813773046328323</v>
      </c>
      <c r="C715" s="1">
        <f t="shared" ca="1" si="34"/>
        <v>0.53349979802410286</v>
      </c>
      <c r="D715">
        <f t="shared" ca="1" si="35"/>
        <v>45579</v>
      </c>
    </row>
    <row r="716" spans="1:4" x14ac:dyDescent="0.35">
      <c r="A716" s="1">
        <f t="shared" ca="1" si="33"/>
        <v>0.34620154981401274</v>
      </c>
      <c r="C716" s="1">
        <f t="shared" ca="1" si="34"/>
        <v>0.98259696569381727</v>
      </c>
      <c r="D716">
        <f t="shared" ca="1" si="35"/>
        <v>45734</v>
      </c>
    </row>
    <row r="717" spans="1:4" x14ac:dyDescent="0.35">
      <c r="A717" s="1">
        <f t="shared" ca="1" si="33"/>
        <v>2.0254278900727618E-2</v>
      </c>
      <c r="C717" s="1">
        <f t="shared" ca="1" si="34"/>
        <v>0.23292041434043687</v>
      </c>
      <c r="D717">
        <f t="shared" ca="1" si="35"/>
        <v>45709</v>
      </c>
    </row>
    <row r="718" spans="1:4" x14ac:dyDescent="0.35">
      <c r="A718" s="1">
        <f t="shared" ca="1" si="33"/>
        <v>0.11455217095190973</v>
      </c>
      <c r="C718" s="1">
        <f t="shared" ca="1" si="34"/>
        <v>0.69274820463381503</v>
      </c>
      <c r="D718">
        <f t="shared" ca="1" si="35"/>
        <v>45565</v>
      </c>
    </row>
    <row r="719" spans="1:4" x14ac:dyDescent="0.35">
      <c r="A719" s="1">
        <f t="shared" ca="1" si="33"/>
        <v>0.74077737248903808</v>
      </c>
      <c r="C719" s="1">
        <f t="shared" ca="1" si="34"/>
        <v>3.4921203684547097E-2</v>
      </c>
      <c r="D719">
        <f t="shared" ca="1" si="35"/>
        <v>45764</v>
      </c>
    </row>
    <row r="720" spans="1:4" x14ac:dyDescent="0.35">
      <c r="A720" s="1">
        <f t="shared" ca="1" si="33"/>
        <v>3.7791918121753643E-2</v>
      </c>
      <c r="C720" s="1">
        <f t="shared" ca="1" si="34"/>
        <v>0.44153184976812432</v>
      </c>
      <c r="D720">
        <f t="shared" ca="1" si="35"/>
        <v>45596</v>
      </c>
    </row>
    <row r="721" spans="1:4" x14ac:dyDescent="0.35">
      <c r="A721" s="1">
        <f t="shared" ca="1" si="33"/>
        <v>0.21253997464157759</v>
      </c>
      <c r="C721" s="1">
        <f t="shared" ca="1" si="34"/>
        <v>0.42759759422376153</v>
      </c>
      <c r="D721">
        <f t="shared" ca="1" si="35"/>
        <v>45401</v>
      </c>
    </row>
    <row r="722" spans="1:4" x14ac:dyDescent="0.35">
      <c r="A722" s="1">
        <f t="shared" ca="1" si="33"/>
        <v>0.99846199248050005</v>
      </c>
      <c r="C722" s="1">
        <f t="shared" ca="1" si="34"/>
        <v>0.59154795106279123</v>
      </c>
      <c r="D722">
        <f t="shared" ca="1" si="35"/>
        <v>45318</v>
      </c>
    </row>
    <row r="723" spans="1:4" x14ac:dyDescent="0.35">
      <c r="A723" s="1">
        <f t="shared" ca="1" si="33"/>
        <v>0.52269167779057069</v>
      </c>
      <c r="C723" s="1">
        <f t="shared" ca="1" si="34"/>
        <v>0.188472628146653</v>
      </c>
      <c r="D723">
        <f t="shared" ca="1" si="35"/>
        <v>45446</v>
      </c>
    </row>
    <row r="724" spans="1:4" x14ac:dyDescent="0.35">
      <c r="A724" s="1">
        <f t="shared" ca="1" si="33"/>
        <v>0.30443992191840108</v>
      </c>
      <c r="C724" s="1">
        <f t="shared" ca="1" si="34"/>
        <v>0.96127131621640272</v>
      </c>
      <c r="D724">
        <f t="shared" ca="1" si="35"/>
        <v>45329</v>
      </c>
    </row>
    <row r="725" spans="1:4" x14ac:dyDescent="0.35">
      <c r="A725" s="1">
        <f t="shared" ca="1" si="33"/>
        <v>0.99444345752583663</v>
      </c>
      <c r="C725" s="1">
        <f t="shared" ca="1" si="34"/>
        <v>0.54682709893954318</v>
      </c>
      <c r="D725">
        <f t="shared" ca="1" si="35"/>
        <v>45373</v>
      </c>
    </row>
    <row r="726" spans="1:4" x14ac:dyDescent="0.35">
      <c r="A726" s="1">
        <f t="shared" ca="1" si="33"/>
        <v>0.45915790741494089</v>
      </c>
      <c r="C726" s="1">
        <f t="shared" ca="1" si="34"/>
        <v>0.47793273890583265</v>
      </c>
      <c r="D726">
        <f t="shared" ca="1" si="35"/>
        <v>45800</v>
      </c>
    </row>
    <row r="727" spans="1:4" x14ac:dyDescent="0.35">
      <c r="A727" s="1">
        <f t="shared" ca="1" si="33"/>
        <v>0.1663357785730607</v>
      </c>
      <c r="C727" s="1">
        <f t="shared" ca="1" si="34"/>
        <v>0.97332181281921193</v>
      </c>
      <c r="D727">
        <f t="shared" ca="1" si="35"/>
        <v>45384</v>
      </c>
    </row>
    <row r="728" spans="1:4" x14ac:dyDescent="0.35">
      <c r="A728" s="1">
        <f t="shared" ca="1" si="33"/>
        <v>0.69023650630765321</v>
      </c>
      <c r="C728" s="1">
        <f t="shared" ca="1" si="34"/>
        <v>5.0902098524817974E-2</v>
      </c>
      <c r="D728">
        <f t="shared" ca="1" si="35"/>
        <v>45744</v>
      </c>
    </row>
    <row r="729" spans="1:4" x14ac:dyDescent="0.35">
      <c r="A729" s="1">
        <f t="shared" ca="1" si="33"/>
        <v>0.20411843563513554</v>
      </c>
      <c r="C729" s="1">
        <f t="shared" ca="1" si="34"/>
        <v>0.70782932782849872</v>
      </c>
      <c r="D729">
        <f t="shared" ca="1" si="35"/>
        <v>45713</v>
      </c>
    </row>
    <row r="730" spans="1:4" x14ac:dyDescent="0.35">
      <c r="A730" s="1">
        <f t="shared" ca="1" si="33"/>
        <v>0.86244414651916312</v>
      </c>
      <c r="C730" s="1">
        <f t="shared" ca="1" si="34"/>
        <v>0.58261755825813921</v>
      </c>
      <c r="D730">
        <f t="shared" ca="1" si="35"/>
        <v>45628</v>
      </c>
    </row>
    <row r="731" spans="1:4" x14ac:dyDescent="0.35">
      <c r="A731" s="1">
        <f t="shared" ca="1" si="33"/>
        <v>0.70550921021790391</v>
      </c>
      <c r="C731" s="1">
        <f t="shared" ca="1" si="34"/>
        <v>0.49781412999458241</v>
      </c>
      <c r="D731">
        <f t="shared" ca="1" si="35"/>
        <v>45510</v>
      </c>
    </row>
    <row r="732" spans="1:4" x14ac:dyDescent="0.35">
      <c r="A732" s="1">
        <f t="shared" ca="1" si="33"/>
        <v>5.8649237978014024E-2</v>
      </c>
      <c r="C732" s="1">
        <f t="shared" ca="1" si="34"/>
        <v>1.9862468895177177E-2</v>
      </c>
      <c r="D732">
        <f t="shared" ca="1" si="35"/>
        <v>45668</v>
      </c>
    </row>
    <row r="733" spans="1:4" x14ac:dyDescent="0.35">
      <c r="A733" s="1">
        <f t="shared" ca="1" si="33"/>
        <v>0.11265568219317335</v>
      </c>
      <c r="C733" s="1">
        <f t="shared" ca="1" si="34"/>
        <v>0.59369659515310147</v>
      </c>
      <c r="D733">
        <f t="shared" ca="1" si="35"/>
        <v>45351</v>
      </c>
    </row>
    <row r="734" spans="1:4" x14ac:dyDescent="0.35">
      <c r="A734" s="1">
        <f t="shared" ca="1" si="33"/>
        <v>0.63016943403223025</v>
      </c>
      <c r="C734" s="1">
        <f t="shared" ca="1" si="34"/>
        <v>0.77820478520757863</v>
      </c>
      <c r="D734">
        <f t="shared" ca="1" si="35"/>
        <v>45471</v>
      </c>
    </row>
    <row r="735" spans="1:4" x14ac:dyDescent="0.35">
      <c r="A735" s="1">
        <f t="shared" ca="1" si="33"/>
        <v>0.15339164144273565</v>
      </c>
      <c r="C735" s="1">
        <f t="shared" ca="1" si="34"/>
        <v>0.46072328966135767</v>
      </c>
      <c r="D735">
        <f t="shared" ca="1" si="35"/>
        <v>45479</v>
      </c>
    </row>
    <row r="736" spans="1:4" x14ac:dyDescent="0.35">
      <c r="A736" s="1">
        <f t="shared" ca="1" si="33"/>
        <v>0.98097271375737083</v>
      </c>
      <c r="C736" s="1">
        <f t="shared" ca="1" si="34"/>
        <v>0.96401612603686759</v>
      </c>
      <c r="D736">
        <f t="shared" ca="1" si="35"/>
        <v>45429</v>
      </c>
    </row>
    <row r="737" spans="1:4" x14ac:dyDescent="0.35">
      <c r="A737" s="1">
        <f t="shared" ca="1" si="33"/>
        <v>0.3297699506898677</v>
      </c>
      <c r="C737" s="1">
        <f t="shared" ca="1" si="34"/>
        <v>3.522895214297439E-2</v>
      </c>
      <c r="D737">
        <f t="shared" ca="1" si="35"/>
        <v>45702</v>
      </c>
    </row>
    <row r="738" spans="1:4" x14ac:dyDescent="0.35">
      <c r="A738" s="1">
        <f t="shared" ca="1" si="33"/>
        <v>0.5411716914957595</v>
      </c>
      <c r="C738" s="1">
        <f t="shared" ca="1" si="34"/>
        <v>0.59548518729327693</v>
      </c>
      <c r="D738">
        <f t="shared" ca="1" si="35"/>
        <v>45670</v>
      </c>
    </row>
    <row r="739" spans="1:4" x14ac:dyDescent="0.35">
      <c r="A739" s="1">
        <f t="shared" ca="1" si="33"/>
        <v>0.61032203720381883</v>
      </c>
      <c r="C739" s="1">
        <f t="shared" ca="1" si="34"/>
        <v>0.88984316650451589</v>
      </c>
      <c r="D739">
        <f t="shared" ca="1" si="35"/>
        <v>45829</v>
      </c>
    </row>
    <row r="740" spans="1:4" x14ac:dyDescent="0.35">
      <c r="A740" s="1">
        <f t="shared" ca="1" si="33"/>
        <v>0.2307434453508137</v>
      </c>
      <c r="C740" s="1">
        <f t="shared" ca="1" si="34"/>
        <v>7.5139341908314394E-2</v>
      </c>
      <c r="D740">
        <f t="shared" ca="1" si="35"/>
        <v>45326</v>
      </c>
    </row>
    <row r="741" spans="1:4" x14ac:dyDescent="0.35">
      <c r="A741" s="1">
        <f t="shared" ca="1" si="33"/>
        <v>0.34810907435544514</v>
      </c>
      <c r="C741" s="1">
        <f t="shared" ca="1" si="34"/>
        <v>0.58299619285130866</v>
      </c>
      <c r="D741">
        <f t="shared" ca="1" si="35"/>
        <v>45363</v>
      </c>
    </row>
    <row r="742" spans="1:4" x14ac:dyDescent="0.35">
      <c r="A742" s="1">
        <f t="shared" ca="1" si="33"/>
        <v>5.9170265974495706E-2</v>
      </c>
      <c r="C742" s="1">
        <f t="shared" ca="1" si="34"/>
        <v>0.5344113645930596</v>
      </c>
      <c r="D742">
        <f t="shared" ca="1" si="35"/>
        <v>45812</v>
      </c>
    </row>
    <row r="743" spans="1:4" x14ac:dyDescent="0.35">
      <c r="A743" s="1">
        <f t="shared" ca="1" si="33"/>
        <v>0.52109718781158143</v>
      </c>
      <c r="C743" s="1">
        <f t="shared" ca="1" si="34"/>
        <v>0.57021520123614766</v>
      </c>
      <c r="D743">
        <f t="shared" ca="1" si="35"/>
        <v>45586</v>
      </c>
    </row>
    <row r="744" spans="1:4" x14ac:dyDescent="0.35">
      <c r="A744" s="1">
        <f t="shared" ca="1" si="33"/>
        <v>0.9297073962667477</v>
      </c>
      <c r="C744" s="1">
        <f t="shared" ca="1" si="34"/>
        <v>0.67041320311653263</v>
      </c>
      <c r="D744">
        <f t="shared" ca="1" si="35"/>
        <v>45387</v>
      </c>
    </row>
    <row r="745" spans="1:4" x14ac:dyDescent="0.35">
      <c r="A745" s="1">
        <f t="shared" ca="1" si="33"/>
        <v>0.76126002189175646</v>
      </c>
      <c r="C745" s="1">
        <f t="shared" ca="1" si="34"/>
        <v>0.1763494826386991</v>
      </c>
      <c r="D745">
        <f t="shared" ca="1" si="35"/>
        <v>45697</v>
      </c>
    </row>
    <row r="746" spans="1:4" x14ac:dyDescent="0.35">
      <c r="A746" s="1">
        <f t="shared" ca="1" si="33"/>
        <v>0.85405174070539402</v>
      </c>
      <c r="C746" s="1">
        <f t="shared" ca="1" si="34"/>
        <v>0.72535812709977476</v>
      </c>
      <c r="D746">
        <f t="shared" ca="1" si="35"/>
        <v>45454</v>
      </c>
    </row>
    <row r="747" spans="1:4" x14ac:dyDescent="0.35">
      <c r="A747" s="1">
        <f t="shared" ca="1" si="33"/>
        <v>0.28179662123028992</v>
      </c>
      <c r="C747" s="1">
        <f t="shared" ca="1" si="34"/>
        <v>7.9957353133421338E-2</v>
      </c>
      <c r="D747">
        <f t="shared" ca="1" si="35"/>
        <v>45785</v>
      </c>
    </row>
    <row r="748" spans="1:4" x14ac:dyDescent="0.35">
      <c r="A748" s="1">
        <f t="shared" ca="1" si="33"/>
        <v>0.17986777928960684</v>
      </c>
      <c r="C748" s="1">
        <f t="shared" ca="1" si="34"/>
        <v>0.24059034340630714</v>
      </c>
      <c r="D748">
        <f t="shared" ca="1" si="35"/>
        <v>45796</v>
      </c>
    </row>
    <row r="749" spans="1:4" x14ac:dyDescent="0.35">
      <c r="A749" s="1">
        <f t="shared" ca="1" si="33"/>
        <v>0.45763176439729936</v>
      </c>
      <c r="C749" s="1">
        <f t="shared" ca="1" si="34"/>
        <v>0.3791806554875401</v>
      </c>
      <c r="D749">
        <f t="shared" ca="1" si="35"/>
        <v>45328</v>
      </c>
    </row>
    <row r="750" spans="1:4" x14ac:dyDescent="0.35">
      <c r="A750" s="1">
        <f t="shared" ca="1" si="33"/>
        <v>0.89226859961378691</v>
      </c>
      <c r="C750" s="1">
        <f t="shared" ca="1" si="34"/>
        <v>0.10518511179300127</v>
      </c>
      <c r="D750">
        <f t="shared" ca="1" si="35"/>
        <v>45651</v>
      </c>
    </row>
    <row r="751" spans="1:4" x14ac:dyDescent="0.35">
      <c r="A751" s="1">
        <f t="shared" ca="1" si="33"/>
        <v>0.23721402907018529</v>
      </c>
      <c r="C751" s="1">
        <f t="shared" ca="1" si="34"/>
        <v>0.41272386410199613</v>
      </c>
      <c r="D751">
        <f t="shared" ca="1" si="35"/>
        <v>45364</v>
      </c>
    </row>
    <row r="752" spans="1:4" x14ac:dyDescent="0.35">
      <c r="A752" s="1">
        <f t="shared" ca="1" si="33"/>
        <v>0.84232801089531495</v>
      </c>
      <c r="C752" s="1">
        <f t="shared" ca="1" si="34"/>
        <v>0.27944970890349441</v>
      </c>
      <c r="D752">
        <f t="shared" ca="1" si="35"/>
        <v>45448</v>
      </c>
    </row>
    <row r="753" spans="1:4" x14ac:dyDescent="0.35">
      <c r="A753" s="1">
        <f t="shared" ca="1" si="33"/>
        <v>0.82835778087368916</v>
      </c>
      <c r="C753" s="1">
        <f t="shared" ca="1" si="34"/>
        <v>0.45519490260132123</v>
      </c>
      <c r="D753">
        <f t="shared" ca="1" si="35"/>
        <v>45742</v>
      </c>
    </row>
    <row r="754" spans="1:4" x14ac:dyDescent="0.35">
      <c r="A754" s="1">
        <f t="shared" ca="1" si="33"/>
        <v>0.9992417691451736</v>
      </c>
      <c r="C754" s="1">
        <f t="shared" ca="1" si="34"/>
        <v>0.34989472262289056</v>
      </c>
      <c r="D754">
        <f t="shared" ca="1" si="35"/>
        <v>45448</v>
      </c>
    </row>
    <row r="755" spans="1:4" x14ac:dyDescent="0.35">
      <c r="A755" s="1">
        <f t="shared" ca="1" si="33"/>
        <v>0.26027647999869419</v>
      </c>
      <c r="C755" s="1">
        <f t="shared" ca="1" si="34"/>
        <v>0.51375658827143345</v>
      </c>
      <c r="D755">
        <f t="shared" ca="1" si="35"/>
        <v>45551</v>
      </c>
    </row>
    <row r="756" spans="1:4" x14ac:dyDescent="0.35">
      <c r="A756" s="1">
        <f t="shared" ca="1" si="33"/>
        <v>0.63707592922838407</v>
      </c>
      <c r="C756" s="1">
        <f t="shared" ca="1" si="34"/>
        <v>0.44503938231995621</v>
      </c>
      <c r="D756">
        <f t="shared" ca="1" si="35"/>
        <v>45624</v>
      </c>
    </row>
    <row r="757" spans="1:4" x14ac:dyDescent="0.35">
      <c r="A757" s="1">
        <f t="shared" ca="1" si="33"/>
        <v>0.94149513173006505</v>
      </c>
      <c r="C757" s="1">
        <f t="shared" ca="1" si="34"/>
        <v>3.0386461176763579E-2</v>
      </c>
      <c r="D757">
        <f t="shared" ca="1" si="35"/>
        <v>45706</v>
      </c>
    </row>
    <row r="758" spans="1:4" x14ac:dyDescent="0.35">
      <c r="A758" s="1">
        <f t="shared" ca="1" si="33"/>
        <v>0.2904285305258365</v>
      </c>
      <c r="C758" s="1">
        <f t="shared" ca="1" si="34"/>
        <v>0.55858321896076202</v>
      </c>
      <c r="D758">
        <f t="shared" ca="1" si="35"/>
        <v>45788</v>
      </c>
    </row>
    <row r="759" spans="1:4" x14ac:dyDescent="0.35">
      <c r="A759" s="1">
        <f t="shared" ca="1" si="33"/>
        <v>0.9628447427070379</v>
      </c>
      <c r="C759" s="1">
        <f t="shared" ca="1" si="34"/>
        <v>0.96377186774463475</v>
      </c>
      <c r="D759">
        <f t="shared" ca="1" si="35"/>
        <v>45804</v>
      </c>
    </row>
    <row r="760" spans="1:4" x14ac:dyDescent="0.35">
      <c r="A760" s="1">
        <f t="shared" ca="1" si="33"/>
        <v>0.82124868359137526</v>
      </c>
      <c r="C760" s="1">
        <f t="shared" ca="1" si="34"/>
        <v>0.72424472021257158</v>
      </c>
      <c r="D760">
        <f t="shared" ca="1" si="35"/>
        <v>45357</v>
      </c>
    </row>
    <row r="761" spans="1:4" x14ac:dyDescent="0.35">
      <c r="A761" s="1">
        <f t="shared" ca="1" si="33"/>
        <v>0.49852009770604211</v>
      </c>
      <c r="C761" s="1">
        <f t="shared" ca="1" si="34"/>
        <v>0.24165872230980012</v>
      </c>
      <c r="D761">
        <f t="shared" ca="1" si="35"/>
        <v>45320</v>
      </c>
    </row>
    <row r="762" spans="1:4" x14ac:dyDescent="0.35">
      <c r="A762" s="1">
        <f t="shared" ca="1" si="33"/>
        <v>0.3993873286532289</v>
      </c>
      <c r="C762" s="1">
        <f t="shared" ca="1" si="34"/>
        <v>0.42725936040673851</v>
      </c>
      <c r="D762">
        <f t="shared" ca="1" si="35"/>
        <v>45592</v>
      </c>
    </row>
    <row r="763" spans="1:4" x14ac:dyDescent="0.35">
      <c r="A763" s="1">
        <f t="shared" ca="1" si="33"/>
        <v>0.24077842649799996</v>
      </c>
      <c r="C763" s="1">
        <f t="shared" ca="1" si="34"/>
        <v>0.57631546577317883</v>
      </c>
      <c r="D763">
        <f t="shared" ca="1" si="35"/>
        <v>45397</v>
      </c>
    </row>
    <row r="764" spans="1:4" x14ac:dyDescent="0.35">
      <c r="A764" s="1">
        <f t="shared" ca="1" si="33"/>
        <v>0.4447112984759406</v>
      </c>
      <c r="C764" s="1">
        <f t="shared" ca="1" si="34"/>
        <v>0.67609271617848754</v>
      </c>
      <c r="D764">
        <f t="shared" ca="1" si="35"/>
        <v>45831</v>
      </c>
    </row>
    <row r="765" spans="1:4" x14ac:dyDescent="0.35">
      <c r="A765" s="1">
        <f t="shared" ca="1" si="33"/>
        <v>0.36778302568355292</v>
      </c>
      <c r="C765" s="1">
        <f t="shared" ca="1" si="34"/>
        <v>0.27688644665455309</v>
      </c>
      <c r="D765">
        <f t="shared" ca="1" si="35"/>
        <v>45748</v>
      </c>
    </row>
    <row r="766" spans="1:4" x14ac:dyDescent="0.35">
      <c r="A766" s="1">
        <f t="shared" ca="1" si="33"/>
        <v>0.35646467524232406</v>
      </c>
      <c r="C766" s="1">
        <f t="shared" ca="1" si="34"/>
        <v>0.60880097378344544</v>
      </c>
      <c r="D766">
        <f t="shared" ca="1" si="35"/>
        <v>45759</v>
      </c>
    </row>
    <row r="767" spans="1:4" x14ac:dyDescent="0.35">
      <c r="A767" s="1">
        <f t="shared" ca="1" si="33"/>
        <v>0.1087124855022622</v>
      </c>
      <c r="C767" s="1">
        <f t="shared" ca="1" si="34"/>
        <v>0.26517906648394685</v>
      </c>
      <c r="D767">
        <f t="shared" ca="1" si="35"/>
        <v>45453</v>
      </c>
    </row>
    <row r="768" spans="1:4" x14ac:dyDescent="0.35">
      <c r="A768" s="1">
        <f t="shared" ca="1" si="33"/>
        <v>0.46569173816088705</v>
      </c>
      <c r="C768" s="1">
        <f t="shared" ca="1" si="34"/>
        <v>0.22539391979017731</v>
      </c>
      <c r="D768">
        <f t="shared" ca="1" si="35"/>
        <v>45378</v>
      </c>
    </row>
    <row r="769" spans="1:4" x14ac:dyDescent="0.35">
      <c r="A769" s="1">
        <f t="shared" ca="1" si="33"/>
        <v>7.479309238939591E-2</v>
      </c>
      <c r="C769" s="1">
        <f t="shared" ca="1" si="34"/>
        <v>0.18335192589089599</v>
      </c>
      <c r="D769">
        <f t="shared" ca="1" si="35"/>
        <v>45326</v>
      </c>
    </row>
    <row r="770" spans="1:4" x14ac:dyDescent="0.35">
      <c r="A770" s="1">
        <f t="shared" ca="1" si="33"/>
        <v>6.0543113545303839E-3</v>
      </c>
      <c r="C770" s="1">
        <f t="shared" ca="1" si="34"/>
        <v>5.4699899137725883E-2</v>
      </c>
      <c r="D770">
        <f t="shared" ca="1" si="35"/>
        <v>45784</v>
      </c>
    </row>
    <row r="771" spans="1:4" x14ac:dyDescent="0.35">
      <c r="A771" s="1">
        <f t="shared" ref="A771:A834" ca="1" si="36">RAND()</f>
        <v>0.2497341322989044</v>
      </c>
      <c r="C771" s="1">
        <f t="shared" ref="C771:C834" ca="1" si="37">RAND()</f>
        <v>8.2006960428391174E-2</v>
      </c>
      <c r="D771">
        <f t="shared" ref="D771:D834" ca="1" si="38">RANDBETWEEN(45292,45838)</f>
        <v>45446</v>
      </c>
    </row>
    <row r="772" spans="1:4" x14ac:dyDescent="0.35">
      <c r="A772" s="1">
        <f t="shared" ca="1" si="36"/>
        <v>0.37303753363790959</v>
      </c>
      <c r="C772" s="1">
        <f t="shared" ca="1" si="37"/>
        <v>0.38537127196255549</v>
      </c>
      <c r="D772">
        <f t="shared" ca="1" si="38"/>
        <v>45758</v>
      </c>
    </row>
    <row r="773" spans="1:4" x14ac:dyDescent="0.35">
      <c r="A773" s="1">
        <f t="shared" ca="1" si="36"/>
        <v>0.20058461644677128</v>
      </c>
      <c r="C773" s="1">
        <f t="shared" ca="1" si="37"/>
        <v>0.45550243419529357</v>
      </c>
      <c r="D773">
        <f t="shared" ca="1" si="38"/>
        <v>45303</v>
      </c>
    </row>
    <row r="774" spans="1:4" x14ac:dyDescent="0.35">
      <c r="A774" s="1">
        <f t="shared" ca="1" si="36"/>
        <v>4.3813749219479003E-3</v>
      </c>
      <c r="C774" s="1">
        <f t="shared" ca="1" si="37"/>
        <v>0.16984732948143122</v>
      </c>
      <c r="D774">
        <f t="shared" ca="1" si="38"/>
        <v>45540</v>
      </c>
    </row>
    <row r="775" spans="1:4" x14ac:dyDescent="0.35">
      <c r="A775" s="1">
        <f t="shared" ca="1" si="36"/>
        <v>5.061520571663336E-2</v>
      </c>
      <c r="C775" s="1">
        <f t="shared" ca="1" si="37"/>
        <v>0.89564452450347032</v>
      </c>
      <c r="D775">
        <f t="shared" ca="1" si="38"/>
        <v>45801</v>
      </c>
    </row>
    <row r="776" spans="1:4" x14ac:dyDescent="0.35">
      <c r="A776" s="1">
        <f t="shared" ca="1" si="36"/>
        <v>0.88919480574402721</v>
      </c>
      <c r="C776" s="1">
        <f t="shared" ca="1" si="37"/>
        <v>0.77451048107342357</v>
      </c>
      <c r="D776">
        <f t="shared" ca="1" si="38"/>
        <v>45738</v>
      </c>
    </row>
    <row r="777" spans="1:4" x14ac:dyDescent="0.35">
      <c r="A777" s="1">
        <f t="shared" ca="1" si="36"/>
        <v>0.35487950051554595</v>
      </c>
      <c r="C777" s="1">
        <f t="shared" ca="1" si="37"/>
        <v>0.85060172569274295</v>
      </c>
      <c r="D777">
        <f t="shared" ca="1" si="38"/>
        <v>45828</v>
      </c>
    </row>
    <row r="778" spans="1:4" x14ac:dyDescent="0.35">
      <c r="A778" s="1">
        <f t="shared" ca="1" si="36"/>
        <v>0.54587351680228524</v>
      </c>
      <c r="C778" s="1">
        <f t="shared" ca="1" si="37"/>
        <v>0.25756102029189465</v>
      </c>
      <c r="D778">
        <f t="shared" ca="1" si="38"/>
        <v>45662</v>
      </c>
    </row>
    <row r="779" spans="1:4" x14ac:dyDescent="0.35">
      <c r="A779" s="1">
        <f t="shared" ca="1" si="36"/>
        <v>0.73457979849331179</v>
      </c>
      <c r="C779" s="1">
        <f t="shared" ca="1" si="37"/>
        <v>0.828215737265664</v>
      </c>
      <c r="D779">
        <f t="shared" ca="1" si="38"/>
        <v>45745</v>
      </c>
    </row>
    <row r="780" spans="1:4" x14ac:dyDescent="0.35">
      <c r="A780" s="1">
        <f t="shared" ca="1" si="36"/>
        <v>0.15010083820763465</v>
      </c>
      <c r="C780" s="1">
        <f t="shared" ca="1" si="37"/>
        <v>0.90244661262798487</v>
      </c>
      <c r="D780">
        <f t="shared" ca="1" si="38"/>
        <v>45597</v>
      </c>
    </row>
    <row r="781" spans="1:4" x14ac:dyDescent="0.35">
      <c r="A781" s="1">
        <f t="shared" ca="1" si="36"/>
        <v>0.39507278390063649</v>
      </c>
      <c r="C781" s="1">
        <f t="shared" ca="1" si="37"/>
        <v>0.66190824288525096</v>
      </c>
      <c r="D781">
        <f t="shared" ca="1" si="38"/>
        <v>45505</v>
      </c>
    </row>
    <row r="782" spans="1:4" x14ac:dyDescent="0.35">
      <c r="A782" s="1">
        <f t="shared" ca="1" si="36"/>
        <v>0.68087320202605961</v>
      </c>
      <c r="C782" s="1">
        <f t="shared" ca="1" si="37"/>
        <v>0.12109213452460998</v>
      </c>
      <c r="D782">
        <f t="shared" ca="1" si="38"/>
        <v>45463</v>
      </c>
    </row>
    <row r="783" spans="1:4" x14ac:dyDescent="0.35">
      <c r="A783" s="1">
        <f t="shared" ca="1" si="36"/>
        <v>0.19289636601865667</v>
      </c>
      <c r="C783" s="1">
        <f t="shared" ca="1" si="37"/>
        <v>0.46559168023995778</v>
      </c>
      <c r="D783">
        <f t="shared" ca="1" si="38"/>
        <v>45417</v>
      </c>
    </row>
    <row r="784" spans="1:4" x14ac:dyDescent="0.35">
      <c r="A784" s="1">
        <f t="shared" ca="1" si="36"/>
        <v>0.72803413975514875</v>
      </c>
      <c r="C784" s="1">
        <f t="shared" ca="1" si="37"/>
        <v>0.12604328322922576</v>
      </c>
      <c r="D784">
        <f t="shared" ca="1" si="38"/>
        <v>45300</v>
      </c>
    </row>
    <row r="785" spans="1:4" x14ac:dyDescent="0.35">
      <c r="A785" s="1">
        <f t="shared" ca="1" si="36"/>
        <v>0.39449898410057105</v>
      </c>
      <c r="C785" s="1">
        <f t="shared" ca="1" si="37"/>
        <v>0.78014733488716481</v>
      </c>
      <c r="D785">
        <f t="shared" ca="1" si="38"/>
        <v>45385</v>
      </c>
    </row>
    <row r="786" spans="1:4" x14ac:dyDescent="0.35">
      <c r="A786" s="1">
        <f t="shared" ca="1" si="36"/>
        <v>3.0127052124664377E-3</v>
      </c>
      <c r="C786" s="1">
        <f t="shared" ca="1" si="37"/>
        <v>0.36211240529519484</v>
      </c>
      <c r="D786">
        <f t="shared" ca="1" si="38"/>
        <v>45350</v>
      </c>
    </row>
    <row r="787" spans="1:4" x14ac:dyDescent="0.35">
      <c r="A787" s="1">
        <f t="shared" ca="1" si="36"/>
        <v>0.10719495498817988</v>
      </c>
      <c r="C787" s="1">
        <f t="shared" ca="1" si="37"/>
        <v>0.49908473689863819</v>
      </c>
      <c r="D787">
        <f t="shared" ca="1" si="38"/>
        <v>45452</v>
      </c>
    </row>
    <row r="788" spans="1:4" x14ac:dyDescent="0.35">
      <c r="A788" s="1">
        <f t="shared" ca="1" si="36"/>
        <v>0.29107387158107756</v>
      </c>
      <c r="C788" s="1">
        <f t="shared" ca="1" si="37"/>
        <v>0.35203530591630805</v>
      </c>
      <c r="D788">
        <f t="shared" ca="1" si="38"/>
        <v>45571</v>
      </c>
    </row>
    <row r="789" spans="1:4" x14ac:dyDescent="0.35">
      <c r="A789" s="1">
        <f t="shared" ca="1" si="36"/>
        <v>4.3349510104650379E-2</v>
      </c>
      <c r="C789" s="1">
        <f t="shared" ca="1" si="37"/>
        <v>0.5701711852713468</v>
      </c>
      <c r="D789">
        <f t="shared" ca="1" si="38"/>
        <v>45423</v>
      </c>
    </row>
    <row r="790" spans="1:4" x14ac:dyDescent="0.35">
      <c r="A790" s="1">
        <f t="shared" ca="1" si="36"/>
        <v>0.99013408905646028</v>
      </c>
      <c r="C790" s="1">
        <f t="shared" ca="1" si="37"/>
        <v>0.20921900061812304</v>
      </c>
      <c r="D790">
        <f t="shared" ca="1" si="38"/>
        <v>45389</v>
      </c>
    </row>
    <row r="791" spans="1:4" x14ac:dyDescent="0.35">
      <c r="A791" s="1">
        <f t="shared" ca="1" si="36"/>
        <v>3.1863026044864351E-2</v>
      </c>
      <c r="C791" s="1">
        <f t="shared" ca="1" si="37"/>
        <v>0.92579022163090396</v>
      </c>
      <c r="D791">
        <f t="shared" ca="1" si="38"/>
        <v>45773</v>
      </c>
    </row>
    <row r="792" spans="1:4" x14ac:dyDescent="0.35">
      <c r="A792" s="1">
        <f t="shared" ca="1" si="36"/>
        <v>0.20479724316031978</v>
      </c>
      <c r="C792" s="1">
        <f t="shared" ca="1" si="37"/>
        <v>0.10213671353701625</v>
      </c>
      <c r="D792">
        <f t="shared" ca="1" si="38"/>
        <v>45439</v>
      </c>
    </row>
    <row r="793" spans="1:4" x14ac:dyDescent="0.35">
      <c r="A793" s="1">
        <f t="shared" ca="1" si="36"/>
        <v>0.44485648928410904</v>
      </c>
      <c r="C793" s="1">
        <f t="shared" ca="1" si="37"/>
        <v>5.0514364246501131E-3</v>
      </c>
      <c r="D793">
        <f t="shared" ca="1" si="38"/>
        <v>45357</v>
      </c>
    </row>
    <row r="794" spans="1:4" x14ac:dyDescent="0.35">
      <c r="A794" s="1">
        <f t="shared" ca="1" si="36"/>
        <v>0.32959217825964127</v>
      </c>
      <c r="C794" s="1">
        <f t="shared" ca="1" si="37"/>
        <v>0.41650537842719182</v>
      </c>
      <c r="D794">
        <f t="shared" ca="1" si="38"/>
        <v>45777</v>
      </c>
    </row>
    <row r="795" spans="1:4" x14ac:dyDescent="0.35">
      <c r="A795" s="1">
        <f t="shared" ca="1" si="36"/>
        <v>0.68668823078741703</v>
      </c>
      <c r="C795" s="1">
        <f t="shared" ca="1" si="37"/>
        <v>0.53064271418551501</v>
      </c>
      <c r="D795">
        <f t="shared" ca="1" si="38"/>
        <v>45829</v>
      </c>
    </row>
    <row r="796" spans="1:4" x14ac:dyDescent="0.35">
      <c r="A796" s="1">
        <f t="shared" ca="1" si="36"/>
        <v>0.52684560362107458</v>
      </c>
      <c r="C796" s="1">
        <f t="shared" ca="1" si="37"/>
        <v>0.50806298387896631</v>
      </c>
      <c r="D796">
        <f t="shared" ca="1" si="38"/>
        <v>45405</v>
      </c>
    </row>
    <row r="797" spans="1:4" x14ac:dyDescent="0.35">
      <c r="A797" s="1">
        <f t="shared" ca="1" si="36"/>
        <v>0.36479599231270687</v>
      </c>
      <c r="C797" s="1">
        <f t="shared" ca="1" si="37"/>
        <v>0.23223897952924577</v>
      </c>
      <c r="D797">
        <f t="shared" ca="1" si="38"/>
        <v>45349</v>
      </c>
    </row>
    <row r="798" spans="1:4" x14ac:dyDescent="0.35">
      <c r="A798" s="1">
        <f t="shared" ca="1" si="36"/>
        <v>0.33175903851952371</v>
      </c>
      <c r="C798" s="1">
        <f t="shared" ca="1" si="37"/>
        <v>0.39304021046261317</v>
      </c>
      <c r="D798">
        <f t="shared" ca="1" si="38"/>
        <v>45778</v>
      </c>
    </row>
    <row r="799" spans="1:4" x14ac:dyDescent="0.35">
      <c r="A799" s="1">
        <f t="shared" ca="1" si="36"/>
        <v>0.51224774856795441</v>
      </c>
      <c r="C799" s="1">
        <f t="shared" ca="1" si="37"/>
        <v>0.78562192048960566</v>
      </c>
      <c r="D799">
        <f t="shared" ca="1" si="38"/>
        <v>45447</v>
      </c>
    </row>
    <row r="800" spans="1:4" x14ac:dyDescent="0.35">
      <c r="A800" s="1">
        <f t="shared" ca="1" si="36"/>
        <v>0.38316468229578748</v>
      </c>
      <c r="C800" s="1">
        <f t="shared" ca="1" si="37"/>
        <v>0.17939610299739051</v>
      </c>
      <c r="D800">
        <f t="shared" ca="1" si="38"/>
        <v>45804</v>
      </c>
    </row>
    <row r="801" spans="1:4" x14ac:dyDescent="0.35">
      <c r="A801" s="1">
        <f t="shared" ca="1" si="36"/>
        <v>0.13410743714096807</v>
      </c>
      <c r="C801" s="1">
        <f t="shared" ca="1" si="37"/>
        <v>0.50293812196862553</v>
      </c>
      <c r="D801">
        <f t="shared" ca="1" si="38"/>
        <v>45445</v>
      </c>
    </row>
    <row r="802" spans="1:4" x14ac:dyDescent="0.35">
      <c r="A802" s="1">
        <f t="shared" ca="1" si="36"/>
        <v>5.9012845776977962E-2</v>
      </c>
      <c r="C802" s="1">
        <f t="shared" ca="1" si="37"/>
        <v>0.89050499270048533</v>
      </c>
      <c r="D802">
        <f t="shared" ca="1" si="38"/>
        <v>45414</v>
      </c>
    </row>
    <row r="803" spans="1:4" x14ac:dyDescent="0.35">
      <c r="A803" s="1">
        <f t="shared" ca="1" si="36"/>
        <v>0.52122252359917765</v>
      </c>
      <c r="C803" s="1">
        <f t="shared" ca="1" si="37"/>
        <v>0.3454655164415823</v>
      </c>
      <c r="D803">
        <f t="shared" ca="1" si="38"/>
        <v>45487</v>
      </c>
    </row>
    <row r="804" spans="1:4" x14ac:dyDescent="0.35">
      <c r="A804" s="1">
        <f t="shared" ca="1" si="36"/>
        <v>0.66801277451108165</v>
      </c>
      <c r="C804" s="1">
        <f t="shared" ca="1" si="37"/>
        <v>0.35822742090896387</v>
      </c>
      <c r="D804">
        <f t="shared" ca="1" si="38"/>
        <v>45804</v>
      </c>
    </row>
    <row r="805" spans="1:4" x14ac:dyDescent="0.35">
      <c r="A805" s="1">
        <f t="shared" ca="1" si="36"/>
        <v>0.61412751484488015</v>
      </c>
      <c r="C805" s="1">
        <f t="shared" ca="1" si="37"/>
        <v>0.274269654073238</v>
      </c>
      <c r="D805">
        <f t="shared" ca="1" si="38"/>
        <v>45551</v>
      </c>
    </row>
    <row r="806" spans="1:4" x14ac:dyDescent="0.35">
      <c r="A806" s="1">
        <f t="shared" ca="1" si="36"/>
        <v>0.25511723891507831</v>
      </c>
      <c r="C806" s="1">
        <f t="shared" ca="1" si="37"/>
        <v>5.0161224951100314E-2</v>
      </c>
      <c r="D806">
        <f t="shared" ca="1" si="38"/>
        <v>45650</v>
      </c>
    </row>
    <row r="807" spans="1:4" x14ac:dyDescent="0.35">
      <c r="A807" s="1">
        <f t="shared" ca="1" si="36"/>
        <v>0.27258934019515491</v>
      </c>
      <c r="C807" s="1">
        <f t="shared" ca="1" si="37"/>
        <v>8.7918833813236064E-2</v>
      </c>
      <c r="D807">
        <f t="shared" ca="1" si="38"/>
        <v>45696</v>
      </c>
    </row>
    <row r="808" spans="1:4" x14ac:dyDescent="0.35">
      <c r="A808" s="1">
        <f t="shared" ca="1" si="36"/>
        <v>0.57499133335174779</v>
      </c>
      <c r="C808" s="1">
        <f t="shared" ca="1" si="37"/>
        <v>0.33368179050330948</v>
      </c>
      <c r="D808">
        <f t="shared" ca="1" si="38"/>
        <v>45511</v>
      </c>
    </row>
    <row r="809" spans="1:4" x14ac:dyDescent="0.35">
      <c r="A809" s="1">
        <f t="shared" ca="1" si="36"/>
        <v>0.44246472552273741</v>
      </c>
      <c r="C809" s="1">
        <f t="shared" ca="1" si="37"/>
        <v>0.92271258354259922</v>
      </c>
      <c r="D809">
        <f t="shared" ca="1" si="38"/>
        <v>45694</v>
      </c>
    </row>
    <row r="810" spans="1:4" x14ac:dyDescent="0.35">
      <c r="A810" s="1">
        <f t="shared" ca="1" si="36"/>
        <v>0.71797859091362526</v>
      </c>
      <c r="C810" s="1">
        <f t="shared" ca="1" si="37"/>
        <v>0.84956625807128794</v>
      </c>
      <c r="D810">
        <f t="shared" ca="1" si="38"/>
        <v>45585</v>
      </c>
    </row>
    <row r="811" spans="1:4" x14ac:dyDescent="0.35">
      <c r="A811" s="1">
        <f t="shared" ca="1" si="36"/>
        <v>0.44755009313910266</v>
      </c>
      <c r="C811" s="1">
        <f t="shared" ca="1" si="37"/>
        <v>0.61884019379712984</v>
      </c>
      <c r="D811">
        <f t="shared" ca="1" si="38"/>
        <v>45405</v>
      </c>
    </row>
    <row r="812" spans="1:4" x14ac:dyDescent="0.35">
      <c r="A812" s="1">
        <f t="shared" ca="1" si="36"/>
        <v>0.30281844478618614</v>
      </c>
      <c r="C812" s="1">
        <f t="shared" ca="1" si="37"/>
        <v>0.18326428866681599</v>
      </c>
      <c r="D812">
        <f t="shared" ca="1" si="38"/>
        <v>45393</v>
      </c>
    </row>
    <row r="813" spans="1:4" x14ac:dyDescent="0.35">
      <c r="A813" s="1">
        <f t="shared" ca="1" si="36"/>
        <v>0.38084277741898387</v>
      </c>
      <c r="C813" s="1">
        <f t="shared" ca="1" si="37"/>
        <v>3.489962321578266E-2</v>
      </c>
      <c r="D813">
        <f t="shared" ca="1" si="38"/>
        <v>45745</v>
      </c>
    </row>
    <row r="814" spans="1:4" x14ac:dyDescent="0.35">
      <c r="A814" s="1">
        <f t="shared" ca="1" si="36"/>
        <v>0.77902858060526747</v>
      </c>
      <c r="C814" s="1">
        <f t="shared" ca="1" si="37"/>
        <v>0.88584216384543291</v>
      </c>
      <c r="D814">
        <f t="shared" ca="1" si="38"/>
        <v>45322</v>
      </c>
    </row>
    <row r="815" spans="1:4" x14ac:dyDescent="0.35">
      <c r="A815" s="1">
        <f t="shared" ca="1" si="36"/>
        <v>0.19769454323049118</v>
      </c>
      <c r="C815" s="1">
        <f t="shared" ca="1" si="37"/>
        <v>0.98226842147015281</v>
      </c>
      <c r="D815">
        <f t="shared" ca="1" si="38"/>
        <v>45563</v>
      </c>
    </row>
    <row r="816" spans="1:4" x14ac:dyDescent="0.35">
      <c r="A816" s="1">
        <f t="shared" ca="1" si="36"/>
        <v>0.79988800798467952</v>
      </c>
      <c r="C816" s="1">
        <f t="shared" ca="1" si="37"/>
        <v>0.24254293500532909</v>
      </c>
      <c r="D816">
        <f t="shared" ca="1" si="38"/>
        <v>45801</v>
      </c>
    </row>
    <row r="817" spans="1:4" x14ac:dyDescent="0.35">
      <c r="A817" s="1">
        <f t="shared" ca="1" si="36"/>
        <v>0.44545890625960349</v>
      </c>
      <c r="C817" s="1">
        <f t="shared" ca="1" si="37"/>
        <v>0.75819352677440033</v>
      </c>
      <c r="D817">
        <f t="shared" ca="1" si="38"/>
        <v>45838</v>
      </c>
    </row>
    <row r="818" spans="1:4" x14ac:dyDescent="0.35">
      <c r="A818" s="1">
        <f t="shared" ca="1" si="36"/>
        <v>0.56088693871020401</v>
      </c>
      <c r="C818" s="1">
        <f t="shared" ca="1" si="37"/>
        <v>0.23652808375958922</v>
      </c>
      <c r="D818">
        <f t="shared" ca="1" si="38"/>
        <v>45647</v>
      </c>
    </row>
    <row r="819" spans="1:4" x14ac:dyDescent="0.35">
      <c r="A819" s="1">
        <f t="shared" ca="1" si="36"/>
        <v>0.15954925395740083</v>
      </c>
      <c r="C819" s="1">
        <f t="shared" ca="1" si="37"/>
        <v>0.2172309021904324</v>
      </c>
      <c r="D819">
        <f t="shared" ca="1" si="38"/>
        <v>45466</v>
      </c>
    </row>
    <row r="820" spans="1:4" x14ac:dyDescent="0.35">
      <c r="A820" s="1">
        <f t="shared" ca="1" si="36"/>
        <v>0.35613234742950617</v>
      </c>
      <c r="C820" s="1">
        <f t="shared" ca="1" si="37"/>
        <v>0.13186717865924591</v>
      </c>
      <c r="D820">
        <f t="shared" ca="1" si="38"/>
        <v>45484</v>
      </c>
    </row>
    <row r="821" spans="1:4" x14ac:dyDescent="0.35">
      <c r="A821" s="1">
        <f t="shared" ca="1" si="36"/>
        <v>0.3118911558229337</v>
      </c>
      <c r="C821" s="1">
        <f t="shared" ca="1" si="37"/>
        <v>0.81946109935281497</v>
      </c>
      <c r="D821">
        <f t="shared" ca="1" si="38"/>
        <v>45320</v>
      </c>
    </row>
    <row r="822" spans="1:4" x14ac:dyDescent="0.35">
      <c r="A822" s="1">
        <f t="shared" ca="1" si="36"/>
        <v>7.7774173413137637E-3</v>
      </c>
      <c r="C822" s="1">
        <f t="shared" ca="1" si="37"/>
        <v>0.75241891317096532</v>
      </c>
      <c r="D822">
        <f t="shared" ca="1" si="38"/>
        <v>45320</v>
      </c>
    </row>
    <row r="823" spans="1:4" x14ac:dyDescent="0.35">
      <c r="A823" s="1">
        <f t="shared" ca="1" si="36"/>
        <v>0.30684938320667832</v>
      </c>
      <c r="C823" s="1">
        <f t="shared" ca="1" si="37"/>
        <v>0.8835982724630238</v>
      </c>
      <c r="D823">
        <f t="shared" ca="1" si="38"/>
        <v>45664</v>
      </c>
    </row>
    <row r="824" spans="1:4" x14ac:dyDescent="0.35">
      <c r="A824" s="1">
        <f t="shared" ca="1" si="36"/>
        <v>0.8461007261061595</v>
      </c>
      <c r="C824" s="1">
        <f t="shared" ca="1" si="37"/>
        <v>1.9917012282053226E-2</v>
      </c>
      <c r="D824">
        <f t="shared" ca="1" si="38"/>
        <v>45461</v>
      </c>
    </row>
    <row r="825" spans="1:4" x14ac:dyDescent="0.35">
      <c r="A825" s="1">
        <f t="shared" ca="1" si="36"/>
        <v>0.14630851850862681</v>
      </c>
      <c r="C825" s="1">
        <f t="shared" ca="1" si="37"/>
        <v>6.9661845667768119E-2</v>
      </c>
      <c r="D825">
        <f t="shared" ca="1" si="38"/>
        <v>45682</v>
      </c>
    </row>
    <row r="826" spans="1:4" x14ac:dyDescent="0.35">
      <c r="A826" s="1">
        <f t="shared" ca="1" si="36"/>
        <v>0.60646036994236674</v>
      </c>
      <c r="C826" s="1">
        <f t="shared" ca="1" si="37"/>
        <v>0.85048372501271341</v>
      </c>
      <c r="D826">
        <f t="shared" ca="1" si="38"/>
        <v>45521</v>
      </c>
    </row>
    <row r="827" spans="1:4" x14ac:dyDescent="0.35">
      <c r="A827" s="1">
        <f t="shared" ca="1" si="36"/>
        <v>0.84425883913137867</v>
      </c>
      <c r="C827" s="1">
        <f t="shared" ca="1" si="37"/>
        <v>0.6943348587470497</v>
      </c>
      <c r="D827">
        <f t="shared" ca="1" si="38"/>
        <v>45775</v>
      </c>
    </row>
    <row r="828" spans="1:4" x14ac:dyDescent="0.35">
      <c r="A828" s="1">
        <f t="shared" ca="1" si="36"/>
        <v>0.95108306226157635</v>
      </c>
      <c r="C828" s="1">
        <f t="shared" ca="1" si="37"/>
        <v>0.48045809942484796</v>
      </c>
      <c r="D828">
        <f t="shared" ca="1" si="38"/>
        <v>45748</v>
      </c>
    </row>
    <row r="829" spans="1:4" x14ac:dyDescent="0.35">
      <c r="A829" s="1">
        <f t="shared" ca="1" si="36"/>
        <v>0.72631875266341306</v>
      </c>
      <c r="C829" s="1">
        <f t="shared" ca="1" si="37"/>
        <v>0.30018718440414804</v>
      </c>
      <c r="D829">
        <f t="shared" ca="1" si="38"/>
        <v>45372</v>
      </c>
    </row>
    <row r="830" spans="1:4" x14ac:dyDescent="0.35">
      <c r="A830" s="1">
        <f t="shared" ca="1" si="36"/>
        <v>0.36069067056400528</v>
      </c>
      <c r="C830" s="1">
        <f t="shared" ca="1" si="37"/>
        <v>0.84522276963853094</v>
      </c>
      <c r="D830">
        <f t="shared" ca="1" si="38"/>
        <v>45499</v>
      </c>
    </row>
    <row r="831" spans="1:4" x14ac:dyDescent="0.35">
      <c r="A831" s="1">
        <f t="shared" ca="1" si="36"/>
        <v>0.14077484732707302</v>
      </c>
      <c r="C831" s="1">
        <f t="shared" ca="1" si="37"/>
        <v>0.71103882252212436</v>
      </c>
      <c r="D831">
        <f t="shared" ca="1" si="38"/>
        <v>45465</v>
      </c>
    </row>
    <row r="832" spans="1:4" x14ac:dyDescent="0.35">
      <c r="A832" s="1">
        <f t="shared" ca="1" si="36"/>
        <v>0.9716200742092167</v>
      </c>
      <c r="C832" s="1">
        <f t="shared" ca="1" si="37"/>
        <v>0.1591233026672999</v>
      </c>
      <c r="D832">
        <f t="shared" ca="1" si="38"/>
        <v>45410</v>
      </c>
    </row>
    <row r="833" spans="1:4" x14ac:dyDescent="0.35">
      <c r="A833" s="1">
        <f t="shared" ca="1" si="36"/>
        <v>0.72505126618272042</v>
      </c>
      <c r="C833" s="1">
        <f t="shared" ca="1" si="37"/>
        <v>0.6745943981076904</v>
      </c>
      <c r="D833">
        <f t="shared" ca="1" si="38"/>
        <v>45452</v>
      </c>
    </row>
    <row r="834" spans="1:4" x14ac:dyDescent="0.35">
      <c r="A834" s="1">
        <f t="shared" ca="1" si="36"/>
        <v>0.60007788094227399</v>
      </c>
      <c r="C834" s="1">
        <f t="shared" ca="1" si="37"/>
        <v>0.64917393021730907</v>
      </c>
      <c r="D834">
        <f t="shared" ca="1" si="38"/>
        <v>45612</v>
      </c>
    </row>
    <row r="835" spans="1:4" x14ac:dyDescent="0.35">
      <c r="A835" s="1">
        <f t="shared" ref="A835:A898" ca="1" si="39">RAND()</f>
        <v>0.41947900992485687</v>
      </c>
      <c r="C835" s="1">
        <f t="shared" ref="C835:C898" ca="1" si="40">RAND()</f>
        <v>0.1065963147843465</v>
      </c>
      <c r="D835">
        <f t="shared" ref="D835:D898" ca="1" si="41">RANDBETWEEN(45292,45838)</f>
        <v>45315</v>
      </c>
    </row>
    <row r="836" spans="1:4" x14ac:dyDescent="0.35">
      <c r="A836" s="1">
        <f t="shared" ca="1" si="39"/>
        <v>0.36064907336630181</v>
      </c>
      <c r="C836" s="1">
        <f t="shared" ca="1" si="40"/>
        <v>0.69791038813688266</v>
      </c>
      <c r="D836">
        <f t="shared" ca="1" si="41"/>
        <v>45639</v>
      </c>
    </row>
    <row r="837" spans="1:4" x14ac:dyDescent="0.35">
      <c r="A837" s="1">
        <f t="shared" ca="1" si="39"/>
        <v>9.0172268170875647E-2</v>
      </c>
      <c r="C837" s="1">
        <f t="shared" ca="1" si="40"/>
        <v>0.34475588303143345</v>
      </c>
      <c r="D837">
        <f t="shared" ca="1" si="41"/>
        <v>45340</v>
      </c>
    </row>
    <row r="838" spans="1:4" x14ac:dyDescent="0.35">
      <c r="A838" s="1">
        <f t="shared" ca="1" si="39"/>
        <v>0.66713175910395939</v>
      </c>
      <c r="C838" s="1">
        <f t="shared" ca="1" si="40"/>
        <v>0.51135128030047539</v>
      </c>
      <c r="D838">
        <f t="shared" ca="1" si="41"/>
        <v>45477</v>
      </c>
    </row>
    <row r="839" spans="1:4" x14ac:dyDescent="0.35">
      <c r="A839" s="1">
        <f t="shared" ca="1" si="39"/>
        <v>0.31624080250931186</v>
      </c>
      <c r="C839" s="1">
        <f t="shared" ca="1" si="40"/>
        <v>0.80469301460944243</v>
      </c>
      <c r="D839">
        <f t="shared" ca="1" si="41"/>
        <v>45448</v>
      </c>
    </row>
    <row r="840" spans="1:4" x14ac:dyDescent="0.35">
      <c r="A840" s="1">
        <f t="shared" ca="1" si="39"/>
        <v>0.94521267033148326</v>
      </c>
      <c r="C840" s="1">
        <f t="shared" ca="1" si="40"/>
        <v>0.17304307805698094</v>
      </c>
      <c r="D840">
        <f t="shared" ca="1" si="41"/>
        <v>45605</v>
      </c>
    </row>
    <row r="841" spans="1:4" x14ac:dyDescent="0.35">
      <c r="A841" s="1">
        <f t="shared" ca="1" si="39"/>
        <v>0.76739238183740077</v>
      </c>
      <c r="C841" s="1">
        <f t="shared" ca="1" si="40"/>
        <v>0.12002121239565744</v>
      </c>
      <c r="D841">
        <f t="shared" ca="1" si="41"/>
        <v>45684</v>
      </c>
    </row>
    <row r="842" spans="1:4" x14ac:dyDescent="0.35">
      <c r="A842" s="1">
        <f t="shared" ca="1" si="39"/>
        <v>0.18036316132114083</v>
      </c>
      <c r="C842" s="1">
        <f t="shared" ca="1" si="40"/>
        <v>0.78853858520654407</v>
      </c>
      <c r="D842">
        <f t="shared" ca="1" si="41"/>
        <v>45391</v>
      </c>
    </row>
    <row r="843" spans="1:4" x14ac:dyDescent="0.35">
      <c r="A843" s="1">
        <f t="shared" ca="1" si="39"/>
        <v>0.6525312530279348</v>
      </c>
      <c r="C843" s="1">
        <f t="shared" ca="1" si="40"/>
        <v>0.2489007345998856</v>
      </c>
      <c r="D843">
        <f t="shared" ca="1" si="41"/>
        <v>45467</v>
      </c>
    </row>
    <row r="844" spans="1:4" x14ac:dyDescent="0.35">
      <c r="A844" s="1">
        <f t="shared" ca="1" si="39"/>
        <v>0.70293339385038833</v>
      </c>
      <c r="C844" s="1">
        <f t="shared" ca="1" si="40"/>
        <v>0.12394725922972927</v>
      </c>
      <c r="D844">
        <f t="shared" ca="1" si="41"/>
        <v>45731</v>
      </c>
    </row>
    <row r="845" spans="1:4" x14ac:dyDescent="0.35">
      <c r="A845" s="1">
        <f t="shared" ca="1" si="39"/>
        <v>7.9319453418876029E-2</v>
      </c>
      <c r="C845" s="1">
        <f t="shared" ca="1" si="40"/>
        <v>0.94791958353075356</v>
      </c>
      <c r="D845">
        <f t="shared" ca="1" si="41"/>
        <v>45814</v>
      </c>
    </row>
    <row r="846" spans="1:4" x14ac:dyDescent="0.35">
      <c r="A846" s="1">
        <f t="shared" ca="1" si="39"/>
        <v>0.96861356211118776</v>
      </c>
      <c r="C846" s="1">
        <f t="shared" ca="1" si="40"/>
        <v>0.38948246558937538</v>
      </c>
      <c r="D846">
        <f t="shared" ca="1" si="41"/>
        <v>45811</v>
      </c>
    </row>
    <row r="847" spans="1:4" x14ac:dyDescent="0.35">
      <c r="A847" s="1">
        <f t="shared" ca="1" si="39"/>
        <v>8.7099433158487116E-2</v>
      </c>
      <c r="C847" s="1">
        <f t="shared" ca="1" si="40"/>
        <v>4.2789606155433035E-2</v>
      </c>
      <c r="D847">
        <f t="shared" ca="1" si="41"/>
        <v>45686</v>
      </c>
    </row>
    <row r="848" spans="1:4" x14ac:dyDescent="0.35">
      <c r="A848" s="1">
        <f t="shared" ca="1" si="39"/>
        <v>0.83064788007393875</v>
      </c>
      <c r="C848" s="1">
        <f t="shared" ca="1" si="40"/>
        <v>0.36519196278359201</v>
      </c>
      <c r="D848">
        <f t="shared" ca="1" si="41"/>
        <v>45519</v>
      </c>
    </row>
    <row r="849" spans="1:4" x14ac:dyDescent="0.35">
      <c r="A849" s="1">
        <f t="shared" ca="1" si="39"/>
        <v>0.93103572599707929</v>
      </c>
      <c r="C849" s="1">
        <f t="shared" ca="1" si="40"/>
        <v>0.76100436522826098</v>
      </c>
      <c r="D849">
        <f t="shared" ca="1" si="41"/>
        <v>45749</v>
      </c>
    </row>
    <row r="850" spans="1:4" x14ac:dyDescent="0.35">
      <c r="A850" s="1">
        <f t="shared" ca="1" si="39"/>
        <v>0.29853884274866338</v>
      </c>
      <c r="C850" s="1">
        <f t="shared" ca="1" si="40"/>
        <v>0.4322810668627366</v>
      </c>
      <c r="D850">
        <f t="shared" ca="1" si="41"/>
        <v>45296</v>
      </c>
    </row>
    <row r="851" spans="1:4" x14ac:dyDescent="0.35">
      <c r="A851" s="1">
        <f t="shared" ca="1" si="39"/>
        <v>0.84819612686237666</v>
      </c>
      <c r="C851" s="1">
        <f t="shared" ca="1" si="40"/>
        <v>0.72575890734181003</v>
      </c>
      <c r="D851">
        <f t="shared" ca="1" si="41"/>
        <v>45524</v>
      </c>
    </row>
    <row r="852" spans="1:4" x14ac:dyDescent="0.35">
      <c r="A852" s="1">
        <f t="shared" ca="1" si="39"/>
        <v>0.75598117393461839</v>
      </c>
      <c r="C852" s="1">
        <f t="shared" ca="1" si="40"/>
        <v>0.5363137781342654</v>
      </c>
      <c r="D852">
        <f t="shared" ca="1" si="41"/>
        <v>45792</v>
      </c>
    </row>
    <row r="853" spans="1:4" x14ac:dyDescent="0.35">
      <c r="A853" s="1">
        <f t="shared" ca="1" si="39"/>
        <v>0.30671730975346878</v>
      </c>
      <c r="C853" s="1">
        <f t="shared" ca="1" si="40"/>
        <v>0.10663119790029352</v>
      </c>
      <c r="D853">
        <f t="shared" ca="1" si="41"/>
        <v>45809</v>
      </c>
    </row>
    <row r="854" spans="1:4" x14ac:dyDescent="0.35">
      <c r="A854" s="1">
        <f t="shared" ca="1" si="39"/>
        <v>0.8387977400512725</v>
      </c>
      <c r="C854" s="1">
        <f t="shared" ca="1" si="40"/>
        <v>0.82971356408125818</v>
      </c>
      <c r="D854">
        <f t="shared" ca="1" si="41"/>
        <v>45821</v>
      </c>
    </row>
    <row r="855" spans="1:4" x14ac:dyDescent="0.35">
      <c r="A855" s="1">
        <f t="shared" ca="1" si="39"/>
        <v>0.7617146975831447</v>
      </c>
      <c r="C855" s="1">
        <f t="shared" ca="1" si="40"/>
        <v>0.57073693871431097</v>
      </c>
      <c r="D855">
        <f t="shared" ca="1" si="41"/>
        <v>45309</v>
      </c>
    </row>
    <row r="856" spans="1:4" x14ac:dyDescent="0.35">
      <c r="A856" s="1">
        <f t="shared" ca="1" si="39"/>
        <v>0.86508071139885179</v>
      </c>
      <c r="C856" s="1">
        <f t="shared" ca="1" si="40"/>
        <v>0.71915540194538197</v>
      </c>
      <c r="D856">
        <f t="shared" ca="1" si="41"/>
        <v>45659</v>
      </c>
    </row>
    <row r="857" spans="1:4" x14ac:dyDescent="0.35">
      <c r="A857" s="1">
        <f t="shared" ca="1" si="39"/>
        <v>0.88193103601064071</v>
      </c>
      <c r="C857" s="1">
        <f t="shared" ca="1" si="40"/>
        <v>0.54874434838510433</v>
      </c>
      <c r="D857">
        <f t="shared" ca="1" si="41"/>
        <v>45724</v>
      </c>
    </row>
    <row r="858" spans="1:4" x14ac:dyDescent="0.35">
      <c r="A858" s="1">
        <f t="shared" ca="1" si="39"/>
        <v>0.19688538458341831</v>
      </c>
      <c r="C858" s="1">
        <f t="shared" ca="1" si="40"/>
        <v>0.28233979716499757</v>
      </c>
      <c r="D858">
        <f t="shared" ca="1" si="41"/>
        <v>45683</v>
      </c>
    </row>
    <row r="859" spans="1:4" x14ac:dyDescent="0.35">
      <c r="A859" s="1">
        <f t="shared" ca="1" si="39"/>
        <v>0.16575546576018407</v>
      </c>
      <c r="C859" s="1">
        <f t="shared" ca="1" si="40"/>
        <v>0.86474545459431296</v>
      </c>
      <c r="D859">
        <f t="shared" ca="1" si="41"/>
        <v>45805</v>
      </c>
    </row>
    <row r="860" spans="1:4" x14ac:dyDescent="0.35">
      <c r="A860" s="1">
        <f t="shared" ca="1" si="39"/>
        <v>0.94480168538212739</v>
      </c>
      <c r="C860" s="1">
        <f t="shared" ca="1" si="40"/>
        <v>0.95283446090312329</v>
      </c>
      <c r="D860">
        <f t="shared" ca="1" si="41"/>
        <v>45629</v>
      </c>
    </row>
    <row r="861" spans="1:4" x14ac:dyDescent="0.35">
      <c r="A861" s="1">
        <f t="shared" ca="1" si="39"/>
        <v>0.57734000940779595</v>
      </c>
      <c r="C861" s="1">
        <f t="shared" ca="1" si="40"/>
        <v>0.61649169402326953</v>
      </c>
      <c r="D861">
        <f t="shared" ca="1" si="41"/>
        <v>45782</v>
      </c>
    </row>
    <row r="862" spans="1:4" x14ac:dyDescent="0.35">
      <c r="A862" s="1">
        <f t="shared" ca="1" si="39"/>
        <v>0.9264253566094991</v>
      </c>
      <c r="C862" s="1">
        <f t="shared" ca="1" si="40"/>
        <v>0.44283159557016483</v>
      </c>
      <c r="D862">
        <f t="shared" ca="1" si="41"/>
        <v>45822</v>
      </c>
    </row>
    <row r="863" spans="1:4" x14ac:dyDescent="0.35">
      <c r="A863" s="1">
        <f t="shared" ca="1" si="39"/>
        <v>0.66276007260048908</v>
      </c>
      <c r="C863" s="1">
        <f t="shared" ca="1" si="40"/>
        <v>0.87662723943515075</v>
      </c>
      <c r="D863">
        <f t="shared" ca="1" si="41"/>
        <v>45662</v>
      </c>
    </row>
    <row r="864" spans="1:4" x14ac:dyDescent="0.35">
      <c r="A864" s="1">
        <f t="shared" ca="1" si="39"/>
        <v>0.29658619411327203</v>
      </c>
      <c r="C864" s="1">
        <f t="shared" ca="1" si="40"/>
        <v>0.13660074077437623</v>
      </c>
      <c r="D864">
        <f t="shared" ca="1" si="41"/>
        <v>45607</v>
      </c>
    </row>
    <row r="865" spans="1:4" x14ac:dyDescent="0.35">
      <c r="A865" s="1">
        <f t="shared" ca="1" si="39"/>
        <v>0.84497977555979131</v>
      </c>
      <c r="C865" s="1">
        <f t="shared" ca="1" si="40"/>
        <v>0.20788628390968045</v>
      </c>
      <c r="D865">
        <f t="shared" ca="1" si="41"/>
        <v>45437</v>
      </c>
    </row>
    <row r="866" spans="1:4" x14ac:dyDescent="0.35">
      <c r="A866" s="1">
        <f t="shared" ca="1" si="39"/>
        <v>0.68733021174523734</v>
      </c>
      <c r="C866" s="1">
        <f t="shared" ca="1" si="40"/>
        <v>0.20693779957444869</v>
      </c>
      <c r="D866">
        <f t="shared" ca="1" si="41"/>
        <v>45792</v>
      </c>
    </row>
    <row r="867" spans="1:4" x14ac:dyDescent="0.35">
      <c r="A867" s="1">
        <f t="shared" ca="1" si="39"/>
        <v>0.59099861324935565</v>
      </c>
      <c r="C867" s="1">
        <f t="shared" ca="1" si="40"/>
        <v>0.8220407135392116</v>
      </c>
      <c r="D867">
        <f t="shared" ca="1" si="41"/>
        <v>45310</v>
      </c>
    </row>
    <row r="868" spans="1:4" x14ac:dyDescent="0.35">
      <c r="A868" s="1">
        <f t="shared" ca="1" si="39"/>
        <v>0.53667282388739324</v>
      </c>
      <c r="C868" s="1">
        <f t="shared" ca="1" si="40"/>
        <v>1.2358397333878113E-4</v>
      </c>
      <c r="D868">
        <f t="shared" ca="1" si="41"/>
        <v>45397</v>
      </c>
    </row>
    <row r="869" spans="1:4" x14ac:dyDescent="0.35">
      <c r="A869" s="1">
        <f t="shared" ca="1" si="39"/>
        <v>0.76259411579728786</v>
      </c>
      <c r="C869" s="1">
        <f t="shared" ca="1" si="40"/>
        <v>0.39703407658131729</v>
      </c>
      <c r="D869">
        <f t="shared" ca="1" si="41"/>
        <v>45447</v>
      </c>
    </row>
    <row r="870" spans="1:4" x14ac:dyDescent="0.35">
      <c r="A870" s="1">
        <f t="shared" ca="1" si="39"/>
        <v>0.78257756922373067</v>
      </c>
      <c r="C870" s="1">
        <f t="shared" ca="1" si="40"/>
        <v>2.7671510199573923E-2</v>
      </c>
      <c r="D870">
        <f t="shared" ca="1" si="41"/>
        <v>45377</v>
      </c>
    </row>
    <row r="871" spans="1:4" x14ac:dyDescent="0.35">
      <c r="A871" s="1">
        <f t="shared" ca="1" si="39"/>
        <v>0.84544187187815534</v>
      </c>
      <c r="C871" s="1">
        <f t="shared" ca="1" si="40"/>
        <v>0.84894064447434336</v>
      </c>
      <c r="D871">
        <f t="shared" ca="1" si="41"/>
        <v>45738</v>
      </c>
    </row>
    <row r="872" spans="1:4" x14ac:dyDescent="0.35">
      <c r="A872" s="1">
        <f t="shared" ca="1" si="39"/>
        <v>0.78892333622405253</v>
      </c>
      <c r="C872" s="1">
        <f t="shared" ca="1" si="40"/>
        <v>0.47842010106903399</v>
      </c>
      <c r="D872">
        <f t="shared" ca="1" si="41"/>
        <v>45793</v>
      </c>
    </row>
    <row r="873" spans="1:4" x14ac:dyDescent="0.35">
      <c r="A873" s="1">
        <f t="shared" ca="1" si="39"/>
        <v>0.81999336849080662</v>
      </c>
      <c r="C873" s="1">
        <f t="shared" ca="1" si="40"/>
        <v>0.23449762765055537</v>
      </c>
      <c r="D873">
        <f t="shared" ca="1" si="41"/>
        <v>45777</v>
      </c>
    </row>
    <row r="874" spans="1:4" x14ac:dyDescent="0.35">
      <c r="A874" s="1">
        <f t="shared" ca="1" si="39"/>
        <v>0.11072109652254669</v>
      </c>
      <c r="C874" s="1">
        <f t="shared" ca="1" si="40"/>
        <v>0.93082793538987407</v>
      </c>
      <c r="D874">
        <f t="shared" ca="1" si="41"/>
        <v>45428</v>
      </c>
    </row>
    <row r="875" spans="1:4" x14ac:dyDescent="0.35">
      <c r="A875" s="1">
        <f t="shared" ca="1" si="39"/>
        <v>0.9109219416638592</v>
      </c>
      <c r="C875" s="1">
        <f t="shared" ca="1" si="40"/>
        <v>0.54909059808904626</v>
      </c>
      <c r="D875">
        <f t="shared" ca="1" si="41"/>
        <v>45405</v>
      </c>
    </row>
    <row r="876" spans="1:4" x14ac:dyDescent="0.35">
      <c r="A876" s="1">
        <f t="shared" ca="1" si="39"/>
        <v>0.41381785335937304</v>
      </c>
      <c r="C876" s="1">
        <f t="shared" ca="1" si="40"/>
        <v>0.69686042080702981</v>
      </c>
      <c r="D876">
        <f t="shared" ca="1" si="41"/>
        <v>45716</v>
      </c>
    </row>
    <row r="877" spans="1:4" x14ac:dyDescent="0.35">
      <c r="A877" s="1">
        <f t="shared" ca="1" si="39"/>
        <v>6.3116386977717487E-2</v>
      </c>
      <c r="C877" s="1">
        <f t="shared" ca="1" si="40"/>
        <v>0.90349305554831882</v>
      </c>
      <c r="D877">
        <f t="shared" ca="1" si="41"/>
        <v>45379</v>
      </c>
    </row>
    <row r="878" spans="1:4" x14ac:dyDescent="0.35">
      <c r="A878" s="1">
        <f t="shared" ca="1" si="39"/>
        <v>0.7100327903295609</v>
      </c>
      <c r="C878" s="1">
        <f t="shared" ca="1" si="40"/>
        <v>0.95375284587309195</v>
      </c>
      <c r="D878">
        <f t="shared" ca="1" si="41"/>
        <v>45632</v>
      </c>
    </row>
    <row r="879" spans="1:4" x14ac:dyDescent="0.35">
      <c r="A879" s="1">
        <f t="shared" ca="1" si="39"/>
        <v>0.27854333496534567</v>
      </c>
      <c r="C879" s="1">
        <f t="shared" ca="1" si="40"/>
        <v>7.0027826637988788E-2</v>
      </c>
      <c r="D879">
        <f t="shared" ca="1" si="41"/>
        <v>45611</v>
      </c>
    </row>
    <row r="880" spans="1:4" x14ac:dyDescent="0.35">
      <c r="A880" s="1">
        <f t="shared" ca="1" si="39"/>
        <v>0.95967326106671058</v>
      </c>
      <c r="C880" s="1">
        <f t="shared" ca="1" si="40"/>
        <v>8.6248108174883376E-3</v>
      </c>
      <c r="D880">
        <f t="shared" ca="1" si="41"/>
        <v>45608</v>
      </c>
    </row>
    <row r="881" spans="1:4" x14ac:dyDescent="0.35">
      <c r="A881" s="1">
        <f t="shared" ca="1" si="39"/>
        <v>0.1637337181102877</v>
      </c>
      <c r="C881" s="1">
        <f t="shared" ca="1" si="40"/>
        <v>0.72968586149758585</v>
      </c>
      <c r="D881">
        <f t="shared" ca="1" si="41"/>
        <v>45732</v>
      </c>
    </row>
    <row r="882" spans="1:4" x14ac:dyDescent="0.35">
      <c r="A882" s="1">
        <f t="shared" ca="1" si="39"/>
        <v>0.20900514772970047</v>
      </c>
      <c r="C882" s="1">
        <f t="shared" ca="1" si="40"/>
        <v>0.6841192570306166</v>
      </c>
      <c r="D882">
        <f t="shared" ca="1" si="41"/>
        <v>45835</v>
      </c>
    </row>
    <row r="883" spans="1:4" x14ac:dyDescent="0.35">
      <c r="A883" s="1">
        <f t="shared" ca="1" si="39"/>
        <v>0.77931809399819818</v>
      </c>
      <c r="C883" s="1">
        <f t="shared" ca="1" si="40"/>
        <v>0.28558424598951715</v>
      </c>
      <c r="D883">
        <f t="shared" ca="1" si="41"/>
        <v>45762</v>
      </c>
    </row>
    <row r="884" spans="1:4" x14ac:dyDescent="0.35">
      <c r="A884" s="1">
        <f t="shared" ca="1" si="39"/>
        <v>0.89376587841867627</v>
      </c>
      <c r="C884" s="1">
        <f t="shared" ca="1" si="40"/>
        <v>0.71903741382686759</v>
      </c>
      <c r="D884">
        <f t="shared" ca="1" si="41"/>
        <v>45449</v>
      </c>
    </row>
    <row r="885" spans="1:4" x14ac:dyDescent="0.35">
      <c r="A885" s="1">
        <f t="shared" ca="1" si="39"/>
        <v>0.8409983836424233</v>
      </c>
      <c r="C885" s="1">
        <f t="shared" ca="1" si="40"/>
        <v>0.36704730224246718</v>
      </c>
      <c r="D885">
        <f t="shared" ca="1" si="41"/>
        <v>45567</v>
      </c>
    </row>
    <row r="886" spans="1:4" x14ac:dyDescent="0.35">
      <c r="A886" s="1">
        <f t="shared" ca="1" si="39"/>
        <v>0.48200450665125694</v>
      </c>
      <c r="C886" s="1">
        <f t="shared" ca="1" si="40"/>
        <v>6.6977958231281276E-3</v>
      </c>
      <c r="D886">
        <f t="shared" ca="1" si="41"/>
        <v>45648</v>
      </c>
    </row>
    <row r="887" spans="1:4" x14ac:dyDescent="0.35">
      <c r="A887" s="1">
        <f t="shared" ca="1" si="39"/>
        <v>0.76163379318658286</v>
      </c>
      <c r="C887" s="1">
        <f t="shared" ca="1" si="40"/>
        <v>0.94465716026120716</v>
      </c>
      <c r="D887">
        <f t="shared" ca="1" si="41"/>
        <v>45364</v>
      </c>
    </row>
    <row r="888" spans="1:4" x14ac:dyDescent="0.35">
      <c r="A888" s="1">
        <f t="shared" ca="1" si="39"/>
        <v>0.9467849304558823</v>
      </c>
      <c r="C888" s="1">
        <f t="shared" ca="1" si="40"/>
        <v>0.20189585333500759</v>
      </c>
      <c r="D888">
        <f t="shared" ca="1" si="41"/>
        <v>45534</v>
      </c>
    </row>
    <row r="889" spans="1:4" x14ac:dyDescent="0.35">
      <c r="A889" s="1">
        <f t="shared" ca="1" si="39"/>
        <v>0.98144573809321367</v>
      </c>
      <c r="C889" s="1">
        <f t="shared" ca="1" si="40"/>
        <v>0.6653003470629224</v>
      </c>
      <c r="D889">
        <f t="shared" ca="1" si="41"/>
        <v>45302</v>
      </c>
    </row>
    <row r="890" spans="1:4" x14ac:dyDescent="0.35">
      <c r="A890" s="1">
        <f t="shared" ca="1" si="39"/>
        <v>0.72583343532861477</v>
      </c>
      <c r="C890" s="1">
        <f t="shared" ca="1" si="40"/>
        <v>0.16542214399613087</v>
      </c>
      <c r="D890">
        <f t="shared" ca="1" si="41"/>
        <v>45408</v>
      </c>
    </row>
    <row r="891" spans="1:4" x14ac:dyDescent="0.35">
      <c r="A891" s="1">
        <f t="shared" ca="1" si="39"/>
        <v>0.56859743018757236</v>
      </c>
      <c r="C891" s="1">
        <f t="shared" ca="1" si="40"/>
        <v>0.88859914606648593</v>
      </c>
      <c r="D891">
        <f t="shared" ca="1" si="41"/>
        <v>45759</v>
      </c>
    </row>
    <row r="892" spans="1:4" x14ac:dyDescent="0.35">
      <c r="A892" s="1">
        <f t="shared" ca="1" si="39"/>
        <v>0.12145248316785773</v>
      </c>
      <c r="C892" s="1">
        <f t="shared" ca="1" si="40"/>
        <v>0.81810629717393224</v>
      </c>
      <c r="D892">
        <f t="shared" ca="1" si="41"/>
        <v>45768</v>
      </c>
    </row>
    <row r="893" spans="1:4" x14ac:dyDescent="0.35">
      <c r="A893" s="1">
        <f t="shared" ca="1" si="39"/>
        <v>0.56134550112946635</v>
      </c>
      <c r="C893" s="1">
        <f t="shared" ca="1" si="40"/>
        <v>0.85825527979764427</v>
      </c>
      <c r="D893">
        <f t="shared" ca="1" si="41"/>
        <v>45542</v>
      </c>
    </row>
    <row r="894" spans="1:4" x14ac:dyDescent="0.35">
      <c r="A894" s="1">
        <f t="shared" ca="1" si="39"/>
        <v>0.49788796178292072</v>
      </c>
      <c r="C894" s="1">
        <f t="shared" ca="1" si="40"/>
        <v>0.39638237013344324</v>
      </c>
      <c r="D894">
        <f t="shared" ca="1" si="41"/>
        <v>45738</v>
      </c>
    </row>
    <row r="895" spans="1:4" x14ac:dyDescent="0.35">
      <c r="A895" s="1">
        <f t="shared" ca="1" si="39"/>
        <v>0.52873010897899586</v>
      </c>
      <c r="C895" s="1">
        <f t="shared" ca="1" si="40"/>
        <v>0.6599828606801621</v>
      </c>
      <c r="D895">
        <f t="shared" ca="1" si="41"/>
        <v>45682</v>
      </c>
    </row>
    <row r="896" spans="1:4" x14ac:dyDescent="0.35">
      <c r="A896" s="1">
        <f t="shared" ca="1" si="39"/>
        <v>0.37799194986247875</v>
      </c>
      <c r="C896" s="1">
        <f t="shared" ca="1" si="40"/>
        <v>6.2693528679419019E-2</v>
      </c>
      <c r="D896">
        <f t="shared" ca="1" si="41"/>
        <v>45826</v>
      </c>
    </row>
    <row r="897" spans="1:4" x14ac:dyDescent="0.35">
      <c r="A897" s="1">
        <f t="shared" ca="1" si="39"/>
        <v>0.67102798948601361</v>
      </c>
      <c r="C897" s="1">
        <f t="shared" ca="1" si="40"/>
        <v>0.28629096686639832</v>
      </c>
      <c r="D897">
        <f t="shared" ca="1" si="41"/>
        <v>45296</v>
      </c>
    </row>
    <row r="898" spans="1:4" x14ac:dyDescent="0.35">
      <c r="A898" s="1">
        <f t="shared" ca="1" si="39"/>
        <v>7.3732512829987384E-2</v>
      </c>
      <c r="C898" s="1">
        <f t="shared" ca="1" si="40"/>
        <v>0.33747426997968211</v>
      </c>
      <c r="D898">
        <f t="shared" ca="1" si="41"/>
        <v>45449</v>
      </c>
    </row>
    <row r="899" spans="1:4" x14ac:dyDescent="0.35">
      <c r="A899" s="1">
        <f t="shared" ref="A899:A962" ca="1" si="42">RAND()</f>
        <v>0.75251531060519083</v>
      </c>
      <c r="C899" s="1">
        <f t="shared" ref="C899:C962" ca="1" si="43">RAND()</f>
        <v>0.65898490615842709</v>
      </c>
      <c r="D899">
        <f t="shared" ref="D899:D962" ca="1" si="44">RANDBETWEEN(45292,45838)</f>
        <v>45784</v>
      </c>
    </row>
    <row r="900" spans="1:4" x14ac:dyDescent="0.35">
      <c r="A900" s="1">
        <f t="shared" ca="1" si="42"/>
        <v>0.49328189868740702</v>
      </c>
      <c r="C900" s="1">
        <f t="shared" ca="1" si="43"/>
        <v>2.4254858379282318E-2</v>
      </c>
      <c r="D900">
        <f t="shared" ca="1" si="44"/>
        <v>45322</v>
      </c>
    </row>
    <row r="901" spans="1:4" x14ac:dyDescent="0.35">
      <c r="A901" s="1">
        <f t="shared" ca="1" si="42"/>
        <v>0.27337971138973782</v>
      </c>
      <c r="C901" s="1">
        <f t="shared" ca="1" si="43"/>
        <v>0.61589299471716474</v>
      </c>
      <c r="D901">
        <f t="shared" ca="1" si="44"/>
        <v>45431</v>
      </c>
    </row>
    <row r="902" spans="1:4" x14ac:dyDescent="0.35">
      <c r="A902" s="1">
        <f t="shared" ca="1" si="42"/>
        <v>0.558853207808511</v>
      </c>
      <c r="C902" s="1">
        <f t="shared" ca="1" si="43"/>
        <v>0.44473767464538194</v>
      </c>
      <c r="D902">
        <f t="shared" ca="1" si="44"/>
        <v>45541</v>
      </c>
    </row>
    <row r="903" spans="1:4" x14ac:dyDescent="0.35">
      <c r="A903" s="1">
        <f t="shared" ca="1" si="42"/>
        <v>0.32804548651239906</v>
      </c>
      <c r="C903" s="1">
        <f t="shared" ca="1" si="43"/>
        <v>0.52240590957742317</v>
      </c>
      <c r="D903">
        <f t="shared" ca="1" si="44"/>
        <v>45714</v>
      </c>
    </row>
    <row r="904" spans="1:4" x14ac:dyDescent="0.35">
      <c r="A904" s="1">
        <f t="shared" ca="1" si="42"/>
        <v>0.56152774753455337</v>
      </c>
      <c r="C904" s="1">
        <f t="shared" ca="1" si="43"/>
        <v>0.61318004467491916</v>
      </c>
      <c r="D904">
        <f t="shared" ca="1" si="44"/>
        <v>45738</v>
      </c>
    </row>
    <row r="905" spans="1:4" x14ac:dyDescent="0.35">
      <c r="A905" s="1">
        <f t="shared" ca="1" si="42"/>
        <v>0.90476325503525157</v>
      </c>
      <c r="C905" s="1">
        <f t="shared" ca="1" si="43"/>
        <v>0.1994002728036075</v>
      </c>
      <c r="D905">
        <f t="shared" ca="1" si="44"/>
        <v>45416</v>
      </c>
    </row>
    <row r="906" spans="1:4" x14ac:dyDescent="0.35">
      <c r="A906" s="1">
        <f t="shared" ca="1" si="42"/>
        <v>0.45400207351577204</v>
      </c>
      <c r="C906" s="1">
        <f t="shared" ca="1" si="43"/>
        <v>0.21193129602995209</v>
      </c>
      <c r="D906">
        <f t="shared" ca="1" si="44"/>
        <v>45456</v>
      </c>
    </row>
    <row r="907" spans="1:4" x14ac:dyDescent="0.35">
      <c r="A907" s="1">
        <f t="shared" ca="1" si="42"/>
        <v>0.55168657797377008</v>
      </c>
      <c r="C907" s="1">
        <f t="shared" ca="1" si="43"/>
        <v>0.11613126175902933</v>
      </c>
      <c r="D907">
        <f t="shared" ca="1" si="44"/>
        <v>45495</v>
      </c>
    </row>
    <row r="908" spans="1:4" x14ac:dyDescent="0.35">
      <c r="A908" s="1">
        <f t="shared" ca="1" si="42"/>
        <v>0.26839948129245761</v>
      </c>
      <c r="C908" s="1">
        <f t="shared" ca="1" si="43"/>
        <v>0.47917424400466424</v>
      </c>
      <c r="D908">
        <f t="shared" ca="1" si="44"/>
        <v>45337</v>
      </c>
    </row>
    <row r="909" spans="1:4" x14ac:dyDescent="0.35">
      <c r="A909" s="1">
        <f t="shared" ca="1" si="42"/>
        <v>0.30334416490118166</v>
      </c>
      <c r="C909" s="1">
        <f t="shared" ca="1" si="43"/>
        <v>0.23277363224308867</v>
      </c>
      <c r="D909">
        <f t="shared" ca="1" si="44"/>
        <v>45765</v>
      </c>
    </row>
    <row r="910" spans="1:4" x14ac:dyDescent="0.35">
      <c r="A910" s="1">
        <f t="shared" ca="1" si="42"/>
        <v>0.33124225442927102</v>
      </c>
      <c r="C910" s="1">
        <f t="shared" ca="1" si="43"/>
        <v>0.738790156801308</v>
      </c>
      <c r="D910">
        <f t="shared" ca="1" si="44"/>
        <v>45563</v>
      </c>
    </row>
    <row r="911" spans="1:4" x14ac:dyDescent="0.35">
      <c r="A911" s="1">
        <f t="shared" ca="1" si="42"/>
        <v>0.27071762696206392</v>
      </c>
      <c r="C911" s="1">
        <f t="shared" ca="1" si="43"/>
        <v>0.24862652230346227</v>
      </c>
      <c r="D911">
        <f t="shared" ca="1" si="44"/>
        <v>45551</v>
      </c>
    </row>
    <row r="912" spans="1:4" x14ac:dyDescent="0.35">
      <c r="A912" s="1">
        <f t="shared" ca="1" si="42"/>
        <v>0.59908894259082046</v>
      </c>
      <c r="C912" s="1">
        <f t="shared" ca="1" si="43"/>
        <v>0.45188692423313448</v>
      </c>
      <c r="D912">
        <f t="shared" ca="1" si="44"/>
        <v>45764</v>
      </c>
    </row>
    <row r="913" spans="1:4" x14ac:dyDescent="0.35">
      <c r="A913" s="1">
        <f t="shared" ca="1" si="42"/>
        <v>0.60765058882291534</v>
      </c>
      <c r="C913" s="1">
        <f t="shared" ca="1" si="43"/>
        <v>0.97425428307182749</v>
      </c>
      <c r="D913">
        <f t="shared" ca="1" si="44"/>
        <v>45430</v>
      </c>
    </row>
    <row r="914" spans="1:4" x14ac:dyDescent="0.35">
      <c r="A914" s="1">
        <f t="shared" ca="1" si="42"/>
        <v>0.45310646123832798</v>
      </c>
      <c r="C914" s="1">
        <f t="shared" ca="1" si="43"/>
        <v>0.91331344984422103</v>
      </c>
      <c r="D914">
        <f t="shared" ca="1" si="44"/>
        <v>45821</v>
      </c>
    </row>
    <row r="915" spans="1:4" x14ac:dyDescent="0.35">
      <c r="A915" s="1">
        <f t="shared" ca="1" si="42"/>
        <v>0.96272364275428035</v>
      </c>
      <c r="C915" s="1">
        <f t="shared" ca="1" si="43"/>
        <v>0.89295276889841091</v>
      </c>
      <c r="D915">
        <f t="shared" ca="1" si="44"/>
        <v>45630</v>
      </c>
    </row>
    <row r="916" spans="1:4" x14ac:dyDescent="0.35">
      <c r="A916" s="1">
        <f t="shared" ca="1" si="42"/>
        <v>0.47265467812391637</v>
      </c>
      <c r="C916" s="1">
        <f t="shared" ca="1" si="43"/>
        <v>4.0929229603382855E-2</v>
      </c>
      <c r="D916">
        <f t="shared" ca="1" si="44"/>
        <v>45360</v>
      </c>
    </row>
    <row r="917" spans="1:4" x14ac:dyDescent="0.35">
      <c r="A917" s="1">
        <f t="shared" ca="1" si="42"/>
        <v>0.55979490021253786</v>
      </c>
      <c r="C917" s="1">
        <f t="shared" ca="1" si="43"/>
        <v>0.18540641326917628</v>
      </c>
      <c r="D917">
        <f t="shared" ca="1" si="44"/>
        <v>45313</v>
      </c>
    </row>
    <row r="918" spans="1:4" x14ac:dyDescent="0.35">
      <c r="A918" s="1">
        <f t="shared" ca="1" si="42"/>
        <v>0.81539336117272532</v>
      </c>
      <c r="C918" s="1">
        <f t="shared" ca="1" si="43"/>
        <v>0.19780629010985507</v>
      </c>
      <c r="D918">
        <f t="shared" ca="1" si="44"/>
        <v>45740</v>
      </c>
    </row>
    <row r="919" spans="1:4" x14ac:dyDescent="0.35">
      <c r="A919" s="1">
        <f t="shared" ca="1" si="42"/>
        <v>0.64700011169954763</v>
      </c>
      <c r="C919" s="1">
        <f t="shared" ca="1" si="43"/>
        <v>0.27155701255746756</v>
      </c>
      <c r="D919">
        <f t="shared" ca="1" si="44"/>
        <v>45815</v>
      </c>
    </row>
    <row r="920" spans="1:4" x14ac:dyDescent="0.35">
      <c r="A920" s="1">
        <f t="shared" ca="1" si="42"/>
        <v>7.9266453717324881E-2</v>
      </c>
      <c r="C920" s="1">
        <f t="shared" ca="1" si="43"/>
        <v>0.89063457665317669</v>
      </c>
      <c r="D920">
        <f t="shared" ca="1" si="44"/>
        <v>45560</v>
      </c>
    </row>
    <row r="921" spans="1:4" x14ac:dyDescent="0.35">
      <c r="A921" s="1">
        <f t="shared" ca="1" si="42"/>
        <v>0.85583013754366111</v>
      </c>
      <c r="C921" s="1">
        <f t="shared" ca="1" si="43"/>
        <v>8.298731789677205E-2</v>
      </c>
      <c r="D921">
        <f t="shared" ca="1" si="44"/>
        <v>45293</v>
      </c>
    </row>
    <row r="922" spans="1:4" x14ac:dyDescent="0.35">
      <c r="A922" s="1">
        <f t="shared" ca="1" si="42"/>
        <v>0.76332553407935677</v>
      </c>
      <c r="C922" s="1">
        <f t="shared" ca="1" si="43"/>
        <v>0.47615315265808844</v>
      </c>
      <c r="D922">
        <f t="shared" ca="1" si="44"/>
        <v>45468</v>
      </c>
    </row>
    <row r="923" spans="1:4" x14ac:dyDescent="0.35">
      <c r="A923" s="1">
        <f t="shared" ca="1" si="42"/>
        <v>0.22139414282432091</v>
      </c>
      <c r="C923" s="1">
        <f t="shared" ca="1" si="43"/>
        <v>0.90916787072369765</v>
      </c>
      <c r="D923">
        <f t="shared" ca="1" si="44"/>
        <v>45631</v>
      </c>
    </row>
    <row r="924" spans="1:4" x14ac:dyDescent="0.35">
      <c r="A924" s="1">
        <f t="shared" ca="1" si="42"/>
        <v>0.35093208466717873</v>
      </c>
      <c r="C924" s="1">
        <f t="shared" ca="1" si="43"/>
        <v>0.43698475174464158</v>
      </c>
      <c r="D924">
        <f t="shared" ca="1" si="44"/>
        <v>45617</v>
      </c>
    </row>
    <row r="925" spans="1:4" x14ac:dyDescent="0.35">
      <c r="A925" s="1">
        <f t="shared" ca="1" si="42"/>
        <v>0.96503149531109</v>
      </c>
      <c r="C925" s="1">
        <f t="shared" ca="1" si="43"/>
        <v>0.9721114668957741</v>
      </c>
      <c r="D925">
        <f t="shared" ca="1" si="44"/>
        <v>45782</v>
      </c>
    </row>
    <row r="926" spans="1:4" x14ac:dyDescent="0.35">
      <c r="A926" s="1">
        <f t="shared" ca="1" si="42"/>
        <v>0.11460066539121927</v>
      </c>
      <c r="C926" s="1">
        <f t="shared" ca="1" si="43"/>
        <v>0.37933908766035385</v>
      </c>
      <c r="D926">
        <f t="shared" ca="1" si="44"/>
        <v>45683</v>
      </c>
    </row>
    <row r="927" spans="1:4" x14ac:dyDescent="0.35">
      <c r="A927" s="1">
        <f t="shared" ca="1" si="42"/>
        <v>0.63599772424902712</v>
      </c>
      <c r="C927" s="1">
        <f t="shared" ca="1" si="43"/>
        <v>0.24733984784226881</v>
      </c>
      <c r="D927">
        <f t="shared" ca="1" si="44"/>
        <v>45513</v>
      </c>
    </row>
    <row r="928" spans="1:4" x14ac:dyDescent="0.35">
      <c r="A928" s="1">
        <f t="shared" ca="1" si="42"/>
        <v>0.15780053587299714</v>
      </c>
      <c r="C928" s="1">
        <f t="shared" ca="1" si="43"/>
        <v>3.5445652991947796E-3</v>
      </c>
      <c r="D928">
        <f t="shared" ca="1" si="44"/>
        <v>45821</v>
      </c>
    </row>
    <row r="929" spans="1:4" x14ac:dyDescent="0.35">
      <c r="A929" s="1">
        <f t="shared" ca="1" si="42"/>
        <v>5.4196221726274807E-2</v>
      </c>
      <c r="C929" s="1">
        <f t="shared" ca="1" si="43"/>
        <v>0.95888700868525267</v>
      </c>
      <c r="D929">
        <f t="shared" ca="1" si="44"/>
        <v>45531</v>
      </c>
    </row>
    <row r="930" spans="1:4" x14ac:dyDescent="0.35">
      <c r="A930" s="1">
        <f t="shared" ca="1" si="42"/>
        <v>0.19725745608228651</v>
      </c>
      <c r="C930" s="1">
        <f t="shared" ca="1" si="43"/>
        <v>0.1288159224064932</v>
      </c>
      <c r="D930">
        <f t="shared" ca="1" si="44"/>
        <v>45770</v>
      </c>
    </row>
    <row r="931" spans="1:4" x14ac:dyDescent="0.35">
      <c r="A931" s="1">
        <f t="shared" ca="1" si="42"/>
        <v>1.8098228558289353E-2</v>
      </c>
      <c r="C931" s="1">
        <f t="shared" ca="1" si="43"/>
        <v>0.3591894981766337</v>
      </c>
      <c r="D931">
        <f t="shared" ca="1" si="44"/>
        <v>45354</v>
      </c>
    </row>
    <row r="932" spans="1:4" x14ac:dyDescent="0.35">
      <c r="A932" s="1">
        <f t="shared" ca="1" si="42"/>
        <v>0.36846408721702018</v>
      </c>
      <c r="C932" s="1">
        <f t="shared" ca="1" si="43"/>
        <v>0.67353954001697491</v>
      </c>
      <c r="D932">
        <f t="shared" ca="1" si="44"/>
        <v>45392</v>
      </c>
    </row>
    <row r="933" spans="1:4" x14ac:dyDescent="0.35">
      <c r="A933" s="1">
        <f t="shared" ca="1" si="42"/>
        <v>0.33975807082534015</v>
      </c>
      <c r="C933" s="1">
        <f t="shared" ca="1" si="43"/>
        <v>0.55253744836639118</v>
      </c>
      <c r="D933">
        <f t="shared" ca="1" si="44"/>
        <v>45343</v>
      </c>
    </row>
    <row r="934" spans="1:4" x14ac:dyDescent="0.35">
      <c r="A934" s="1">
        <f t="shared" ca="1" si="42"/>
        <v>0.79014983493275393</v>
      </c>
      <c r="C934" s="1">
        <f t="shared" ca="1" si="43"/>
        <v>0.64916285343467217</v>
      </c>
      <c r="D934">
        <f t="shared" ca="1" si="44"/>
        <v>45535</v>
      </c>
    </row>
    <row r="935" spans="1:4" x14ac:dyDescent="0.35">
      <c r="A935" s="1">
        <f t="shared" ca="1" si="42"/>
        <v>0.98368123986543399</v>
      </c>
      <c r="C935" s="1">
        <f t="shared" ca="1" si="43"/>
        <v>0.39490008860964254</v>
      </c>
      <c r="D935">
        <f t="shared" ca="1" si="44"/>
        <v>45783</v>
      </c>
    </row>
    <row r="936" spans="1:4" x14ac:dyDescent="0.35">
      <c r="A936" s="1">
        <f t="shared" ca="1" si="42"/>
        <v>0.77847922263095315</v>
      </c>
      <c r="C936" s="1">
        <f t="shared" ca="1" si="43"/>
        <v>0.9066464128166547</v>
      </c>
      <c r="D936">
        <f t="shared" ca="1" si="44"/>
        <v>45645</v>
      </c>
    </row>
    <row r="937" spans="1:4" x14ac:dyDescent="0.35">
      <c r="A937" s="1">
        <f t="shared" ca="1" si="42"/>
        <v>0.35118697285569345</v>
      </c>
      <c r="C937" s="1">
        <f t="shared" ca="1" si="43"/>
        <v>0.26693980888626945</v>
      </c>
      <c r="D937">
        <f t="shared" ca="1" si="44"/>
        <v>45501</v>
      </c>
    </row>
    <row r="938" spans="1:4" x14ac:dyDescent="0.35">
      <c r="A938" s="1">
        <f t="shared" ca="1" si="42"/>
        <v>0.63433329825356077</v>
      </c>
      <c r="C938" s="1">
        <f t="shared" ca="1" si="43"/>
        <v>0.5790782458709095</v>
      </c>
      <c r="D938">
        <f t="shared" ca="1" si="44"/>
        <v>45449</v>
      </c>
    </row>
    <row r="939" spans="1:4" x14ac:dyDescent="0.35">
      <c r="A939" s="1">
        <f t="shared" ca="1" si="42"/>
        <v>0.19893784803017156</v>
      </c>
      <c r="C939" s="1">
        <f t="shared" ca="1" si="43"/>
        <v>0.29962925048695188</v>
      </c>
      <c r="D939">
        <f t="shared" ca="1" si="44"/>
        <v>45658</v>
      </c>
    </row>
    <row r="940" spans="1:4" x14ac:dyDescent="0.35">
      <c r="A940" s="1">
        <f t="shared" ca="1" si="42"/>
        <v>0.90400935368398805</v>
      </c>
      <c r="C940" s="1">
        <f t="shared" ca="1" si="43"/>
        <v>0.82339445513839771</v>
      </c>
      <c r="D940">
        <f t="shared" ca="1" si="44"/>
        <v>45539</v>
      </c>
    </row>
    <row r="941" spans="1:4" x14ac:dyDescent="0.35">
      <c r="A941" s="1">
        <f t="shared" ca="1" si="42"/>
        <v>0.22039670718972371</v>
      </c>
      <c r="C941" s="1">
        <f t="shared" ca="1" si="43"/>
        <v>0.19633372087850776</v>
      </c>
      <c r="D941">
        <f t="shared" ca="1" si="44"/>
        <v>45630</v>
      </c>
    </row>
    <row r="942" spans="1:4" x14ac:dyDescent="0.35">
      <c r="A942" s="1">
        <f t="shared" ca="1" si="42"/>
        <v>0.10045969552915679</v>
      </c>
      <c r="C942" s="1">
        <f t="shared" ca="1" si="43"/>
        <v>0.73578341610532871</v>
      </c>
      <c r="D942">
        <f t="shared" ca="1" si="44"/>
        <v>45320</v>
      </c>
    </row>
    <row r="943" spans="1:4" x14ac:dyDescent="0.35">
      <c r="A943" s="1">
        <f t="shared" ca="1" si="42"/>
        <v>0.85172981412209103</v>
      </c>
      <c r="C943" s="1">
        <f t="shared" ca="1" si="43"/>
        <v>0.55329655858344395</v>
      </c>
      <c r="D943">
        <f t="shared" ca="1" si="44"/>
        <v>45341</v>
      </c>
    </row>
    <row r="944" spans="1:4" x14ac:dyDescent="0.35">
      <c r="A944" s="1">
        <f t="shared" ca="1" si="42"/>
        <v>0.37071540092140265</v>
      </c>
      <c r="C944" s="1">
        <f t="shared" ca="1" si="43"/>
        <v>0.69328226093365808</v>
      </c>
      <c r="D944">
        <f t="shared" ca="1" si="44"/>
        <v>45636</v>
      </c>
    </row>
    <row r="945" spans="1:4" x14ac:dyDescent="0.35">
      <c r="A945" s="1">
        <f t="shared" ca="1" si="42"/>
        <v>0.58511242314372514</v>
      </c>
      <c r="C945" s="1">
        <f t="shared" ca="1" si="43"/>
        <v>0.91862367864600458</v>
      </c>
      <c r="D945">
        <f t="shared" ca="1" si="44"/>
        <v>45511</v>
      </c>
    </row>
    <row r="946" spans="1:4" x14ac:dyDescent="0.35">
      <c r="A946" s="1">
        <f t="shared" ca="1" si="42"/>
        <v>0.51008553187075412</v>
      </c>
      <c r="C946" s="1">
        <f t="shared" ca="1" si="43"/>
        <v>0.90345952887153891</v>
      </c>
      <c r="D946">
        <f t="shared" ca="1" si="44"/>
        <v>45476</v>
      </c>
    </row>
    <row r="947" spans="1:4" x14ac:dyDescent="0.35">
      <c r="A947" s="1">
        <f t="shared" ca="1" si="42"/>
        <v>0.62013961132298667</v>
      </c>
      <c r="C947" s="1">
        <f t="shared" ca="1" si="43"/>
        <v>0.59071650938804243</v>
      </c>
      <c r="D947">
        <f t="shared" ca="1" si="44"/>
        <v>45430</v>
      </c>
    </row>
    <row r="948" spans="1:4" x14ac:dyDescent="0.35">
      <c r="A948" s="1">
        <f t="shared" ca="1" si="42"/>
        <v>0.30769040283296034</v>
      </c>
      <c r="C948" s="1">
        <f t="shared" ca="1" si="43"/>
        <v>0.69424315288608751</v>
      </c>
      <c r="D948">
        <f t="shared" ca="1" si="44"/>
        <v>45594</v>
      </c>
    </row>
    <row r="949" spans="1:4" x14ac:dyDescent="0.35">
      <c r="A949" s="1">
        <f t="shared" ca="1" si="42"/>
        <v>0.37652536982840523</v>
      </c>
      <c r="C949" s="1">
        <f t="shared" ca="1" si="43"/>
        <v>0.51575600604579264</v>
      </c>
      <c r="D949">
        <f t="shared" ca="1" si="44"/>
        <v>45350</v>
      </c>
    </row>
    <row r="950" spans="1:4" x14ac:dyDescent="0.35">
      <c r="A950" s="1">
        <f t="shared" ca="1" si="42"/>
        <v>0.55501773277167576</v>
      </c>
      <c r="C950" s="1">
        <f t="shared" ca="1" si="43"/>
        <v>2.4892865011209797E-2</v>
      </c>
      <c r="D950">
        <f t="shared" ca="1" si="44"/>
        <v>45819</v>
      </c>
    </row>
    <row r="951" spans="1:4" x14ac:dyDescent="0.35">
      <c r="A951" s="1">
        <f t="shared" ca="1" si="42"/>
        <v>0.23487825864527989</v>
      </c>
      <c r="C951" s="1">
        <f t="shared" ca="1" si="43"/>
        <v>0.58746562842916739</v>
      </c>
      <c r="D951">
        <f t="shared" ca="1" si="44"/>
        <v>45475</v>
      </c>
    </row>
    <row r="952" spans="1:4" x14ac:dyDescent="0.35">
      <c r="A952" s="1">
        <f t="shared" ca="1" si="42"/>
        <v>0.13754031053622351</v>
      </c>
      <c r="C952" s="1">
        <f t="shared" ca="1" si="43"/>
        <v>0.53471136129592423</v>
      </c>
      <c r="D952">
        <f t="shared" ca="1" si="44"/>
        <v>45829</v>
      </c>
    </row>
    <row r="953" spans="1:4" x14ac:dyDescent="0.35">
      <c r="A953" s="1">
        <f t="shared" ca="1" si="42"/>
        <v>0.90795130273687708</v>
      </c>
      <c r="C953" s="1">
        <f t="shared" ca="1" si="43"/>
        <v>0.91538731382270988</v>
      </c>
      <c r="D953">
        <f t="shared" ca="1" si="44"/>
        <v>45382</v>
      </c>
    </row>
    <row r="954" spans="1:4" x14ac:dyDescent="0.35">
      <c r="A954" s="1">
        <f t="shared" ca="1" si="42"/>
        <v>0.16069032184971355</v>
      </c>
      <c r="C954" s="1">
        <f t="shared" ca="1" si="43"/>
        <v>0.50518677689750624</v>
      </c>
      <c r="D954">
        <f t="shared" ca="1" si="44"/>
        <v>45429</v>
      </c>
    </row>
    <row r="955" spans="1:4" x14ac:dyDescent="0.35">
      <c r="A955" s="1">
        <f t="shared" ca="1" si="42"/>
        <v>0.2239401063161236</v>
      </c>
      <c r="C955" s="1">
        <f t="shared" ca="1" si="43"/>
        <v>2.2711521455524575E-2</v>
      </c>
      <c r="D955">
        <f t="shared" ca="1" si="44"/>
        <v>45348</v>
      </c>
    </row>
    <row r="956" spans="1:4" x14ac:dyDescent="0.35">
      <c r="A956" s="1">
        <f t="shared" ca="1" si="42"/>
        <v>0.98528035924166113</v>
      </c>
      <c r="C956" s="1">
        <f t="shared" ca="1" si="43"/>
        <v>0.96556240162461693</v>
      </c>
      <c r="D956">
        <f t="shared" ca="1" si="44"/>
        <v>45391</v>
      </c>
    </row>
    <row r="957" spans="1:4" x14ac:dyDescent="0.35">
      <c r="A957" s="1">
        <f t="shared" ca="1" si="42"/>
        <v>0.43207391164990816</v>
      </c>
      <c r="C957" s="1">
        <f t="shared" ca="1" si="43"/>
        <v>0.13769201157233946</v>
      </c>
      <c r="D957">
        <f t="shared" ca="1" si="44"/>
        <v>45486</v>
      </c>
    </row>
    <row r="958" spans="1:4" x14ac:dyDescent="0.35">
      <c r="A958" s="1">
        <f t="shared" ca="1" si="42"/>
        <v>0.77492591802968269</v>
      </c>
      <c r="C958" s="1">
        <f t="shared" ca="1" si="43"/>
        <v>4.7003316773646553E-2</v>
      </c>
      <c r="D958">
        <f t="shared" ca="1" si="44"/>
        <v>45511</v>
      </c>
    </row>
    <row r="959" spans="1:4" x14ac:dyDescent="0.35">
      <c r="A959" s="1">
        <f t="shared" ca="1" si="42"/>
        <v>0.38600596040379431</v>
      </c>
      <c r="C959" s="1">
        <f t="shared" ca="1" si="43"/>
        <v>0.18922078810362331</v>
      </c>
      <c r="D959">
        <f t="shared" ca="1" si="44"/>
        <v>45428</v>
      </c>
    </row>
    <row r="960" spans="1:4" x14ac:dyDescent="0.35">
      <c r="A960" s="1">
        <f t="shared" ca="1" si="42"/>
        <v>0.46924337733137422</v>
      </c>
      <c r="C960" s="1">
        <f t="shared" ca="1" si="43"/>
        <v>0.95942389330860822</v>
      </c>
      <c r="D960">
        <f t="shared" ca="1" si="44"/>
        <v>45394</v>
      </c>
    </row>
    <row r="961" spans="1:4" x14ac:dyDescent="0.35">
      <c r="A961" s="1">
        <f t="shared" ca="1" si="42"/>
        <v>0.47827467048320516</v>
      </c>
      <c r="C961" s="1">
        <f t="shared" ca="1" si="43"/>
        <v>0.59978534109714665</v>
      </c>
      <c r="D961">
        <f t="shared" ca="1" si="44"/>
        <v>45592</v>
      </c>
    </row>
    <row r="962" spans="1:4" x14ac:dyDescent="0.35">
      <c r="A962" s="1">
        <f t="shared" ca="1" si="42"/>
        <v>0.57560337224750024</v>
      </c>
      <c r="C962" s="1">
        <f t="shared" ca="1" si="43"/>
        <v>0.40684401161177375</v>
      </c>
      <c r="D962">
        <f t="shared" ca="1" si="44"/>
        <v>45770</v>
      </c>
    </row>
    <row r="963" spans="1:4" x14ac:dyDescent="0.35">
      <c r="A963" s="1">
        <f t="shared" ref="A963:A1001" ca="1" si="45">RAND()</f>
        <v>0.79418348695828633</v>
      </c>
      <c r="C963" s="1">
        <f t="shared" ref="C963:C1001" ca="1" si="46">RAND()</f>
        <v>0.1115194635159692</v>
      </c>
      <c r="D963">
        <f t="shared" ref="D963:D1001" ca="1" si="47">RANDBETWEEN(45292,45838)</f>
        <v>45330</v>
      </c>
    </row>
    <row r="964" spans="1:4" x14ac:dyDescent="0.35">
      <c r="A964" s="1">
        <f t="shared" ca="1" si="45"/>
        <v>0.71365211721216593</v>
      </c>
      <c r="C964" s="1">
        <f t="shared" ca="1" si="46"/>
        <v>0.20614436400579783</v>
      </c>
      <c r="D964">
        <f t="shared" ca="1" si="47"/>
        <v>45550</v>
      </c>
    </row>
    <row r="965" spans="1:4" x14ac:dyDescent="0.35">
      <c r="A965" s="1">
        <f t="shared" ca="1" si="45"/>
        <v>0.86102276490008112</v>
      </c>
      <c r="C965" s="1">
        <f t="shared" ca="1" si="46"/>
        <v>0.11494353217623321</v>
      </c>
      <c r="D965">
        <f t="shared" ca="1" si="47"/>
        <v>45565</v>
      </c>
    </row>
    <row r="966" spans="1:4" x14ac:dyDescent="0.35">
      <c r="A966" s="1">
        <f t="shared" ca="1" si="45"/>
        <v>0.5963139921942624</v>
      </c>
      <c r="C966" s="1">
        <f t="shared" ca="1" si="46"/>
        <v>4.8071306227842725E-2</v>
      </c>
      <c r="D966">
        <f t="shared" ca="1" si="47"/>
        <v>45578</v>
      </c>
    </row>
    <row r="967" spans="1:4" x14ac:dyDescent="0.35">
      <c r="A967" s="1">
        <f t="shared" ca="1" si="45"/>
        <v>0.2029810124437621</v>
      </c>
      <c r="C967" s="1">
        <f t="shared" ca="1" si="46"/>
        <v>3.0828221565094238E-2</v>
      </c>
      <c r="D967">
        <f t="shared" ca="1" si="47"/>
        <v>45669</v>
      </c>
    </row>
    <row r="968" spans="1:4" x14ac:dyDescent="0.35">
      <c r="A968" s="1">
        <f t="shared" ca="1" si="45"/>
        <v>0.22437198274373193</v>
      </c>
      <c r="C968" s="1">
        <f t="shared" ca="1" si="46"/>
        <v>0.59445003687510312</v>
      </c>
      <c r="D968">
        <f t="shared" ca="1" si="47"/>
        <v>45486</v>
      </c>
    </row>
    <row r="969" spans="1:4" x14ac:dyDescent="0.35">
      <c r="A969" s="1">
        <f t="shared" ca="1" si="45"/>
        <v>0.49329455361898877</v>
      </c>
      <c r="C969" s="1">
        <f t="shared" ca="1" si="46"/>
        <v>0.93187061332274024</v>
      </c>
      <c r="D969">
        <f t="shared" ca="1" si="47"/>
        <v>45686</v>
      </c>
    </row>
    <row r="970" spans="1:4" x14ac:dyDescent="0.35">
      <c r="A970" s="1">
        <f t="shared" ca="1" si="45"/>
        <v>0.62473309819595502</v>
      </c>
      <c r="C970" s="1">
        <f t="shared" ca="1" si="46"/>
        <v>0.4264526049828582</v>
      </c>
      <c r="D970">
        <f t="shared" ca="1" si="47"/>
        <v>45314</v>
      </c>
    </row>
    <row r="971" spans="1:4" x14ac:dyDescent="0.35">
      <c r="A971" s="1">
        <f t="shared" ca="1" si="45"/>
        <v>0.1580366519495261</v>
      </c>
      <c r="C971" s="1">
        <f t="shared" ca="1" si="46"/>
        <v>0.8533168802029647</v>
      </c>
      <c r="D971">
        <f t="shared" ca="1" si="47"/>
        <v>45525</v>
      </c>
    </row>
    <row r="972" spans="1:4" x14ac:dyDescent="0.35">
      <c r="A972" s="1">
        <f t="shared" ca="1" si="45"/>
        <v>0.82224391999806967</v>
      </c>
      <c r="C972" s="1">
        <f t="shared" ca="1" si="46"/>
        <v>0.50873392414755936</v>
      </c>
      <c r="D972">
        <f t="shared" ca="1" si="47"/>
        <v>45619</v>
      </c>
    </row>
    <row r="973" spans="1:4" x14ac:dyDescent="0.35">
      <c r="A973" s="1">
        <f t="shared" ca="1" si="45"/>
        <v>0.43575521796309968</v>
      </c>
      <c r="C973" s="1">
        <f t="shared" ca="1" si="46"/>
        <v>0.53583897025289351</v>
      </c>
      <c r="D973">
        <f t="shared" ca="1" si="47"/>
        <v>45835</v>
      </c>
    </row>
    <row r="974" spans="1:4" x14ac:dyDescent="0.35">
      <c r="A974" s="1">
        <f t="shared" ca="1" si="45"/>
        <v>0.19479110190960136</v>
      </c>
      <c r="C974" s="1">
        <f t="shared" ca="1" si="46"/>
        <v>0.61297258541636812</v>
      </c>
      <c r="D974">
        <f t="shared" ca="1" si="47"/>
        <v>45776</v>
      </c>
    </row>
    <row r="975" spans="1:4" x14ac:dyDescent="0.35">
      <c r="A975" s="1">
        <f t="shared" ca="1" si="45"/>
        <v>0.64398016023414362</v>
      </c>
      <c r="C975" s="1">
        <f t="shared" ca="1" si="46"/>
        <v>0.629214317866711</v>
      </c>
      <c r="D975">
        <f t="shared" ca="1" si="47"/>
        <v>45336</v>
      </c>
    </row>
    <row r="976" spans="1:4" x14ac:dyDescent="0.35">
      <c r="A976" s="1">
        <f t="shared" ca="1" si="45"/>
        <v>0.97371931563376024</v>
      </c>
      <c r="C976" s="1">
        <f t="shared" ca="1" si="46"/>
        <v>0.70819524813013379</v>
      </c>
      <c r="D976">
        <f t="shared" ca="1" si="47"/>
        <v>45310</v>
      </c>
    </row>
    <row r="977" spans="1:4" x14ac:dyDescent="0.35">
      <c r="A977" s="1">
        <f t="shared" ca="1" si="45"/>
        <v>0.19554010920345266</v>
      </c>
      <c r="C977" s="1">
        <f t="shared" ca="1" si="46"/>
        <v>0.26117895314730177</v>
      </c>
      <c r="D977">
        <f t="shared" ca="1" si="47"/>
        <v>45563</v>
      </c>
    </row>
    <row r="978" spans="1:4" x14ac:dyDescent="0.35">
      <c r="A978" s="1">
        <f t="shared" ca="1" si="45"/>
        <v>0.677979899360592</v>
      </c>
      <c r="C978" s="1">
        <f t="shared" ca="1" si="46"/>
        <v>9.4293077189425922E-2</v>
      </c>
      <c r="D978">
        <f t="shared" ca="1" si="47"/>
        <v>45579</v>
      </c>
    </row>
    <row r="979" spans="1:4" x14ac:dyDescent="0.35">
      <c r="A979" s="1">
        <f t="shared" ca="1" si="45"/>
        <v>9.250935020820672E-2</v>
      </c>
      <c r="C979" s="1">
        <f t="shared" ca="1" si="46"/>
        <v>0.47913782948084638</v>
      </c>
      <c r="D979">
        <f t="shared" ca="1" si="47"/>
        <v>45627</v>
      </c>
    </row>
    <row r="980" spans="1:4" x14ac:dyDescent="0.35">
      <c r="A980" s="1">
        <f t="shared" ca="1" si="45"/>
        <v>0.49295662135860763</v>
      </c>
      <c r="C980" s="1">
        <f t="shared" ca="1" si="46"/>
        <v>0.70197673271551697</v>
      </c>
      <c r="D980">
        <f t="shared" ca="1" si="47"/>
        <v>45563</v>
      </c>
    </row>
    <row r="981" spans="1:4" x14ac:dyDescent="0.35">
      <c r="A981" s="1">
        <f t="shared" ca="1" si="45"/>
        <v>0.12667334189349921</v>
      </c>
      <c r="C981" s="1">
        <f t="shared" ca="1" si="46"/>
        <v>0.84159837450730446</v>
      </c>
      <c r="D981">
        <f t="shared" ca="1" si="47"/>
        <v>45720</v>
      </c>
    </row>
    <row r="982" spans="1:4" x14ac:dyDescent="0.35">
      <c r="A982" s="1">
        <f t="shared" ca="1" si="45"/>
        <v>0.27582537699747767</v>
      </c>
      <c r="C982" s="1">
        <f t="shared" ca="1" si="46"/>
        <v>0.73841743900703571</v>
      </c>
      <c r="D982">
        <f t="shared" ca="1" si="47"/>
        <v>45718</v>
      </c>
    </row>
    <row r="983" spans="1:4" x14ac:dyDescent="0.35">
      <c r="A983" s="1">
        <f t="shared" ca="1" si="45"/>
        <v>0.85965020733282271</v>
      </c>
      <c r="C983" s="1">
        <f t="shared" ca="1" si="46"/>
        <v>4.6094113031773132E-2</v>
      </c>
      <c r="D983">
        <f t="shared" ca="1" si="47"/>
        <v>45361</v>
      </c>
    </row>
    <row r="984" spans="1:4" x14ac:dyDescent="0.35">
      <c r="A984" s="1">
        <f t="shared" ca="1" si="45"/>
        <v>0.71921899621846175</v>
      </c>
      <c r="C984" s="1">
        <f t="shared" ca="1" si="46"/>
        <v>1.2687639598038647E-2</v>
      </c>
      <c r="D984">
        <f t="shared" ca="1" si="47"/>
        <v>45671</v>
      </c>
    </row>
    <row r="985" spans="1:4" x14ac:dyDescent="0.35">
      <c r="A985" s="1">
        <f t="shared" ca="1" si="45"/>
        <v>0.51676150794802811</v>
      </c>
      <c r="C985" s="1">
        <f t="shared" ca="1" si="46"/>
        <v>0.73036072646054728</v>
      </c>
      <c r="D985">
        <f t="shared" ca="1" si="47"/>
        <v>45536</v>
      </c>
    </row>
    <row r="986" spans="1:4" x14ac:dyDescent="0.35">
      <c r="A986" s="1">
        <f t="shared" ca="1" si="45"/>
        <v>0.55185794319048365</v>
      </c>
      <c r="C986" s="1">
        <f t="shared" ca="1" si="46"/>
        <v>0.70673497246178096</v>
      </c>
      <c r="D986">
        <f t="shared" ca="1" si="47"/>
        <v>45545</v>
      </c>
    </row>
    <row r="987" spans="1:4" x14ac:dyDescent="0.35">
      <c r="A987" s="1">
        <f t="shared" ca="1" si="45"/>
        <v>0.48898891514319753</v>
      </c>
      <c r="C987" s="1">
        <f t="shared" ca="1" si="46"/>
        <v>0.16725719619107471</v>
      </c>
      <c r="D987">
        <f t="shared" ca="1" si="47"/>
        <v>45813</v>
      </c>
    </row>
    <row r="988" spans="1:4" x14ac:dyDescent="0.35">
      <c r="A988" s="1">
        <f t="shared" ca="1" si="45"/>
        <v>0.17789342660139928</v>
      </c>
      <c r="C988" s="1">
        <f t="shared" ca="1" si="46"/>
        <v>0.66906764603418678</v>
      </c>
      <c r="D988">
        <f t="shared" ca="1" si="47"/>
        <v>45598</v>
      </c>
    </row>
    <row r="989" spans="1:4" x14ac:dyDescent="0.35">
      <c r="A989" s="1">
        <f t="shared" ca="1" si="45"/>
        <v>0.44025493728015319</v>
      </c>
      <c r="C989" s="1">
        <f t="shared" ca="1" si="46"/>
        <v>0.77719502249513528</v>
      </c>
      <c r="D989">
        <f t="shared" ca="1" si="47"/>
        <v>45716</v>
      </c>
    </row>
    <row r="990" spans="1:4" x14ac:dyDescent="0.35">
      <c r="A990" s="1">
        <f t="shared" ca="1" si="45"/>
        <v>0.94294803184217035</v>
      </c>
      <c r="C990" s="1">
        <f t="shared" ca="1" si="46"/>
        <v>0.15029130815071212</v>
      </c>
      <c r="D990">
        <f t="shared" ca="1" si="47"/>
        <v>45775</v>
      </c>
    </row>
    <row r="991" spans="1:4" x14ac:dyDescent="0.35">
      <c r="A991" s="1">
        <f t="shared" ca="1" si="45"/>
        <v>0.87125319000088208</v>
      </c>
      <c r="C991" s="1">
        <f t="shared" ca="1" si="46"/>
        <v>0.66005116477669534</v>
      </c>
      <c r="D991">
        <f t="shared" ca="1" si="47"/>
        <v>45400</v>
      </c>
    </row>
    <row r="992" spans="1:4" x14ac:dyDescent="0.35">
      <c r="A992" s="1">
        <f t="shared" ca="1" si="45"/>
        <v>0.34097905932263473</v>
      </c>
      <c r="C992" s="1">
        <f t="shared" ca="1" si="46"/>
        <v>0.82773481806621585</v>
      </c>
      <c r="D992">
        <f t="shared" ca="1" si="47"/>
        <v>45812</v>
      </c>
    </row>
    <row r="993" spans="1:4" x14ac:dyDescent="0.35">
      <c r="A993" s="1">
        <f t="shared" ca="1" si="45"/>
        <v>0.6418780855932964</v>
      </c>
      <c r="C993" s="1">
        <f t="shared" ca="1" si="46"/>
        <v>0.3547459218989254</v>
      </c>
      <c r="D993">
        <f t="shared" ca="1" si="47"/>
        <v>45366</v>
      </c>
    </row>
    <row r="994" spans="1:4" x14ac:dyDescent="0.35">
      <c r="A994" s="1">
        <f t="shared" ca="1" si="45"/>
        <v>0.87850638172132867</v>
      </c>
      <c r="C994" s="1">
        <f t="shared" ca="1" si="46"/>
        <v>0.21588720914236559</v>
      </c>
      <c r="D994">
        <f t="shared" ca="1" si="47"/>
        <v>45822</v>
      </c>
    </row>
    <row r="995" spans="1:4" x14ac:dyDescent="0.35">
      <c r="A995" s="1">
        <f t="shared" ca="1" si="45"/>
        <v>0.9102833804912247</v>
      </c>
      <c r="C995" s="1">
        <f t="shared" ca="1" si="46"/>
        <v>0.29892652169545419</v>
      </c>
      <c r="D995">
        <f t="shared" ca="1" si="47"/>
        <v>45821</v>
      </c>
    </row>
    <row r="996" spans="1:4" x14ac:dyDescent="0.35">
      <c r="A996" s="1">
        <f t="shared" ca="1" si="45"/>
        <v>1.6501616511995665E-2</v>
      </c>
      <c r="C996" s="1">
        <f t="shared" ca="1" si="46"/>
        <v>0.41862652174923487</v>
      </c>
      <c r="D996">
        <f t="shared" ca="1" si="47"/>
        <v>45601</v>
      </c>
    </row>
    <row r="997" spans="1:4" x14ac:dyDescent="0.35">
      <c r="A997" s="1">
        <f t="shared" ca="1" si="45"/>
        <v>0.40698500182112463</v>
      </c>
      <c r="C997" s="1">
        <f t="shared" ca="1" si="46"/>
        <v>0.68780862989449831</v>
      </c>
      <c r="D997">
        <f t="shared" ca="1" si="47"/>
        <v>45555</v>
      </c>
    </row>
    <row r="998" spans="1:4" x14ac:dyDescent="0.35">
      <c r="A998" s="1">
        <f t="shared" ca="1" si="45"/>
        <v>0.34100404198900369</v>
      </c>
      <c r="C998" s="1">
        <f t="shared" ca="1" si="46"/>
        <v>0.19288588990874356</v>
      </c>
      <c r="D998">
        <f t="shared" ca="1" si="47"/>
        <v>45822</v>
      </c>
    </row>
    <row r="999" spans="1:4" x14ac:dyDescent="0.35">
      <c r="A999" s="1">
        <f t="shared" ca="1" si="45"/>
        <v>0.62643237453428657</v>
      </c>
      <c r="C999" s="1">
        <f t="shared" ca="1" si="46"/>
        <v>0.48618980778041165</v>
      </c>
      <c r="D999">
        <f t="shared" ca="1" si="47"/>
        <v>45478</v>
      </c>
    </row>
    <row r="1000" spans="1:4" x14ac:dyDescent="0.35">
      <c r="A1000" s="1">
        <f t="shared" ca="1" si="45"/>
        <v>0.53982507181821704</v>
      </c>
      <c r="C1000" s="1">
        <f t="shared" ca="1" si="46"/>
        <v>0.41648206554117928</v>
      </c>
      <c r="D1000">
        <f t="shared" ca="1" si="47"/>
        <v>45593</v>
      </c>
    </row>
    <row r="1001" spans="1:4" x14ac:dyDescent="0.35">
      <c r="A1001" s="1">
        <f t="shared" ca="1" si="45"/>
        <v>5.4779665862595528E-2</v>
      </c>
      <c r="C1001" s="1">
        <f t="shared" ca="1" si="46"/>
        <v>7.3543685238193435E-2</v>
      </c>
      <c r="D1001">
        <f t="shared" ca="1" si="47"/>
        <v>45579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privatiOK </vt:lpstr>
      <vt:lpstr>privati</vt:lpstr>
      <vt:lpstr>famiglieOK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Ciaravolo</dc:creator>
  <cp:lastModifiedBy>Luisa Diamila Colazilli</cp:lastModifiedBy>
  <dcterms:created xsi:type="dcterms:W3CDTF">2025-12-15T15:55:47Z</dcterms:created>
  <dcterms:modified xsi:type="dcterms:W3CDTF">2025-12-17T19:05:15Z</dcterms:modified>
</cp:coreProperties>
</file>